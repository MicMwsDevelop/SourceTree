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urceTree\MWS\Application\ProspectProgressAutoAggregate\Doc\"/>
    </mc:Choice>
  </mc:AlternateContent>
  <xr:revisionPtr revIDLastSave="0" documentId="13_ncr:1_{0918F162-9BB2-44C9-A2AD-0DF60EFF0987}" xr6:coauthVersionLast="46" xr6:coauthVersionMax="46" xr10:uidLastSave="{00000000-0000-0000-0000-000000000000}"/>
  <bookViews>
    <workbookView xWindow="-120" yWindow="-120" windowWidth="29040" windowHeight="15840" tabRatio="890" activeTab="8" xr2:uid="{1433B07F-32D6-4DD3-BAFF-95929E1EF806}"/>
  </bookViews>
  <sheets>
    <sheet name="予測連絡用-まとめ" sheetId="57" r:id="rId1"/>
    <sheet name="予測連絡用-ES" sheetId="56" r:id="rId2"/>
    <sheet name="予算予測実績値" sheetId="55" r:id="rId3"/>
    <sheet name="vMicES売上予想" sheetId="54" r:id="rId4"/>
    <sheet name="vMic翌月売上予想" sheetId="53" r:id="rId5"/>
    <sheet name="vMic当月売上予想" sheetId="52" r:id="rId6"/>
    <sheet name="予測連絡用" sheetId="32" r:id="rId7"/>
    <sheet name="売上実績" sheetId="51" r:id="rId8"/>
    <sheet name="見込進捗_詳細" sheetId="14" r:id="rId9"/>
  </sheets>
  <definedNames>
    <definedName name="_xlnm._FilterDatabase" localSheetId="8" hidden="1">見込進捗_詳細!#REF!</definedName>
    <definedName name="ES売上予想" localSheetId="3">vMicES売上予想!$A$1:$L$1915</definedName>
    <definedName name="_xlnm.Print_Area" localSheetId="7">売上実績!$A$1:$Y$181</definedName>
    <definedName name="_xlnm.Print_Area" localSheetId="6">予測連絡用!$B$2:$Y$21</definedName>
    <definedName name="当月売上予想" localSheetId="5">vMic当月売上予想!$A$1:$F$148</definedName>
    <definedName name="予算予測実績値集計" localSheetId="2">予算予測実績値!$A$1:$Q$148</definedName>
    <definedName name="翌月売上予想" localSheetId="4">vMic翌月売上予想!$A$1:$F$67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19" i="14" l="1"/>
  <c r="AP19" i="14"/>
  <c r="F47" i="14"/>
  <c r="F46" i="14"/>
  <c r="F45" i="14"/>
  <c r="F44" i="14"/>
  <c r="F43" i="14"/>
  <c r="F42" i="14"/>
  <c r="J47" i="14"/>
  <c r="J46" i="14"/>
  <c r="J45" i="14"/>
  <c r="J44" i="14"/>
  <c r="J43" i="14"/>
  <c r="J42" i="14"/>
  <c r="N47" i="14"/>
  <c r="N46" i="14"/>
  <c r="N45" i="14"/>
  <c r="N44" i="14"/>
  <c r="N43" i="14"/>
  <c r="N42" i="14"/>
  <c r="R47" i="14"/>
  <c r="R46" i="14"/>
  <c r="R45" i="14"/>
  <c r="R44" i="14"/>
  <c r="R43" i="14"/>
  <c r="R42" i="14"/>
  <c r="V42" i="14"/>
  <c r="V47" i="14"/>
  <c r="V46" i="14"/>
  <c r="V45" i="14"/>
  <c r="V44" i="14"/>
  <c r="V43" i="14"/>
  <c r="Z47" i="14"/>
  <c r="Z46" i="14"/>
  <c r="Z45" i="14"/>
  <c r="Z44" i="14"/>
  <c r="Z43" i="14"/>
  <c r="Z42" i="14"/>
  <c r="BB47" i="14"/>
  <c r="BB46" i="14"/>
  <c r="BB45" i="14"/>
  <c r="BB44" i="14"/>
  <c r="BB43" i="14"/>
  <c r="BB42" i="14"/>
  <c r="AX47" i="14"/>
  <c r="AX46" i="14"/>
  <c r="AX45" i="14"/>
  <c r="AX44" i="14"/>
  <c r="AX43" i="14"/>
  <c r="AX42" i="14"/>
  <c r="AT47" i="14"/>
  <c r="AT46" i="14"/>
  <c r="AT45" i="14"/>
  <c r="AT44" i="14"/>
  <c r="AT43" i="14"/>
  <c r="AT42" i="14"/>
  <c r="AH47" i="14"/>
  <c r="AH46" i="14"/>
  <c r="AH45" i="14"/>
  <c r="AH44" i="14"/>
  <c r="AH43" i="14"/>
  <c r="AH42" i="14"/>
  <c r="AL47" i="14"/>
  <c r="AL46" i="14"/>
  <c r="AL45" i="14"/>
  <c r="AL44" i="14"/>
  <c r="AL43" i="14"/>
  <c r="AL42" i="14"/>
  <c r="AP47" i="14"/>
  <c r="AP46" i="14"/>
  <c r="AP45" i="14"/>
  <c r="AP44" i="14"/>
  <c r="AP43" i="14"/>
  <c r="AP42" i="14"/>
  <c r="AD96" i="14"/>
  <c r="AD47" i="14"/>
  <c r="AD46" i="14"/>
  <c r="AD45" i="14"/>
  <c r="AD44" i="14"/>
  <c r="AD43" i="14"/>
  <c r="AD42" i="14"/>
  <c r="BA104" i="14" l="1"/>
  <c r="BB105" i="14"/>
  <c r="BA105" i="14"/>
  <c r="BB104" i="14"/>
  <c r="AX105" i="14"/>
  <c r="AW105" i="14"/>
  <c r="AX104" i="14"/>
  <c r="AW104" i="14"/>
  <c r="AT105" i="14"/>
  <c r="AS105" i="14"/>
  <c r="AT104" i="14"/>
  <c r="AS104" i="14"/>
  <c r="AP105" i="14"/>
  <c r="AO105" i="14"/>
  <c r="AP104" i="14"/>
  <c r="AO104" i="14"/>
  <c r="AL105" i="14"/>
  <c r="AK105" i="14"/>
  <c r="AL104" i="14"/>
  <c r="AK104" i="14"/>
  <c r="AH105" i="14"/>
  <c r="AG105" i="14"/>
  <c r="AH104" i="14"/>
  <c r="AG104" i="14"/>
  <c r="AD105" i="14"/>
  <c r="AC105" i="14"/>
  <c r="AD104" i="14"/>
  <c r="AC104" i="14"/>
  <c r="Z105" i="14"/>
  <c r="Y105" i="14"/>
  <c r="Z104" i="14"/>
  <c r="Y104" i="14"/>
  <c r="V105" i="14"/>
  <c r="U105" i="14"/>
  <c r="V104" i="14"/>
  <c r="U104" i="14"/>
  <c r="R105" i="14"/>
  <c r="Q105" i="14"/>
  <c r="R104" i="14"/>
  <c r="Q104" i="14"/>
  <c r="N105" i="14"/>
  <c r="M105" i="14"/>
  <c r="N104" i="14"/>
  <c r="M104" i="14"/>
  <c r="J105" i="14"/>
  <c r="I105" i="14"/>
  <c r="J104" i="14"/>
  <c r="I104" i="14"/>
  <c r="BB101" i="14"/>
  <c r="BA101" i="14"/>
  <c r="BB100" i="14"/>
  <c r="BA100" i="14"/>
  <c r="BB99" i="14"/>
  <c r="BA99" i="14"/>
  <c r="BB98" i="14"/>
  <c r="BA98" i="14"/>
  <c r="BB97" i="14"/>
  <c r="BA97" i="14"/>
  <c r="BB96" i="14"/>
  <c r="BA96" i="14"/>
  <c r="AX101" i="14"/>
  <c r="AW101" i="14"/>
  <c r="AX100" i="14"/>
  <c r="AW100" i="14"/>
  <c r="AX99" i="14"/>
  <c r="AW99" i="14"/>
  <c r="AX98" i="14"/>
  <c r="AW98" i="14"/>
  <c r="AX97" i="14"/>
  <c r="AW97" i="14"/>
  <c r="AX96" i="14"/>
  <c r="AW96" i="14"/>
  <c r="AT101" i="14"/>
  <c r="AS101" i="14"/>
  <c r="AT100" i="14"/>
  <c r="AS100" i="14"/>
  <c r="AT99" i="14"/>
  <c r="AS99" i="14"/>
  <c r="AT98" i="14"/>
  <c r="AS98" i="14"/>
  <c r="AT97" i="14"/>
  <c r="AS97" i="14"/>
  <c r="AT96" i="14"/>
  <c r="AS96" i="14"/>
  <c r="AP101" i="14"/>
  <c r="AO101" i="14"/>
  <c r="AP100" i="14"/>
  <c r="AO100" i="14"/>
  <c r="AP99" i="14"/>
  <c r="AO99" i="14"/>
  <c r="AP98" i="14"/>
  <c r="AO98" i="14"/>
  <c r="AP97" i="14"/>
  <c r="AO97" i="14"/>
  <c r="AP96" i="14"/>
  <c r="AO96" i="14"/>
  <c r="AL101" i="14"/>
  <c r="AK101" i="14"/>
  <c r="AL100" i="14"/>
  <c r="AK100" i="14"/>
  <c r="AL99" i="14"/>
  <c r="AK99" i="14"/>
  <c r="AL98" i="14"/>
  <c r="AK98" i="14"/>
  <c r="AL97" i="14"/>
  <c r="AK97" i="14"/>
  <c r="AL96" i="14"/>
  <c r="AK96" i="14"/>
  <c r="AH101" i="14"/>
  <c r="AG101" i="14"/>
  <c r="AH100" i="14"/>
  <c r="AG100" i="14"/>
  <c r="AH99" i="14"/>
  <c r="AG99" i="14"/>
  <c r="AH98" i="14"/>
  <c r="AG98" i="14"/>
  <c r="AH97" i="14"/>
  <c r="AG97" i="14"/>
  <c r="AH96" i="14"/>
  <c r="AG96" i="14"/>
  <c r="AD101" i="14"/>
  <c r="AC101" i="14"/>
  <c r="AD100" i="14"/>
  <c r="AC100" i="14"/>
  <c r="AD99" i="14"/>
  <c r="AC99" i="14"/>
  <c r="AD98" i="14"/>
  <c r="AC98" i="14"/>
  <c r="AD97" i="14"/>
  <c r="AC97" i="14"/>
  <c r="AC96" i="14"/>
  <c r="Z101" i="14"/>
  <c r="Y101" i="14"/>
  <c r="Z100" i="14"/>
  <c r="Y100" i="14"/>
  <c r="Z99" i="14"/>
  <c r="Y99" i="14"/>
  <c r="Z98" i="14"/>
  <c r="Y98" i="14"/>
  <c r="Z97" i="14"/>
  <c r="Y97" i="14"/>
  <c r="Z96" i="14"/>
  <c r="Y96" i="14"/>
  <c r="V101" i="14"/>
  <c r="U101" i="14"/>
  <c r="V100" i="14"/>
  <c r="U100" i="14"/>
  <c r="V99" i="14"/>
  <c r="U99" i="14"/>
  <c r="V98" i="14"/>
  <c r="U98" i="14"/>
  <c r="V97" i="14"/>
  <c r="U97" i="14"/>
  <c r="V96" i="14"/>
  <c r="U96" i="14"/>
  <c r="R101" i="14"/>
  <c r="Q101" i="14"/>
  <c r="R100" i="14"/>
  <c r="Q100" i="14"/>
  <c r="R99" i="14"/>
  <c r="Q99" i="14"/>
  <c r="R98" i="14"/>
  <c r="Q98" i="14"/>
  <c r="R97" i="14"/>
  <c r="Q97" i="14"/>
  <c r="R96" i="14"/>
  <c r="Q96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J101" i="14"/>
  <c r="I101" i="14"/>
  <c r="J100" i="14"/>
  <c r="I100" i="14"/>
  <c r="J99" i="14"/>
  <c r="I99" i="14"/>
  <c r="J98" i="14"/>
  <c r="I98" i="14"/>
  <c r="J97" i="14"/>
  <c r="I97" i="14"/>
  <c r="J96" i="14"/>
  <c r="I96" i="14"/>
  <c r="E105" i="14"/>
  <c r="E101" i="14"/>
  <c r="E100" i="14"/>
  <c r="E99" i="14"/>
  <c r="E98" i="14"/>
  <c r="E97" i="14"/>
  <c r="E96" i="14"/>
  <c r="T163" i="51" l="1"/>
  <c r="Q163" i="51"/>
  <c r="N163" i="51"/>
  <c r="K163" i="51"/>
  <c r="H163" i="51"/>
  <c r="T162" i="51"/>
  <c r="Q162" i="51"/>
  <c r="N162" i="51"/>
  <c r="K162" i="51"/>
  <c r="H162" i="51"/>
  <c r="V159" i="51"/>
  <c r="U159" i="51"/>
  <c r="T159" i="51"/>
  <c r="S159" i="51"/>
  <c r="R159" i="51"/>
  <c r="Q159" i="51"/>
  <c r="P159" i="51"/>
  <c r="O159" i="51"/>
  <c r="N159" i="51"/>
  <c r="M159" i="51"/>
  <c r="L159" i="51"/>
  <c r="K159" i="51"/>
  <c r="J159" i="51"/>
  <c r="I159" i="51"/>
  <c r="H159" i="51"/>
  <c r="V158" i="51"/>
  <c r="U158" i="51"/>
  <c r="T158" i="51"/>
  <c r="S158" i="51"/>
  <c r="R158" i="51"/>
  <c r="Q158" i="51"/>
  <c r="P158" i="51"/>
  <c r="O158" i="51"/>
  <c r="N158" i="51"/>
  <c r="M158" i="51"/>
  <c r="L158" i="51"/>
  <c r="K158" i="51"/>
  <c r="J158" i="51"/>
  <c r="I158" i="51"/>
  <c r="H158" i="51"/>
  <c r="E163" i="51"/>
  <c r="E162" i="51"/>
  <c r="G159" i="51"/>
  <c r="F159" i="51"/>
  <c r="E159" i="51"/>
  <c r="G158" i="51"/>
  <c r="F158" i="51"/>
  <c r="E158" i="51"/>
  <c r="T125" i="51"/>
  <c r="Q125" i="51"/>
  <c r="N125" i="51"/>
  <c r="K125" i="51"/>
  <c r="H125" i="51"/>
  <c r="T124" i="51"/>
  <c r="Q124" i="51"/>
  <c r="N124" i="51"/>
  <c r="K124" i="51"/>
  <c r="H124" i="51"/>
  <c r="V121" i="51"/>
  <c r="U121" i="51"/>
  <c r="T121" i="51"/>
  <c r="V120" i="51"/>
  <c r="U120" i="51"/>
  <c r="T120" i="51"/>
  <c r="S121" i="51"/>
  <c r="R121" i="51"/>
  <c r="Q121" i="51"/>
  <c r="S120" i="51"/>
  <c r="R120" i="51"/>
  <c r="Q120" i="51"/>
  <c r="P121" i="51"/>
  <c r="O121" i="51"/>
  <c r="N121" i="51"/>
  <c r="P120" i="51"/>
  <c r="O120" i="51"/>
  <c r="N120" i="51"/>
  <c r="M121" i="51"/>
  <c r="L121" i="51"/>
  <c r="K121" i="51"/>
  <c r="M120" i="51"/>
  <c r="L120" i="51"/>
  <c r="K120" i="51"/>
  <c r="J121" i="51"/>
  <c r="I121" i="51"/>
  <c r="H121" i="51"/>
  <c r="J120" i="51"/>
  <c r="I120" i="51"/>
  <c r="H120" i="51"/>
  <c r="E125" i="51"/>
  <c r="E124" i="51"/>
  <c r="G121" i="51"/>
  <c r="F121" i="51"/>
  <c r="E121" i="51"/>
  <c r="G120" i="51"/>
  <c r="F120" i="51"/>
  <c r="E120" i="51"/>
  <c r="T79" i="51"/>
  <c r="T78" i="51"/>
  <c r="Q79" i="51"/>
  <c r="Q78" i="51"/>
  <c r="V75" i="51"/>
  <c r="U75" i="51"/>
  <c r="T75" i="51"/>
  <c r="V74" i="51"/>
  <c r="T77" i="51" s="1"/>
  <c r="U74" i="51"/>
  <c r="T74" i="51"/>
  <c r="S75" i="51"/>
  <c r="R75" i="51"/>
  <c r="Q75" i="51"/>
  <c r="S74" i="51"/>
  <c r="R74" i="51"/>
  <c r="Q74" i="51"/>
  <c r="N79" i="51"/>
  <c r="N78" i="51"/>
  <c r="K79" i="51"/>
  <c r="K78" i="51"/>
  <c r="P75" i="51"/>
  <c r="O75" i="51"/>
  <c r="N75" i="51"/>
  <c r="P74" i="51"/>
  <c r="O74" i="51"/>
  <c r="N74" i="51"/>
  <c r="M75" i="51"/>
  <c r="L75" i="51"/>
  <c r="K75" i="51"/>
  <c r="M74" i="51"/>
  <c r="L74" i="51"/>
  <c r="K74" i="51"/>
  <c r="H79" i="51"/>
  <c r="H78" i="51"/>
  <c r="J75" i="51"/>
  <c r="I75" i="51"/>
  <c r="H75" i="51"/>
  <c r="J74" i="51"/>
  <c r="I74" i="51"/>
  <c r="H74" i="51"/>
  <c r="E79" i="51"/>
  <c r="E78" i="51"/>
  <c r="G75" i="51"/>
  <c r="F75" i="51"/>
  <c r="E75" i="51"/>
  <c r="G74" i="51"/>
  <c r="F74" i="51"/>
  <c r="E74" i="51"/>
  <c r="H40" i="51"/>
  <c r="T41" i="51"/>
  <c r="T40" i="51"/>
  <c r="V37" i="51"/>
  <c r="V83" i="51" s="1"/>
  <c r="U37" i="51"/>
  <c r="T37" i="51"/>
  <c r="V36" i="51"/>
  <c r="U36" i="51"/>
  <c r="U82" i="51" s="1"/>
  <c r="T36" i="51"/>
  <c r="Q41" i="51"/>
  <c r="Q40" i="51"/>
  <c r="S37" i="51"/>
  <c r="R37" i="51"/>
  <c r="Q37" i="51"/>
  <c r="S36" i="51"/>
  <c r="R36" i="51"/>
  <c r="Q36" i="51"/>
  <c r="N41" i="51"/>
  <c r="N40" i="51"/>
  <c r="P37" i="51"/>
  <c r="O37" i="51"/>
  <c r="N37" i="51"/>
  <c r="P36" i="51"/>
  <c r="O36" i="51"/>
  <c r="N36" i="51"/>
  <c r="K41" i="51"/>
  <c r="K40" i="51"/>
  <c r="M37" i="51"/>
  <c r="L37" i="51"/>
  <c r="K37" i="51"/>
  <c r="M36" i="51"/>
  <c r="L36" i="51"/>
  <c r="K36" i="51"/>
  <c r="H41" i="51"/>
  <c r="J37" i="51"/>
  <c r="I37" i="51"/>
  <c r="H37" i="51"/>
  <c r="J36" i="51"/>
  <c r="I36" i="51"/>
  <c r="H36" i="51"/>
  <c r="E41" i="51"/>
  <c r="E40" i="51"/>
  <c r="G37" i="51"/>
  <c r="F37" i="51"/>
  <c r="E37" i="51"/>
  <c r="G36" i="51"/>
  <c r="F36" i="51"/>
  <c r="E36" i="51"/>
  <c r="W44" i="51"/>
  <c r="X44" i="51"/>
  <c r="Y44" i="51"/>
  <c r="W45" i="51"/>
  <c r="X45" i="51"/>
  <c r="Y45" i="51"/>
  <c r="W46" i="51"/>
  <c r="X46" i="51"/>
  <c r="Y46" i="51"/>
  <c r="E47" i="51"/>
  <c r="F47" i="51"/>
  <c r="G47" i="51"/>
  <c r="H47" i="51"/>
  <c r="I47" i="51"/>
  <c r="J47" i="51"/>
  <c r="K47" i="51"/>
  <c r="L47" i="51"/>
  <c r="M47" i="51"/>
  <c r="N47" i="51"/>
  <c r="O47" i="51"/>
  <c r="P47" i="51"/>
  <c r="Q47" i="51"/>
  <c r="R47" i="51"/>
  <c r="S47" i="51"/>
  <c r="T47" i="51"/>
  <c r="U47" i="51"/>
  <c r="V47" i="51"/>
  <c r="E48" i="51"/>
  <c r="H48" i="51"/>
  <c r="K48" i="51"/>
  <c r="N48" i="51"/>
  <c r="Q48" i="51"/>
  <c r="T48" i="51"/>
  <c r="W49" i="51"/>
  <c r="W50" i="51"/>
  <c r="W51" i="51"/>
  <c r="N161" i="51" l="1"/>
  <c r="T165" i="51"/>
  <c r="Q165" i="51"/>
  <c r="K123" i="51"/>
  <c r="Q76" i="51"/>
  <c r="W48" i="51"/>
  <c r="H165" i="51"/>
  <c r="Q81" i="51"/>
  <c r="T127" i="51"/>
  <c r="K81" i="51"/>
  <c r="H127" i="51"/>
  <c r="H81" i="51"/>
  <c r="N165" i="51"/>
  <c r="T81" i="51"/>
  <c r="N81" i="51"/>
  <c r="Q161" i="51"/>
  <c r="K161" i="51"/>
  <c r="K127" i="51"/>
  <c r="Q77" i="51"/>
  <c r="K77" i="51"/>
  <c r="H77" i="51"/>
  <c r="H43" i="51"/>
  <c r="H39" i="51"/>
  <c r="J122" i="51"/>
  <c r="J166" i="51"/>
  <c r="K122" i="51"/>
  <c r="Q86" i="51"/>
  <c r="N43" i="51"/>
  <c r="F166" i="51"/>
  <c r="R83" i="51"/>
  <c r="Q82" i="51"/>
  <c r="N87" i="51"/>
  <c r="K76" i="51"/>
  <c r="V38" i="51"/>
  <c r="Q38" i="51"/>
  <c r="N39" i="51"/>
  <c r="S166" i="51"/>
  <c r="P167" i="51"/>
  <c r="K166" i="51"/>
  <c r="I166" i="51"/>
  <c r="V166" i="51"/>
  <c r="Q170" i="51"/>
  <c r="Q166" i="51"/>
  <c r="N171" i="51"/>
  <c r="N164" i="51"/>
  <c r="E164" i="51"/>
  <c r="N126" i="51"/>
  <c r="T171" i="51"/>
  <c r="Q123" i="51"/>
  <c r="N127" i="51"/>
  <c r="O166" i="51"/>
  <c r="N122" i="51"/>
  <c r="M166" i="51"/>
  <c r="M122" i="51"/>
  <c r="L122" i="51"/>
  <c r="L167" i="51"/>
  <c r="H171" i="51"/>
  <c r="H123" i="51"/>
  <c r="H122" i="51"/>
  <c r="E122" i="51"/>
  <c r="T82" i="51"/>
  <c r="S82" i="51"/>
  <c r="R76" i="51"/>
  <c r="M83" i="51"/>
  <c r="Q42" i="51"/>
  <c r="S83" i="51"/>
  <c r="R82" i="51"/>
  <c r="P38" i="51"/>
  <c r="W40" i="51"/>
  <c r="L83" i="51"/>
  <c r="K38" i="51"/>
  <c r="K82" i="51"/>
  <c r="J83" i="51"/>
  <c r="I82" i="51"/>
  <c r="E87" i="51"/>
  <c r="G83" i="51"/>
  <c r="G38" i="51"/>
  <c r="F82" i="51"/>
  <c r="E83" i="51"/>
  <c r="N83" i="51"/>
  <c r="T170" i="51"/>
  <c r="E43" i="51"/>
  <c r="R38" i="51"/>
  <c r="U38" i="51"/>
  <c r="E86" i="51"/>
  <c r="J82" i="51"/>
  <c r="N82" i="51"/>
  <c r="O83" i="51"/>
  <c r="U83" i="51"/>
  <c r="U84" i="51" s="1"/>
  <c r="T123" i="51"/>
  <c r="O122" i="51"/>
  <c r="S122" i="51"/>
  <c r="T122" i="51"/>
  <c r="W158" i="51"/>
  <c r="X159" i="51"/>
  <c r="I160" i="51"/>
  <c r="M160" i="51"/>
  <c r="Q160" i="51"/>
  <c r="T83" i="51"/>
  <c r="H87" i="51"/>
  <c r="K83" i="51"/>
  <c r="O82" i="51"/>
  <c r="P83" i="51"/>
  <c r="Q83" i="51"/>
  <c r="T87" i="51"/>
  <c r="H126" i="51"/>
  <c r="J167" i="51"/>
  <c r="R167" i="51"/>
  <c r="N167" i="51"/>
  <c r="K87" i="51"/>
  <c r="Q87" i="51"/>
  <c r="K39" i="51"/>
  <c r="E82" i="51"/>
  <c r="F83" i="51"/>
  <c r="H82" i="51"/>
  <c r="I83" i="51"/>
  <c r="P82" i="51"/>
  <c r="K86" i="51"/>
  <c r="M82" i="51"/>
  <c r="N86" i="51"/>
  <c r="U122" i="51"/>
  <c r="V122" i="51"/>
  <c r="G166" i="51"/>
  <c r="E170" i="51"/>
  <c r="H170" i="51"/>
  <c r="Q171" i="51"/>
  <c r="F167" i="51"/>
  <c r="H166" i="51"/>
  <c r="I167" i="51"/>
  <c r="N166" i="51"/>
  <c r="R166" i="51"/>
  <c r="Q164" i="51"/>
  <c r="E166" i="51"/>
  <c r="T166" i="51"/>
  <c r="U167" i="51"/>
  <c r="K171" i="51"/>
  <c r="T164" i="51"/>
  <c r="K160" i="51"/>
  <c r="S160" i="51"/>
  <c r="P166" i="51"/>
  <c r="Q167" i="51"/>
  <c r="K170" i="51"/>
  <c r="N123" i="51"/>
  <c r="K126" i="51"/>
  <c r="Q126" i="51"/>
  <c r="H167" i="51"/>
  <c r="T167" i="51"/>
  <c r="N170" i="51"/>
  <c r="Q127" i="51"/>
  <c r="Y120" i="51"/>
  <c r="P122" i="51"/>
  <c r="T126" i="51"/>
  <c r="G167" i="51"/>
  <c r="L166" i="51"/>
  <c r="M167" i="51"/>
  <c r="V167" i="51"/>
  <c r="U166" i="51"/>
  <c r="U174" i="51" s="1"/>
  <c r="I122" i="51"/>
  <c r="Q122" i="51"/>
  <c r="R122" i="51"/>
  <c r="E167" i="51"/>
  <c r="E171" i="51"/>
  <c r="K167" i="51"/>
  <c r="O167" i="51"/>
  <c r="S167" i="51"/>
  <c r="Y47" i="51"/>
  <c r="E76" i="51"/>
  <c r="G76" i="51"/>
  <c r="G82" i="51"/>
  <c r="V82" i="51"/>
  <c r="H86" i="51"/>
  <c r="T86" i="51"/>
  <c r="H76" i="51"/>
  <c r="H83" i="51"/>
  <c r="L82" i="51"/>
  <c r="K165" i="51"/>
  <c r="H164" i="51"/>
  <c r="H160" i="51"/>
  <c r="L160" i="51"/>
  <c r="P160" i="51"/>
  <c r="T160" i="51"/>
  <c r="O160" i="51"/>
  <c r="W162" i="51"/>
  <c r="K164" i="51"/>
  <c r="H161" i="51"/>
  <c r="T161" i="51"/>
  <c r="U160" i="51"/>
  <c r="Y158" i="51"/>
  <c r="J160" i="51"/>
  <c r="N160" i="51"/>
  <c r="R160" i="51"/>
  <c r="V160" i="51"/>
  <c r="X158" i="51"/>
  <c r="Y159" i="51"/>
  <c r="W159" i="51"/>
  <c r="E160" i="51"/>
  <c r="F160" i="51"/>
  <c r="E161" i="51"/>
  <c r="W163" i="51"/>
  <c r="E165" i="51"/>
  <c r="G160" i="51"/>
  <c r="W124" i="51"/>
  <c r="X121" i="51"/>
  <c r="X120" i="51"/>
  <c r="W121" i="51"/>
  <c r="Y121" i="51"/>
  <c r="E126" i="51"/>
  <c r="G122" i="51"/>
  <c r="W120" i="51"/>
  <c r="F122" i="51"/>
  <c r="E123" i="51"/>
  <c r="W125" i="51"/>
  <c r="E127" i="51"/>
  <c r="J76" i="51"/>
  <c r="K80" i="51"/>
  <c r="S76" i="51"/>
  <c r="T76" i="51"/>
  <c r="Q43" i="51"/>
  <c r="H42" i="51"/>
  <c r="E42" i="51"/>
  <c r="K43" i="51"/>
  <c r="T39" i="51"/>
  <c r="W41" i="51"/>
  <c r="W47" i="51"/>
  <c r="X47" i="51"/>
  <c r="T80" i="51"/>
  <c r="Q80" i="51"/>
  <c r="V76" i="51"/>
  <c r="U76" i="51"/>
  <c r="N80" i="51"/>
  <c r="P76" i="51"/>
  <c r="N77" i="51"/>
  <c r="O76" i="51"/>
  <c r="N76" i="51"/>
  <c r="X75" i="51"/>
  <c r="L76" i="51"/>
  <c r="Y74" i="51"/>
  <c r="X74" i="51"/>
  <c r="W78" i="51"/>
  <c r="H80" i="51"/>
  <c r="I76" i="51"/>
  <c r="W74" i="51"/>
  <c r="E80" i="51"/>
  <c r="Y75" i="51"/>
  <c r="W75" i="51"/>
  <c r="F76" i="51"/>
  <c r="E77" i="51"/>
  <c r="W79" i="51"/>
  <c r="E81" i="51"/>
  <c r="M76" i="51"/>
  <c r="T43" i="51"/>
  <c r="T42" i="51"/>
  <c r="T38" i="51"/>
  <c r="Q39" i="51"/>
  <c r="S38" i="51"/>
  <c r="N42" i="51"/>
  <c r="O38" i="51"/>
  <c r="N38" i="51"/>
  <c r="K42" i="51"/>
  <c r="X37" i="51"/>
  <c r="L38" i="51"/>
  <c r="M38" i="51"/>
  <c r="H38" i="51"/>
  <c r="J38" i="51"/>
  <c r="Y36" i="51"/>
  <c r="X36" i="51"/>
  <c r="I38" i="51"/>
  <c r="W36" i="51"/>
  <c r="E38" i="51"/>
  <c r="W37" i="51"/>
  <c r="F38" i="51"/>
  <c r="E39" i="51"/>
  <c r="Y37" i="51"/>
  <c r="T101" i="14"/>
  <c r="T98" i="14"/>
  <c r="Q102" i="14"/>
  <c r="BC18" i="14"/>
  <c r="BC17" i="14"/>
  <c r="BC16" i="14"/>
  <c r="BC15" i="14"/>
  <c r="BC14" i="14"/>
  <c r="BC13" i="14"/>
  <c r="AY18" i="14"/>
  <c r="AY17" i="14"/>
  <c r="AY16" i="14"/>
  <c r="AY15" i="14"/>
  <c r="AY14" i="14"/>
  <c r="AY13" i="14"/>
  <c r="T105" i="14"/>
  <c r="T104" i="14"/>
  <c r="T100" i="14"/>
  <c r="T99" i="14"/>
  <c r="T96" i="14"/>
  <c r="L100" i="14"/>
  <c r="L99" i="14"/>
  <c r="P105" i="14"/>
  <c r="P104" i="14"/>
  <c r="P101" i="14"/>
  <c r="P100" i="14"/>
  <c r="P99" i="14"/>
  <c r="P98" i="14"/>
  <c r="P97" i="14"/>
  <c r="P96" i="14"/>
  <c r="AX48" i="14"/>
  <c r="Q172" i="51" l="1"/>
  <c r="S84" i="51"/>
  <c r="N173" i="51"/>
  <c r="Q174" i="51"/>
  <c r="T173" i="51"/>
  <c r="N169" i="51"/>
  <c r="H169" i="51"/>
  <c r="W161" i="51"/>
  <c r="K169" i="51"/>
  <c r="W165" i="51"/>
  <c r="H173" i="51"/>
  <c r="T169" i="51"/>
  <c r="Q169" i="51"/>
  <c r="W127" i="51"/>
  <c r="K173" i="51"/>
  <c r="W123" i="51"/>
  <c r="W81" i="51"/>
  <c r="W77" i="51"/>
  <c r="M174" i="51"/>
  <c r="J168" i="51"/>
  <c r="W122" i="51"/>
  <c r="Q168" i="51"/>
  <c r="N179" i="51"/>
  <c r="Q178" i="51"/>
  <c r="F168" i="51"/>
  <c r="F174" i="51"/>
  <c r="R175" i="51"/>
  <c r="R84" i="51"/>
  <c r="H179" i="51"/>
  <c r="S168" i="51"/>
  <c r="Q173" i="51"/>
  <c r="V168" i="51"/>
  <c r="S174" i="51"/>
  <c r="K168" i="51"/>
  <c r="I168" i="51"/>
  <c r="Q85" i="51"/>
  <c r="I84" i="51"/>
  <c r="T174" i="51"/>
  <c r="G175" i="51"/>
  <c r="E175" i="51"/>
  <c r="O174" i="51"/>
  <c r="I174" i="51"/>
  <c r="O175" i="51"/>
  <c r="K174" i="51"/>
  <c r="G168" i="51"/>
  <c r="O168" i="51"/>
  <c r="L168" i="51"/>
  <c r="L175" i="51"/>
  <c r="E172" i="51"/>
  <c r="X160" i="51"/>
  <c r="W160" i="51"/>
  <c r="T179" i="51"/>
  <c r="M168" i="51"/>
  <c r="H172" i="51"/>
  <c r="T172" i="51"/>
  <c r="K172" i="51"/>
  <c r="L174" i="51"/>
  <c r="H178" i="51"/>
  <c r="I175" i="51"/>
  <c r="T178" i="51"/>
  <c r="T175" i="51"/>
  <c r="Q179" i="51"/>
  <c r="N175" i="51"/>
  <c r="N168" i="51"/>
  <c r="H175" i="51"/>
  <c r="H168" i="51"/>
  <c r="H174" i="51"/>
  <c r="Y122" i="51"/>
  <c r="W43" i="51"/>
  <c r="R174" i="51"/>
  <c r="J84" i="51"/>
  <c r="E179" i="51"/>
  <c r="X82" i="51"/>
  <c r="X83" i="51"/>
  <c r="O84" i="51"/>
  <c r="F84" i="51"/>
  <c r="T85" i="51"/>
  <c r="V174" i="51"/>
  <c r="N174" i="51"/>
  <c r="M84" i="51"/>
  <c r="Y82" i="51"/>
  <c r="E173" i="51"/>
  <c r="Y167" i="51"/>
  <c r="L84" i="51"/>
  <c r="G84" i="51"/>
  <c r="G174" i="51"/>
  <c r="R168" i="51"/>
  <c r="T168" i="51"/>
  <c r="X167" i="51"/>
  <c r="K178" i="51"/>
  <c r="F175" i="51"/>
  <c r="K179" i="51"/>
  <c r="H85" i="51"/>
  <c r="J174" i="51"/>
  <c r="J175" i="51"/>
  <c r="V175" i="51"/>
  <c r="P84" i="51"/>
  <c r="P175" i="51"/>
  <c r="M175" i="51"/>
  <c r="W87" i="51"/>
  <c r="X166" i="51"/>
  <c r="K85" i="51"/>
  <c r="N85" i="51"/>
  <c r="P174" i="51"/>
  <c r="E174" i="51"/>
  <c r="K175" i="51"/>
  <c r="U175" i="51"/>
  <c r="U176" i="51" s="1"/>
  <c r="E178" i="51"/>
  <c r="S175" i="51"/>
  <c r="E169" i="51"/>
  <c r="N178" i="51"/>
  <c r="Q175" i="51"/>
  <c r="W171" i="51"/>
  <c r="P168" i="51"/>
  <c r="W126" i="51"/>
  <c r="W164" i="51"/>
  <c r="Y166" i="51"/>
  <c r="E168" i="51"/>
  <c r="U168" i="51"/>
  <c r="X122" i="51"/>
  <c r="N172" i="51"/>
  <c r="W170" i="51"/>
  <c r="W167" i="51"/>
  <c r="V84" i="51"/>
  <c r="E85" i="51"/>
  <c r="Y160" i="51"/>
  <c r="W166" i="51"/>
  <c r="W76" i="51"/>
  <c r="Y83" i="51"/>
  <c r="W42" i="51"/>
  <c r="W80" i="51"/>
  <c r="X76" i="51"/>
  <c r="Y76" i="51"/>
  <c r="W39" i="51"/>
  <c r="X38" i="51"/>
  <c r="Y38" i="51"/>
  <c r="W38" i="51"/>
  <c r="Q106" i="14"/>
  <c r="T97" i="14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Q176" i="51" l="1"/>
  <c r="W173" i="51"/>
  <c r="W169" i="51"/>
  <c r="M176" i="51"/>
  <c r="R176" i="51"/>
  <c r="S176" i="51"/>
  <c r="T176" i="51"/>
  <c r="O176" i="51"/>
  <c r="I176" i="51"/>
  <c r="K176" i="51"/>
  <c r="L176" i="51"/>
  <c r="H176" i="51"/>
  <c r="N176" i="51"/>
  <c r="Y168" i="51"/>
  <c r="X168" i="51"/>
  <c r="X84" i="51"/>
  <c r="J176" i="51"/>
  <c r="V176" i="51"/>
  <c r="P176" i="51"/>
  <c r="W172" i="51"/>
  <c r="W168" i="51"/>
  <c r="Y84" i="51"/>
  <c r="W85" i="51"/>
  <c r="R87" i="14"/>
  <c r="Q87" i="14"/>
  <c r="N87" i="14"/>
  <c r="M87" i="14"/>
  <c r="J87" i="14"/>
  <c r="I87" i="14"/>
  <c r="F87" i="14"/>
  <c r="E87" i="14"/>
  <c r="R78" i="14"/>
  <c r="Q78" i="14"/>
  <c r="N78" i="14"/>
  <c r="M78" i="14"/>
  <c r="J78" i="14"/>
  <c r="I78" i="14"/>
  <c r="F78" i="14"/>
  <c r="E78" i="14"/>
  <c r="N69" i="14"/>
  <c r="M69" i="14"/>
  <c r="J69" i="14"/>
  <c r="I69" i="14"/>
  <c r="F69" i="14"/>
  <c r="E69" i="14"/>
  <c r="J62" i="14"/>
  <c r="I62" i="14"/>
  <c r="F62" i="14"/>
  <c r="E62" i="14"/>
  <c r="J41" i="14"/>
  <c r="I41" i="14"/>
  <c r="E41" i="14"/>
  <c r="J34" i="14"/>
  <c r="I34" i="14"/>
  <c r="F34" i="14"/>
  <c r="E34" i="14"/>
  <c r="J27" i="14"/>
  <c r="I27" i="14"/>
  <c r="F27" i="14"/>
  <c r="E27" i="14"/>
  <c r="N12" i="14"/>
  <c r="M12" i="14"/>
  <c r="J12" i="14"/>
  <c r="I12" i="14"/>
  <c r="F12" i="14"/>
  <c r="E12" i="14"/>
  <c r="R5" i="14"/>
  <c r="Q5" i="14"/>
  <c r="N5" i="14"/>
  <c r="M5" i="14"/>
  <c r="J5" i="14"/>
  <c r="I5" i="14"/>
  <c r="F5" i="14"/>
  <c r="E5" i="14"/>
  <c r="F100" i="14"/>
  <c r="H100" i="14" s="1"/>
  <c r="F99" i="14"/>
  <c r="H99" i="14" s="1"/>
  <c r="BD105" i="14"/>
  <c r="AZ105" i="14"/>
  <c r="AV105" i="14"/>
  <c r="AR105" i="14"/>
  <c r="AN105" i="14"/>
  <c r="AB105" i="14"/>
  <c r="X105" i="14"/>
  <c r="L105" i="14"/>
  <c r="F105" i="14"/>
  <c r="H105" i="14" s="1"/>
  <c r="L104" i="14"/>
  <c r="F104" i="14"/>
  <c r="E104" i="14"/>
  <c r="L101" i="14"/>
  <c r="L98" i="14"/>
  <c r="L97" i="14"/>
  <c r="L96" i="14"/>
  <c r="BD95" i="14"/>
  <c r="BC95" i="14"/>
  <c r="AZ95" i="14"/>
  <c r="AY95" i="14"/>
  <c r="BD94" i="14"/>
  <c r="BC94" i="14"/>
  <c r="AZ94" i="14"/>
  <c r="BD93" i="14"/>
  <c r="BC93" i="14"/>
  <c r="AZ93" i="14"/>
  <c r="AY93" i="14"/>
  <c r="BD92" i="14"/>
  <c r="BC92" i="14"/>
  <c r="AZ92" i="14"/>
  <c r="AY92" i="14"/>
  <c r="BD91" i="14"/>
  <c r="BC91" i="14"/>
  <c r="AZ91" i="14"/>
  <c r="AY91" i="14"/>
  <c r="BD90" i="14"/>
  <c r="BC90" i="14"/>
  <c r="AZ90" i="14"/>
  <c r="AY90" i="14"/>
  <c r="BD89" i="14"/>
  <c r="BC89" i="14"/>
  <c r="AZ89" i="14"/>
  <c r="AY89" i="14"/>
  <c r="BD88" i="14"/>
  <c r="BC88" i="14"/>
  <c r="AZ88" i="14"/>
  <c r="AY88" i="14"/>
  <c r="BB87" i="14"/>
  <c r="BA87" i="14"/>
  <c r="BD87" i="14" s="1"/>
  <c r="AX87" i="14"/>
  <c r="AW87" i="14"/>
  <c r="AT87" i="14"/>
  <c r="AS87" i="14"/>
  <c r="AP87" i="14"/>
  <c r="AO87" i="14"/>
  <c r="AL87" i="14"/>
  <c r="AK87" i="14"/>
  <c r="AH87" i="14"/>
  <c r="AG87" i="14"/>
  <c r="AD87" i="14"/>
  <c r="AC87" i="14"/>
  <c r="Z87" i="14"/>
  <c r="Y87" i="14"/>
  <c r="V87" i="14"/>
  <c r="U87" i="14"/>
  <c r="BD86" i="14"/>
  <c r="BC86" i="14"/>
  <c r="AZ86" i="14"/>
  <c r="AY86" i="14"/>
  <c r="BD85" i="14"/>
  <c r="BC85" i="14"/>
  <c r="AZ85" i="14"/>
  <c r="AY85" i="14"/>
  <c r="BD84" i="14"/>
  <c r="BC84" i="14"/>
  <c r="AZ84" i="14"/>
  <c r="AY84" i="14"/>
  <c r="BD83" i="14"/>
  <c r="BC83" i="14"/>
  <c r="AZ83" i="14"/>
  <c r="AY83" i="14"/>
  <c r="BD82" i="14"/>
  <c r="BC82" i="14"/>
  <c r="AZ82" i="14"/>
  <c r="AY82" i="14"/>
  <c r="BD81" i="14"/>
  <c r="BC81" i="14"/>
  <c r="AZ81" i="14"/>
  <c r="AY81" i="14"/>
  <c r="BD80" i="14"/>
  <c r="BC80" i="14"/>
  <c r="AZ80" i="14"/>
  <c r="AY80" i="14"/>
  <c r="BD79" i="14"/>
  <c r="BC79" i="14"/>
  <c r="AZ79" i="14"/>
  <c r="AY79" i="14"/>
  <c r="BB78" i="14"/>
  <c r="BA78" i="14"/>
  <c r="BD78" i="14" s="1"/>
  <c r="AX78" i="14"/>
  <c r="AW78" i="14"/>
  <c r="AT78" i="14"/>
  <c r="AS78" i="14"/>
  <c r="AP78" i="14"/>
  <c r="AO78" i="14"/>
  <c r="AL78" i="14"/>
  <c r="AK78" i="14"/>
  <c r="AH78" i="14"/>
  <c r="AG78" i="14"/>
  <c r="AD78" i="14"/>
  <c r="AC78" i="14"/>
  <c r="Z78" i="14"/>
  <c r="Y78" i="14"/>
  <c r="V78" i="14"/>
  <c r="U78" i="14"/>
  <c r="BD77" i="14"/>
  <c r="BC77" i="14"/>
  <c r="AZ77" i="14"/>
  <c r="AY77" i="14"/>
  <c r="BD76" i="14"/>
  <c r="BC76" i="14"/>
  <c r="AZ76" i="14"/>
  <c r="AY76" i="14"/>
  <c r="BD75" i="14"/>
  <c r="BC75" i="14"/>
  <c r="AZ75" i="14"/>
  <c r="AY75" i="14"/>
  <c r="BD74" i="14"/>
  <c r="BC74" i="14"/>
  <c r="AZ74" i="14"/>
  <c r="AY74" i="14"/>
  <c r="BD73" i="14"/>
  <c r="BC73" i="14"/>
  <c r="AZ73" i="14"/>
  <c r="AY73" i="14"/>
  <c r="BD72" i="14"/>
  <c r="BC72" i="14"/>
  <c r="AZ72" i="14"/>
  <c r="AY72" i="14"/>
  <c r="BD71" i="14"/>
  <c r="BC71" i="14"/>
  <c r="AZ71" i="14"/>
  <c r="AY71" i="14"/>
  <c r="BD70" i="14"/>
  <c r="BC70" i="14"/>
  <c r="AZ70" i="14"/>
  <c r="AY70" i="14"/>
  <c r="BB69" i="14"/>
  <c r="BA69" i="14"/>
  <c r="AX69" i="14"/>
  <c r="AW69" i="14"/>
  <c r="AT69" i="14"/>
  <c r="AS69" i="14"/>
  <c r="AP69" i="14"/>
  <c r="AO69" i="14"/>
  <c r="AL69" i="14"/>
  <c r="AK69" i="14"/>
  <c r="AH69" i="14"/>
  <c r="AG69" i="14"/>
  <c r="AD69" i="14"/>
  <c r="AC69" i="14"/>
  <c r="Z69" i="14"/>
  <c r="Y69" i="14"/>
  <c r="V69" i="14"/>
  <c r="U69" i="14"/>
  <c r="R69" i="14"/>
  <c r="Q69" i="14"/>
  <c r="BD68" i="14"/>
  <c r="BC68" i="14"/>
  <c r="AZ68" i="14"/>
  <c r="AY68" i="14"/>
  <c r="BD67" i="14"/>
  <c r="BC67" i="14"/>
  <c r="AZ67" i="14"/>
  <c r="AY67" i="14"/>
  <c r="BD66" i="14"/>
  <c r="BC66" i="14"/>
  <c r="AZ66" i="14"/>
  <c r="AY66" i="14"/>
  <c r="BD65" i="14"/>
  <c r="BC65" i="14"/>
  <c r="AZ65" i="14"/>
  <c r="AY65" i="14"/>
  <c r="BD64" i="14"/>
  <c r="BC64" i="14"/>
  <c r="AZ64" i="14"/>
  <c r="AY64" i="14"/>
  <c r="BD63" i="14"/>
  <c r="BC63" i="14"/>
  <c r="AZ63" i="14"/>
  <c r="AY63" i="14"/>
  <c r="BB62" i="14"/>
  <c r="BA62" i="14"/>
  <c r="AX62" i="14"/>
  <c r="AW62" i="14"/>
  <c r="AT62" i="14"/>
  <c r="AS62" i="14"/>
  <c r="AP62" i="14"/>
  <c r="AO62" i="14"/>
  <c r="AL62" i="14"/>
  <c r="AK62" i="14"/>
  <c r="AH62" i="14"/>
  <c r="AG62" i="14"/>
  <c r="AD62" i="14"/>
  <c r="AC62" i="14"/>
  <c r="Z62" i="14"/>
  <c r="Y62" i="14"/>
  <c r="V62" i="14"/>
  <c r="U62" i="14"/>
  <c r="R62" i="14"/>
  <c r="Q62" i="14"/>
  <c r="N62" i="14"/>
  <c r="M62" i="14"/>
  <c r="BB55" i="14"/>
  <c r="AX55" i="14"/>
  <c r="AT55" i="14"/>
  <c r="AP55" i="14"/>
  <c r="AL55" i="14"/>
  <c r="AH55" i="14"/>
  <c r="AD55" i="14"/>
  <c r="Z55" i="14"/>
  <c r="V55" i="14"/>
  <c r="R55" i="14"/>
  <c r="R48" i="14" s="1"/>
  <c r="BB48" i="14"/>
  <c r="AT48" i="14"/>
  <c r="AP48" i="14"/>
  <c r="AL48" i="14"/>
  <c r="AH48" i="14"/>
  <c r="AD48" i="14"/>
  <c r="Z48" i="14"/>
  <c r="V48" i="14"/>
  <c r="BC100" i="14"/>
  <c r="W100" i="14"/>
  <c r="BD44" i="14"/>
  <c r="AI97" i="14"/>
  <c r="S97" i="14"/>
  <c r="BA41" i="14"/>
  <c r="AW41" i="14"/>
  <c r="AS41" i="14"/>
  <c r="AO41" i="14"/>
  <c r="AK41" i="14"/>
  <c r="AG41" i="14"/>
  <c r="AC41" i="14"/>
  <c r="Y41" i="14"/>
  <c r="U41" i="14"/>
  <c r="Q41" i="14"/>
  <c r="N41" i="14"/>
  <c r="M41" i="14"/>
  <c r="BD40" i="14"/>
  <c r="BC40" i="14"/>
  <c r="AZ40" i="14"/>
  <c r="AY40" i="14"/>
  <c r="BD39" i="14"/>
  <c r="BC39" i="14"/>
  <c r="AZ39" i="14"/>
  <c r="AY39" i="14"/>
  <c r="BD38" i="14"/>
  <c r="BC38" i="14"/>
  <c r="AZ38" i="14"/>
  <c r="AY38" i="14"/>
  <c r="BD37" i="14"/>
  <c r="BC37" i="14"/>
  <c r="AZ37" i="14"/>
  <c r="AY37" i="14"/>
  <c r="BD36" i="14"/>
  <c r="BC36" i="14"/>
  <c r="AZ36" i="14"/>
  <c r="AY36" i="14"/>
  <c r="BD35" i="14"/>
  <c r="BC35" i="14"/>
  <c r="AZ35" i="14"/>
  <c r="AY35" i="14"/>
  <c r="BB34" i="14"/>
  <c r="BA34" i="14"/>
  <c r="AX34" i="14"/>
  <c r="AW34" i="14"/>
  <c r="AT34" i="14"/>
  <c r="AS34" i="14"/>
  <c r="AP34" i="14"/>
  <c r="AO34" i="14"/>
  <c r="AL34" i="14"/>
  <c r="AK34" i="14"/>
  <c r="AH34" i="14"/>
  <c r="AG34" i="14"/>
  <c r="AD34" i="14"/>
  <c r="AC34" i="14"/>
  <c r="Z34" i="14"/>
  <c r="Y34" i="14"/>
  <c r="V34" i="14"/>
  <c r="U34" i="14"/>
  <c r="R34" i="14"/>
  <c r="Q34" i="14"/>
  <c r="N34" i="14"/>
  <c r="M34" i="14"/>
  <c r="BD33" i="14"/>
  <c r="BC33" i="14"/>
  <c r="AZ33" i="14"/>
  <c r="AY33" i="14"/>
  <c r="BD32" i="14"/>
  <c r="BC32" i="14"/>
  <c r="AZ32" i="14"/>
  <c r="AY32" i="14"/>
  <c r="BD31" i="14"/>
  <c r="BC31" i="14"/>
  <c r="AZ31" i="14"/>
  <c r="AY31" i="14"/>
  <c r="BD30" i="14"/>
  <c r="BC30" i="14"/>
  <c r="AZ30" i="14"/>
  <c r="AY30" i="14"/>
  <c r="BD29" i="14"/>
  <c r="BC29" i="14"/>
  <c r="AZ29" i="14"/>
  <c r="AY29" i="14"/>
  <c r="BD28" i="14"/>
  <c r="BC28" i="14"/>
  <c r="AZ28" i="14"/>
  <c r="AY28" i="14"/>
  <c r="BB27" i="14"/>
  <c r="BA27" i="14"/>
  <c r="AX27" i="14"/>
  <c r="AW27" i="14"/>
  <c r="AT27" i="14"/>
  <c r="AS27" i="14"/>
  <c r="AP27" i="14"/>
  <c r="AO27" i="14"/>
  <c r="AL27" i="14"/>
  <c r="AK27" i="14"/>
  <c r="AH27" i="14"/>
  <c r="AG27" i="14"/>
  <c r="AD27" i="14"/>
  <c r="AC27" i="14"/>
  <c r="Z27" i="14"/>
  <c r="Y27" i="14"/>
  <c r="V27" i="14"/>
  <c r="U27" i="14"/>
  <c r="R27" i="14"/>
  <c r="Q27" i="14"/>
  <c r="N27" i="14"/>
  <c r="M27" i="14"/>
  <c r="BD26" i="14"/>
  <c r="BC26" i="14"/>
  <c r="AZ26" i="14"/>
  <c r="AY26" i="14"/>
  <c r="BD25" i="14"/>
  <c r="BC25" i="14"/>
  <c r="AZ25" i="14"/>
  <c r="AY25" i="14"/>
  <c r="BD24" i="14"/>
  <c r="BC24" i="14"/>
  <c r="AZ24" i="14"/>
  <c r="AY24" i="14"/>
  <c r="BD23" i="14"/>
  <c r="BC23" i="14"/>
  <c r="AZ23" i="14"/>
  <c r="AY23" i="14"/>
  <c r="BD22" i="14"/>
  <c r="BC22" i="14"/>
  <c r="AZ22" i="14"/>
  <c r="AY22" i="14"/>
  <c r="BD21" i="14"/>
  <c r="BC21" i="14"/>
  <c r="AZ21" i="14"/>
  <c r="AY21" i="14"/>
  <c r="BD20" i="14"/>
  <c r="BC20" i="14"/>
  <c r="AZ20" i="14"/>
  <c r="AY20" i="14"/>
  <c r="BB19" i="14"/>
  <c r="BA19" i="14"/>
  <c r="AX19" i="14"/>
  <c r="BD18" i="14"/>
  <c r="AZ18" i="14"/>
  <c r="BD17" i="14"/>
  <c r="AZ17" i="14"/>
  <c r="BD16" i="14"/>
  <c r="AZ16" i="14"/>
  <c r="BD15" i="14"/>
  <c r="AZ15" i="14"/>
  <c r="BD14" i="14"/>
  <c r="AZ14" i="14"/>
  <c r="BD13" i="14"/>
  <c r="AZ13" i="14"/>
  <c r="BB12" i="14"/>
  <c r="BA12" i="14"/>
  <c r="AX12" i="14"/>
  <c r="AW12" i="14"/>
  <c r="AT12" i="14"/>
  <c r="AS12" i="14"/>
  <c r="AP12" i="14"/>
  <c r="AO12" i="14"/>
  <c r="AL12" i="14"/>
  <c r="AK12" i="14"/>
  <c r="AH12" i="14"/>
  <c r="AG12" i="14"/>
  <c r="AD12" i="14"/>
  <c r="AC12" i="14"/>
  <c r="Z12" i="14"/>
  <c r="Y12" i="14"/>
  <c r="V12" i="14"/>
  <c r="U12" i="14"/>
  <c r="R12" i="14"/>
  <c r="Q12" i="14"/>
  <c r="BD11" i="14"/>
  <c r="BC11" i="14"/>
  <c r="AZ11" i="14"/>
  <c r="AY11" i="14"/>
  <c r="BD10" i="14"/>
  <c r="BC10" i="14"/>
  <c r="AZ10" i="14"/>
  <c r="AY10" i="14"/>
  <c r="BD9" i="14"/>
  <c r="BC9" i="14"/>
  <c r="AZ9" i="14"/>
  <c r="AY9" i="14"/>
  <c r="BD8" i="14"/>
  <c r="BC8" i="14"/>
  <c r="AZ8" i="14"/>
  <c r="AY8" i="14"/>
  <c r="BD7" i="14"/>
  <c r="BC7" i="14"/>
  <c r="AZ7" i="14"/>
  <c r="AY7" i="14"/>
  <c r="BD6" i="14"/>
  <c r="BC6" i="14"/>
  <c r="AZ6" i="14"/>
  <c r="AY6" i="14"/>
  <c r="BB5" i="14"/>
  <c r="BA5" i="14"/>
  <c r="AX5" i="14"/>
  <c r="AW5" i="14"/>
  <c r="AT5" i="14"/>
  <c r="AS5" i="14"/>
  <c r="AP5" i="14"/>
  <c r="AO5" i="14"/>
  <c r="AL5" i="14"/>
  <c r="AK5" i="14"/>
  <c r="AH5" i="14"/>
  <c r="AG5" i="14"/>
  <c r="AD5" i="14"/>
  <c r="AC5" i="14"/>
  <c r="Z5" i="14"/>
  <c r="Y5" i="14"/>
  <c r="V5" i="14"/>
  <c r="U5" i="14"/>
  <c r="T5" i="14" l="1"/>
  <c r="L41" i="14"/>
  <c r="L12" i="14"/>
  <c r="X87" i="14"/>
  <c r="AN87" i="14"/>
  <c r="H62" i="14"/>
  <c r="H69" i="14"/>
  <c r="L78" i="14"/>
  <c r="P78" i="14"/>
  <c r="P87" i="14"/>
  <c r="AB87" i="14"/>
  <c r="AR87" i="14"/>
  <c r="AZ87" i="14"/>
  <c r="AV87" i="14"/>
  <c r="P41" i="14"/>
  <c r="T12" i="14"/>
  <c r="P5" i="14"/>
  <c r="AZ78" i="14"/>
  <c r="T34" i="14"/>
  <c r="H12" i="14"/>
  <c r="P12" i="14"/>
  <c r="T62" i="14"/>
  <c r="X78" i="14"/>
  <c r="AN78" i="14"/>
  <c r="AV78" i="14"/>
  <c r="T87" i="14"/>
  <c r="AB78" i="14"/>
  <c r="AR78" i="14"/>
  <c r="T78" i="14"/>
  <c r="T69" i="14"/>
  <c r="P69" i="14"/>
  <c r="P62" i="14"/>
  <c r="P34" i="14"/>
  <c r="T27" i="14"/>
  <c r="P27" i="14"/>
  <c r="O12" i="14"/>
  <c r="H87" i="14"/>
  <c r="O5" i="14"/>
  <c r="F101" i="14"/>
  <c r="G101" i="14" s="1"/>
  <c r="F98" i="14"/>
  <c r="H98" i="14" s="1"/>
  <c r="F97" i="14"/>
  <c r="H97" i="14" s="1"/>
  <c r="F96" i="14"/>
  <c r="H96" i="14" s="1"/>
  <c r="L87" i="14"/>
  <c r="H78" i="14"/>
  <c r="L69" i="14"/>
  <c r="H104" i="14"/>
  <c r="L62" i="14"/>
  <c r="L34" i="14"/>
  <c r="H34" i="14"/>
  <c r="L27" i="14"/>
  <c r="H27" i="14"/>
  <c r="L5" i="14"/>
  <c r="G69" i="14"/>
  <c r="G100" i="14"/>
  <c r="G99" i="14"/>
  <c r="H5" i="14"/>
  <c r="BC101" i="14"/>
  <c r="AM101" i="14"/>
  <c r="AM100" i="14"/>
  <c r="G27" i="14"/>
  <c r="K69" i="14"/>
  <c r="G87" i="14"/>
  <c r="F41" i="14"/>
  <c r="K5" i="14"/>
  <c r="K34" i="14"/>
  <c r="K62" i="14"/>
  <c r="O69" i="14"/>
  <c r="K78" i="14"/>
  <c r="S87" i="14"/>
  <c r="O87" i="14"/>
  <c r="K87" i="14"/>
  <c r="S78" i="14"/>
  <c r="O78" i="14"/>
  <c r="G78" i="14"/>
  <c r="G62" i="14"/>
  <c r="K41" i="14"/>
  <c r="G34" i="14"/>
  <c r="K27" i="14"/>
  <c r="K12" i="14"/>
  <c r="G12" i="14"/>
  <c r="S5" i="14"/>
  <c r="G5" i="14"/>
  <c r="X12" i="14"/>
  <c r="O99" i="14"/>
  <c r="O100" i="14"/>
  <c r="K99" i="14"/>
  <c r="K100" i="14"/>
  <c r="AF12" i="14"/>
  <c r="AN12" i="14"/>
  <c r="BC19" i="14"/>
  <c r="AA78" i="14"/>
  <c r="AB104" i="14"/>
  <c r="AJ104" i="14"/>
  <c r="AR104" i="14"/>
  <c r="AZ104" i="14"/>
  <c r="AF105" i="14"/>
  <c r="AA69" i="14"/>
  <c r="AI69" i="14"/>
  <c r="AQ69" i="14"/>
  <c r="AY69" i="14"/>
  <c r="AM97" i="14"/>
  <c r="AU99" i="14"/>
  <c r="AU78" i="14"/>
  <c r="W97" i="14"/>
  <c r="W34" i="14"/>
  <c r="AE34" i="14"/>
  <c r="AM34" i="14"/>
  <c r="AU34" i="14"/>
  <c r="BC34" i="14"/>
  <c r="AJ99" i="14"/>
  <c r="AZ99" i="14"/>
  <c r="BC46" i="14"/>
  <c r="E102" i="14"/>
  <c r="V41" i="14"/>
  <c r="W41" i="14" s="1"/>
  <c r="AY43" i="14"/>
  <c r="AF62" i="14"/>
  <c r="AN62" i="14"/>
  <c r="AV62" i="14"/>
  <c r="BD62" i="14"/>
  <c r="AI78" i="14"/>
  <c r="K97" i="14"/>
  <c r="O97" i="14"/>
  <c r="AV12" i="14"/>
  <c r="BD12" i="14"/>
  <c r="AA100" i="14"/>
  <c r="W78" i="14"/>
  <c r="AB27" i="14"/>
  <c r="AJ27" i="14"/>
  <c r="AR27" i="14"/>
  <c r="AZ27" i="14"/>
  <c r="AE96" i="14"/>
  <c r="AU96" i="14"/>
  <c r="AA98" i="14"/>
  <c r="AE99" i="14"/>
  <c r="Y102" i="14"/>
  <c r="Y106" i="14" s="1"/>
  <c r="AJ97" i="14"/>
  <c r="AA5" i="14"/>
  <c r="AI5" i="14"/>
  <c r="AQ5" i="14"/>
  <c r="AY5" i="14"/>
  <c r="AY19" i="14"/>
  <c r="AZ43" i="14"/>
  <c r="X69" i="14"/>
  <c r="AF69" i="14"/>
  <c r="AF78" i="14"/>
  <c r="AQ78" i="14"/>
  <c r="AS102" i="14"/>
  <c r="AS106" i="14" s="1"/>
  <c r="K101" i="14"/>
  <c r="AL41" i="14"/>
  <c r="AM41" i="14" s="1"/>
  <c r="AE78" i="14"/>
  <c r="AA87" i="14"/>
  <c r="AI87" i="14"/>
  <c r="AQ87" i="14"/>
  <c r="AY87" i="14"/>
  <c r="W5" i="14"/>
  <c r="AE5" i="14"/>
  <c r="AM5" i="14"/>
  <c r="AU5" i="14"/>
  <c r="BC5" i="14"/>
  <c r="W27" i="14"/>
  <c r="AE27" i="14"/>
  <c r="AM27" i="14"/>
  <c r="AU27" i="14"/>
  <c r="BC27" i="14"/>
  <c r="AB34" i="14"/>
  <c r="AJ34" i="14"/>
  <c r="AD41" i="14"/>
  <c r="AE41" i="14" s="1"/>
  <c r="AY97" i="14"/>
  <c r="BC47" i="14"/>
  <c r="AE62" i="14"/>
  <c r="AF87" i="14"/>
  <c r="AF97" i="14"/>
  <c r="S100" i="14"/>
  <c r="AI101" i="14"/>
  <c r="AB5" i="14"/>
  <c r="AJ5" i="14"/>
  <c r="AR5" i="14"/>
  <c r="AZ5" i="14"/>
  <c r="AZ19" i="14"/>
  <c r="AX41" i="14"/>
  <c r="AY41" i="14" s="1"/>
  <c r="R41" i="14"/>
  <c r="T41" i="14" s="1"/>
  <c r="AZ96" i="14"/>
  <c r="AZ42" i="14"/>
  <c r="AY42" i="14"/>
  <c r="AZ44" i="14"/>
  <c r="AY44" i="14"/>
  <c r="AY98" i="14"/>
  <c r="AI100" i="14"/>
  <c r="AY101" i="14"/>
  <c r="AZ47" i="14"/>
  <c r="AY47" i="14"/>
  <c r="AF96" i="14"/>
  <c r="AC102" i="14"/>
  <c r="AC106" i="14" s="1"/>
  <c r="AB99" i="14"/>
  <c r="AZ100" i="14"/>
  <c r="AZ46" i="14"/>
  <c r="AY46" i="14"/>
  <c r="X5" i="14"/>
  <c r="AF5" i="14"/>
  <c r="AN5" i="14"/>
  <c r="AV5" i="14"/>
  <c r="BD5" i="14"/>
  <c r="BD19" i="14"/>
  <c r="AJ96" i="14"/>
  <c r="AH41" i="14"/>
  <c r="AJ41" i="14" s="1"/>
  <c r="AI98" i="14"/>
  <c r="AR99" i="14"/>
  <c r="S101" i="14"/>
  <c r="I102" i="14"/>
  <c r="I106" i="14" s="1"/>
  <c r="K96" i="14"/>
  <c r="BA102" i="14"/>
  <c r="BA106" i="14" s="1"/>
  <c r="AR34" i="14"/>
  <c r="AZ34" i="14"/>
  <c r="BC97" i="14"/>
  <c r="BD46" i="14"/>
  <c r="BD47" i="14"/>
  <c r="AU62" i="14"/>
  <c r="AN69" i="14"/>
  <c r="AV69" i="14"/>
  <c r="BD69" i="14"/>
  <c r="AM78" i="14"/>
  <c r="BC78" i="14"/>
  <c r="AV96" i="14"/>
  <c r="AV97" i="14"/>
  <c r="AT41" i="14"/>
  <c r="AU41" i="14" s="1"/>
  <c r="Z41" i="14"/>
  <c r="AA41" i="14" s="1"/>
  <c r="AP41" i="14"/>
  <c r="AQ41" i="14" s="1"/>
  <c r="AQ100" i="14"/>
  <c r="O62" i="14"/>
  <c r="AJ62" i="14"/>
  <c r="AJ78" i="14"/>
  <c r="AY78" i="14"/>
  <c r="AO102" i="14"/>
  <c r="AO106" i="14" s="1"/>
  <c r="U102" i="14"/>
  <c r="U106" i="14" s="1"/>
  <c r="AB12" i="14"/>
  <c r="AJ12" i="14"/>
  <c r="AR12" i="14"/>
  <c r="AZ12" i="14"/>
  <c r="W101" i="14"/>
  <c r="X62" i="14"/>
  <c r="AZ62" i="14"/>
  <c r="AK102" i="14"/>
  <c r="AK106" i="14" s="1"/>
  <c r="AZ97" i="14"/>
  <c r="M102" i="14"/>
  <c r="N102" i="14"/>
  <c r="N106" i="14" s="1"/>
  <c r="AQ101" i="14"/>
  <c r="X104" i="14"/>
  <c r="AF104" i="14"/>
  <c r="AN104" i="14"/>
  <c r="AV104" i="14"/>
  <c r="BD104" i="14"/>
  <c r="AJ105" i="14"/>
  <c r="O34" i="14"/>
  <c r="AA62" i="14"/>
  <c r="AB62" i="14"/>
  <c r="W12" i="14"/>
  <c r="AM12" i="14"/>
  <c r="BC12" i="14"/>
  <c r="BD45" i="14"/>
  <c r="BC45" i="14"/>
  <c r="BB41" i="14"/>
  <c r="BC41" i="14" s="1"/>
  <c r="AE101" i="14"/>
  <c r="AU101" i="14"/>
  <c r="AN100" i="14"/>
  <c r="AA27" i="14"/>
  <c r="AQ27" i="14"/>
  <c r="AA34" i="14"/>
  <c r="AQ34" i="14"/>
  <c r="AY34" i="14"/>
  <c r="S69" i="14"/>
  <c r="AQ98" i="14"/>
  <c r="O27" i="14"/>
  <c r="O41" i="14"/>
  <c r="AE12" i="14"/>
  <c r="AU12" i="14"/>
  <c r="AE100" i="14"/>
  <c r="AU100" i="14"/>
  <c r="AQ62" i="14"/>
  <c r="AR62" i="14"/>
  <c r="S27" i="14"/>
  <c r="AI27" i="14"/>
  <c r="AY27" i="14"/>
  <c r="S34" i="14"/>
  <c r="AI34" i="14"/>
  <c r="S12" i="14"/>
  <c r="AA12" i="14"/>
  <c r="AI12" i="14"/>
  <c r="AQ12" i="14"/>
  <c r="AY12" i="14"/>
  <c r="X27" i="14"/>
  <c r="AF27" i="14"/>
  <c r="AN27" i="14"/>
  <c r="AV27" i="14"/>
  <c r="BD27" i="14"/>
  <c r="X34" i="14"/>
  <c r="AF34" i="14"/>
  <c r="AN34" i="14"/>
  <c r="AV34" i="14"/>
  <c r="BD34" i="14"/>
  <c r="AE98" i="14"/>
  <c r="AU98" i="14"/>
  <c r="X100" i="14"/>
  <c r="W62" i="14"/>
  <c r="AM62" i="14"/>
  <c r="AF98" i="14"/>
  <c r="AV98" i="14"/>
  <c r="S99" i="14"/>
  <c r="AI99" i="14"/>
  <c r="AY99" i="14"/>
  <c r="BC42" i="14"/>
  <c r="BC43" i="14"/>
  <c r="BC44" i="14"/>
  <c r="AY45" i="14"/>
  <c r="S62" i="14"/>
  <c r="AI62" i="14"/>
  <c r="AY62" i="14"/>
  <c r="W69" i="14"/>
  <c r="AE69" i="14"/>
  <c r="AM69" i="14"/>
  <c r="AU69" i="14"/>
  <c r="BC69" i="14"/>
  <c r="W87" i="14"/>
  <c r="AE87" i="14"/>
  <c r="AM87" i="14"/>
  <c r="AU87" i="14"/>
  <c r="BC87" i="14"/>
  <c r="J102" i="14"/>
  <c r="O96" i="14"/>
  <c r="W96" i="14"/>
  <c r="AG102" i="14"/>
  <c r="AM96" i="14"/>
  <c r="AW102" i="14"/>
  <c r="BC96" i="14"/>
  <c r="X97" i="14"/>
  <c r="AN97" i="14"/>
  <c r="BD97" i="14"/>
  <c r="O98" i="14"/>
  <c r="W98" i="14"/>
  <c r="AM98" i="14"/>
  <c r="BC98" i="14"/>
  <c r="AF99" i="14"/>
  <c r="AV99" i="14"/>
  <c r="AB100" i="14"/>
  <c r="AR100" i="14"/>
  <c r="BD100" i="14"/>
  <c r="AA101" i="14"/>
  <c r="BC62" i="14"/>
  <c r="BD42" i="14"/>
  <c r="AE97" i="14"/>
  <c r="AU97" i="14"/>
  <c r="BD43" i="14"/>
  <c r="AZ45" i="14"/>
  <c r="AB69" i="14"/>
  <c r="AJ69" i="14"/>
  <c r="AR69" i="14"/>
  <c r="AZ69" i="14"/>
  <c r="AJ87" i="14"/>
  <c r="X96" i="14"/>
  <c r="AN96" i="14"/>
  <c r="BD96" i="14"/>
  <c r="K98" i="14"/>
  <c r="AB98" i="14"/>
  <c r="K104" i="14"/>
  <c r="S104" i="14"/>
  <c r="AA104" i="14"/>
  <c r="AI104" i="14"/>
  <c r="AQ104" i="14"/>
  <c r="AY104" i="14"/>
  <c r="G105" i="14"/>
  <c r="O105" i="14"/>
  <c r="W105" i="14"/>
  <c r="AE105" i="14"/>
  <c r="AM105" i="14"/>
  <c r="AU105" i="14"/>
  <c r="BC105" i="14"/>
  <c r="X101" i="14"/>
  <c r="AN101" i="14"/>
  <c r="BD101" i="14"/>
  <c r="O101" i="14"/>
  <c r="G104" i="14"/>
  <c r="O104" i="14"/>
  <c r="W104" i="14"/>
  <c r="AE104" i="14"/>
  <c r="AM104" i="14"/>
  <c r="AU104" i="14"/>
  <c r="BC104" i="14"/>
  <c r="K105" i="14"/>
  <c r="S105" i="14"/>
  <c r="AA105" i="14"/>
  <c r="AI105" i="14"/>
  <c r="AQ105" i="14"/>
  <c r="AY105" i="14"/>
  <c r="H101" i="14" l="1"/>
  <c r="AN41" i="14"/>
  <c r="L102" i="14"/>
  <c r="M106" i="14"/>
  <c r="P106" i="14" s="1"/>
  <c r="P102" i="14"/>
  <c r="G97" i="14"/>
  <c r="G96" i="14"/>
  <c r="G41" i="14"/>
  <c r="H41" i="14"/>
  <c r="F102" i="14"/>
  <c r="F106" i="14" s="1"/>
  <c r="G98" i="14"/>
  <c r="E106" i="14"/>
  <c r="S41" i="14"/>
  <c r="AF41" i="14"/>
  <c r="AJ101" i="14"/>
  <c r="BD41" i="14"/>
  <c r="AI41" i="14"/>
  <c r="AV101" i="14"/>
  <c r="AY96" i="14"/>
  <c r="AZ41" i="14"/>
  <c r="AF100" i="14"/>
  <c r="AQ99" i="14"/>
  <c r="AZ101" i="14"/>
  <c r="AX102" i="14"/>
  <c r="AX106" i="14" s="1"/>
  <c r="X41" i="14"/>
  <c r="AF101" i="14"/>
  <c r="AZ98" i="14"/>
  <c r="S96" i="14"/>
  <c r="S98" i="14"/>
  <c r="AR98" i="14"/>
  <c r="AD102" i="14"/>
  <c r="AD106" i="14" s="1"/>
  <c r="AF106" i="14" s="1"/>
  <c r="K102" i="14"/>
  <c r="K106" i="14" s="1"/>
  <c r="AA99" i="14"/>
  <c r="R102" i="14"/>
  <c r="AE102" i="14"/>
  <c r="AE106" i="14" s="1"/>
  <c r="O102" i="14"/>
  <c r="O106" i="14" s="1"/>
  <c r="AT102" i="14"/>
  <c r="AT106" i="14" s="1"/>
  <c r="AV106" i="14" s="1"/>
  <c r="AV100" i="14"/>
  <c r="AU102" i="14"/>
  <c r="AU106" i="14" s="1"/>
  <c r="AV41" i="14"/>
  <c r="AJ100" i="14"/>
  <c r="AR101" i="14"/>
  <c r="AI96" i="14"/>
  <c r="AI102" i="14" s="1"/>
  <c r="AI106" i="14" s="1"/>
  <c r="AY100" i="14"/>
  <c r="AR41" i="14"/>
  <c r="AJ98" i="14"/>
  <c r="AH102" i="14"/>
  <c r="AH106" i="14" s="1"/>
  <c r="X98" i="14"/>
  <c r="AB41" i="14"/>
  <c r="AA97" i="14"/>
  <c r="AB97" i="14"/>
  <c r="AM99" i="14"/>
  <c r="AM102" i="14" s="1"/>
  <c r="AM106" i="14" s="1"/>
  <c r="AN99" i="14"/>
  <c r="W99" i="14"/>
  <c r="W102" i="14" s="1"/>
  <c r="W106" i="14" s="1"/>
  <c r="X99" i="14"/>
  <c r="AQ97" i="14"/>
  <c r="AR97" i="14"/>
  <c r="AP102" i="14"/>
  <c r="AR96" i="14"/>
  <c r="AQ96" i="14"/>
  <c r="BC99" i="14"/>
  <c r="BC102" i="14" s="1"/>
  <c r="BC106" i="14" s="1"/>
  <c r="BD99" i="14"/>
  <c r="AL102" i="14"/>
  <c r="AG106" i="14"/>
  <c r="J106" i="14"/>
  <c r="L106" i="14" s="1"/>
  <c r="AB101" i="14"/>
  <c r="BB102" i="14"/>
  <c r="AW106" i="14"/>
  <c r="Z102" i="14"/>
  <c r="AB96" i="14"/>
  <c r="AA96" i="14"/>
  <c r="BD98" i="14"/>
  <c r="AN98" i="14"/>
  <c r="V102" i="14"/>
  <c r="R106" i="14" l="1"/>
  <c r="T106" i="14" s="1"/>
  <c r="T102" i="14"/>
  <c r="G102" i="14"/>
  <c r="G106" i="14" s="1"/>
  <c r="H102" i="14"/>
  <c r="H106" i="14"/>
  <c r="AZ106" i="14"/>
  <c r="AV102" i="14"/>
  <c r="AJ102" i="14"/>
  <c r="S102" i="14"/>
  <c r="S106" i="14" s="1"/>
  <c r="AQ102" i="14"/>
  <c r="AQ106" i="14" s="1"/>
  <c r="AY102" i="14"/>
  <c r="AY106" i="14" s="1"/>
  <c r="AZ102" i="14"/>
  <c r="AF102" i="14"/>
  <c r="AJ106" i="14"/>
  <c r="AA102" i="14"/>
  <c r="AA106" i="14" s="1"/>
  <c r="V106" i="14"/>
  <c r="X106" i="14" s="1"/>
  <c r="X102" i="14"/>
  <c r="AL106" i="14"/>
  <c r="AN106" i="14" s="1"/>
  <c r="AN102" i="14"/>
  <c r="AP106" i="14"/>
  <c r="AR106" i="14" s="1"/>
  <c r="AR102" i="14"/>
  <c r="BB106" i="14"/>
  <c r="BD106" i="14" s="1"/>
  <c r="BD102" i="14"/>
  <c r="Z106" i="14"/>
  <c r="AB106" i="14" s="1"/>
  <c r="AB102" i="14"/>
  <c r="T157" i="51" l="1"/>
  <c r="Q157" i="51"/>
  <c r="N157" i="51"/>
  <c r="K157" i="51"/>
  <c r="H157" i="51"/>
  <c r="E157" i="51"/>
  <c r="T156" i="51"/>
  <c r="Q156" i="51"/>
  <c r="N156" i="51"/>
  <c r="K156" i="51"/>
  <c r="H156" i="51"/>
  <c r="E156" i="51"/>
  <c r="W155" i="51"/>
  <c r="W154" i="51"/>
  <c r="W153" i="51"/>
  <c r="T152" i="51"/>
  <c r="Q152" i="51"/>
  <c r="N152" i="51"/>
  <c r="K152" i="51"/>
  <c r="H152" i="51"/>
  <c r="E152" i="51"/>
  <c r="V151" i="51"/>
  <c r="U151" i="51"/>
  <c r="T151" i="51"/>
  <c r="S151" i="51"/>
  <c r="R151" i="51"/>
  <c r="Q151" i="51"/>
  <c r="P151" i="51"/>
  <c r="O151" i="51"/>
  <c r="N151" i="51"/>
  <c r="M151" i="51"/>
  <c r="L151" i="51"/>
  <c r="K151" i="51"/>
  <c r="J151" i="51"/>
  <c r="I151" i="51"/>
  <c r="H151" i="51"/>
  <c r="G151" i="51"/>
  <c r="F151" i="51"/>
  <c r="E151" i="51"/>
  <c r="Y150" i="51"/>
  <c r="X150" i="51"/>
  <c r="W150" i="51"/>
  <c r="Y149" i="51"/>
  <c r="X149" i="51"/>
  <c r="W149" i="51"/>
  <c r="Y148" i="51"/>
  <c r="X148" i="51"/>
  <c r="W148" i="51"/>
  <c r="T147" i="51"/>
  <c r="Q147" i="51"/>
  <c r="N147" i="51"/>
  <c r="K147" i="51"/>
  <c r="H147" i="51"/>
  <c r="E147" i="51"/>
  <c r="T146" i="51"/>
  <c r="Q146" i="51"/>
  <c r="N146" i="51"/>
  <c r="K146" i="51"/>
  <c r="H146" i="51"/>
  <c r="E146" i="51"/>
  <c r="W145" i="51"/>
  <c r="W144" i="51"/>
  <c r="W143" i="51"/>
  <c r="T142" i="51"/>
  <c r="Q142" i="51"/>
  <c r="N142" i="51"/>
  <c r="K142" i="51"/>
  <c r="H142" i="51"/>
  <c r="E142" i="51"/>
  <c r="V141" i="51"/>
  <c r="U141" i="51"/>
  <c r="T141" i="51"/>
  <c r="S141" i="51"/>
  <c r="R141" i="51"/>
  <c r="Q141" i="51"/>
  <c r="P141" i="51"/>
  <c r="O141" i="51"/>
  <c r="N141" i="51"/>
  <c r="M141" i="51"/>
  <c r="L141" i="51"/>
  <c r="K141" i="51"/>
  <c r="J141" i="51"/>
  <c r="I141" i="51"/>
  <c r="H141" i="51"/>
  <c r="G141" i="51"/>
  <c r="F141" i="51"/>
  <c r="E141" i="51"/>
  <c r="Y140" i="51"/>
  <c r="X140" i="51"/>
  <c r="W140" i="51"/>
  <c r="Y139" i="51"/>
  <c r="X139" i="51"/>
  <c r="W139" i="51"/>
  <c r="Y138" i="51"/>
  <c r="X138" i="51"/>
  <c r="W138" i="51"/>
  <c r="T137" i="51"/>
  <c r="Q137" i="51"/>
  <c r="N137" i="51"/>
  <c r="K137" i="51"/>
  <c r="H137" i="51"/>
  <c r="E137" i="51"/>
  <c r="T136" i="51"/>
  <c r="Q136" i="51"/>
  <c r="N136" i="51"/>
  <c r="K136" i="51"/>
  <c r="H136" i="51"/>
  <c r="E136" i="51"/>
  <c r="W135" i="51"/>
  <c r="W134" i="51"/>
  <c r="W133" i="51"/>
  <c r="T132" i="51"/>
  <c r="Q132" i="51"/>
  <c r="N132" i="51"/>
  <c r="K132" i="51"/>
  <c r="H132" i="51"/>
  <c r="E132" i="51"/>
  <c r="V131" i="51"/>
  <c r="U131" i="51"/>
  <c r="T131" i="51"/>
  <c r="S131" i="51"/>
  <c r="R131" i="51"/>
  <c r="Q131" i="51"/>
  <c r="P131" i="51"/>
  <c r="O131" i="51"/>
  <c r="N131" i="51"/>
  <c r="M131" i="51"/>
  <c r="L131" i="51"/>
  <c r="K131" i="51"/>
  <c r="J131" i="51"/>
  <c r="I131" i="51"/>
  <c r="H131" i="51"/>
  <c r="G131" i="51"/>
  <c r="F131" i="51"/>
  <c r="E131" i="51"/>
  <c r="Y130" i="51"/>
  <c r="X130" i="51"/>
  <c r="W130" i="51"/>
  <c r="Y129" i="51"/>
  <c r="X129" i="51"/>
  <c r="W129" i="51"/>
  <c r="Y128" i="51"/>
  <c r="X128" i="51"/>
  <c r="W128" i="51"/>
  <c r="T119" i="51"/>
  <c r="Q119" i="51"/>
  <c r="N119" i="51"/>
  <c r="K119" i="51"/>
  <c r="H119" i="51"/>
  <c r="E119" i="51"/>
  <c r="T118" i="51"/>
  <c r="Q118" i="51"/>
  <c r="N118" i="51"/>
  <c r="K118" i="51"/>
  <c r="H118" i="51"/>
  <c r="E118" i="51"/>
  <c r="W117" i="51"/>
  <c r="W116" i="51"/>
  <c r="W115" i="51"/>
  <c r="T114" i="51"/>
  <c r="Q114" i="51"/>
  <c r="N114" i="51"/>
  <c r="K114" i="51"/>
  <c r="H114" i="51"/>
  <c r="E114" i="51"/>
  <c r="V113" i="51"/>
  <c r="U113" i="51"/>
  <c r="T113" i="51"/>
  <c r="S113" i="51"/>
  <c r="R113" i="51"/>
  <c r="Q113" i="51"/>
  <c r="P113" i="51"/>
  <c r="O113" i="51"/>
  <c r="N113" i="51"/>
  <c r="M113" i="51"/>
  <c r="L113" i="51"/>
  <c r="K113" i="51"/>
  <c r="J113" i="51"/>
  <c r="I113" i="51"/>
  <c r="H113" i="51"/>
  <c r="G113" i="51"/>
  <c r="F113" i="51"/>
  <c r="E113" i="51"/>
  <c r="Y112" i="51"/>
  <c r="X112" i="51"/>
  <c r="W112" i="51"/>
  <c r="Y111" i="51"/>
  <c r="X111" i="51"/>
  <c r="W111" i="51"/>
  <c r="Y110" i="51"/>
  <c r="X110" i="51"/>
  <c r="W110" i="51"/>
  <c r="W157" i="51" l="1"/>
  <c r="W147" i="51"/>
  <c r="W137" i="51"/>
  <c r="W119" i="51"/>
  <c r="W152" i="51"/>
  <c r="W132" i="51"/>
  <c r="W114" i="51"/>
  <c r="Y151" i="51"/>
  <c r="X113" i="51"/>
  <c r="Y141" i="51"/>
  <c r="W151" i="51"/>
  <c r="X131" i="51"/>
  <c r="W136" i="51"/>
  <c r="X151" i="51"/>
  <c r="W141" i="51"/>
  <c r="X141" i="51"/>
  <c r="Y131" i="51"/>
  <c r="W131" i="51"/>
  <c r="Y113" i="51"/>
  <c r="W113" i="51"/>
  <c r="W156" i="51"/>
  <c r="W146" i="51"/>
  <c r="W142" i="51"/>
  <c r="W118" i="51"/>
  <c r="T109" i="51"/>
  <c r="Q109" i="51"/>
  <c r="N109" i="51"/>
  <c r="K109" i="51"/>
  <c r="H109" i="51"/>
  <c r="E109" i="51"/>
  <c r="T108" i="51"/>
  <c r="Q108" i="51"/>
  <c r="N108" i="51"/>
  <c r="K108" i="51"/>
  <c r="H108" i="51"/>
  <c r="E108" i="51"/>
  <c r="W107" i="51"/>
  <c r="W106" i="51"/>
  <c r="W105" i="51"/>
  <c r="W109" i="51" s="1"/>
  <c r="T104" i="51"/>
  <c r="Q104" i="51"/>
  <c r="N104" i="51"/>
  <c r="K104" i="51"/>
  <c r="H104" i="51"/>
  <c r="E104" i="51"/>
  <c r="V103" i="51"/>
  <c r="U103" i="51"/>
  <c r="T103" i="51"/>
  <c r="S103" i="51"/>
  <c r="R103" i="51"/>
  <c r="Q103" i="51"/>
  <c r="P103" i="51"/>
  <c r="O103" i="51"/>
  <c r="N103" i="51"/>
  <c r="M103" i="51"/>
  <c r="L103" i="51"/>
  <c r="K103" i="51"/>
  <c r="J103" i="51"/>
  <c r="I103" i="51"/>
  <c r="H103" i="51"/>
  <c r="G103" i="51"/>
  <c r="F103" i="51"/>
  <c r="E103" i="51"/>
  <c r="Y102" i="51"/>
  <c r="X102" i="51"/>
  <c r="W102" i="51"/>
  <c r="Y101" i="51"/>
  <c r="X101" i="51"/>
  <c r="W101" i="51"/>
  <c r="Y100" i="51"/>
  <c r="X100" i="51"/>
  <c r="W100" i="51"/>
  <c r="T99" i="51"/>
  <c r="Q99" i="51"/>
  <c r="N99" i="51"/>
  <c r="K99" i="51"/>
  <c r="H99" i="51"/>
  <c r="E99" i="51"/>
  <c r="T98" i="51"/>
  <c r="Q98" i="51"/>
  <c r="N98" i="51"/>
  <c r="K98" i="51"/>
  <c r="H98" i="51"/>
  <c r="E98" i="51"/>
  <c r="W97" i="51"/>
  <c r="W96" i="51"/>
  <c r="W95" i="51"/>
  <c r="T94" i="51"/>
  <c r="Q94" i="51"/>
  <c r="N94" i="51"/>
  <c r="K94" i="51"/>
  <c r="H94" i="51"/>
  <c r="E94" i="51"/>
  <c r="V93" i="51"/>
  <c r="U93" i="51"/>
  <c r="T93" i="51"/>
  <c r="S93" i="51"/>
  <c r="R93" i="51"/>
  <c r="Q93" i="51"/>
  <c r="P93" i="51"/>
  <c r="O93" i="51"/>
  <c r="N93" i="51"/>
  <c r="M93" i="51"/>
  <c r="L93" i="51"/>
  <c r="K93" i="51"/>
  <c r="J93" i="51"/>
  <c r="I93" i="51"/>
  <c r="H93" i="51"/>
  <c r="G93" i="51"/>
  <c r="F93" i="51"/>
  <c r="E93" i="51"/>
  <c r="Y92" i="51"/>
  <c r="X92" i="51"/>
  <c r="W92" i="51"/>
  <c r="Y91" i="51"/>
  <c r="X91" i="51"/>
  <c r="W91" i="51"/>
  <c r="Y90" i="51"/>
  <c r="X90" i="51"/>
  <c r="W90" i="51"/>
  <c r="T73" i="51"/>
  <c r="Q73" i="51"/>
  <c r="N73" i="51"/>
  <c r="K73" i="51"/>
  <c r="H73" i="51"/>
  <c r="E73" i="51"/>
  <c r="T72" i="51"/>
  <c r="Q72" i="51"/>
  <c r="N72" i="51"/>
  <c r="K72" i="51"/>
  <c r="H72" i="51"/>
  <c r="E72" i="51"/>
  <c r="W71" i="51"/>
  <c r="W70" i="51"/>
  <c r="W69" i="51"/>
  <c r="T68" i="51"/>
  <c r="Q68" i="51"/>
  <c r="N68" i="51"/>
  <c r="K68" i="51"/>
  <c r="H68" i="51"/>
  <c r="E68" i="51"/>
  <c r="V67" i="51"/>
  <c r="U67" i="51"/>
  <c r="T67" i="51"/>
  <c r="S67" i="51"/>
  <c r="R67" i="51"/>
  <c r="Q67" i="51"/>
  <c r="P67" i="51"/>
  <c r="O67" i="51"/>
  <c r="N67" i="51"/>
  <c r="M67" i="51"/>
  <c r="L67" i="51"/>
  <c r="K67" i="51"/>
  <c r="J67" i="51"/>
  <c r="I67" i="51"/>
  <c r="H67" i="51"/>
  <c r="G67" i="51"/>
  <c r="F67" i="51"/>
  <c r="E67" i="51"/>
  <c r="Y66" i="51"/>
  <c r="X66" i="51"/>
  <c r="W66" i="51"/>
  <c r="Y65" i="51"/>
  <c r="X65" i="51"/>
  <c r="W65" i="51"/>
  <c r="Y64" i="51"/>
  <c r="X64" i="51"/>
  <c r="W64" i="51"/>
  <c r="T63" i="51"/>
  <c r="Q63" i="51"/>
  <c r="N63" i="51"/>
  <c r="K63" i="51"/>
  <c r="H63" i="51"/>
  <c r="E63" i="51"/>
  <c r="T62" i="51"/>
  <c r="Q62" i="51"/>
  <c r="N62" i="51"/>
  <c r="K62" i="51"/>
  <c r="H62" i="51"/>
  <c r="E62" i="51"/>
  <c r="W61" i="51"/>
  <c r="W60" i="51"/>
  <c r="W59" i="51"/>
  <c r="T58" i="51"/>
  <c r="Q58" i="51"/>
  <c r="N58" i="51"/>
  <c r="K58" i="51"/>
  <c r="H58" i="51"/>
  <c r="E58" i="51"/>
  <c r="V57" i="51"/>
  <c r="U57" i="51"/>
  <c r="T57" i="51"/>
  <c r="S57" i="51"/>
  <c r="R57" i="51"/>
  <c r="Q57" i="51"/>
  <c r="P57" i="51"/>
  <c r="O57" i="51"/>
  <c r="N57" i="51"/>
  <c r="M57" i="51"/>
  <c r="L57" i="51"/>
  <c r="K57" i="51"/>
  <c r="J57" i="51"/>
  <c r="I57" i="51"/>
  <c r="H57" i="51"/>
  <c r="G57" i="51"/>
  <c r="F57" i="51"/>
  <c r="E57" i="51"/>
  <c r="Y56" i="51"/>
  <c r="X56" i="51"/>
  <c r="W56" i="51"/>
  <c r="Y55" i="51"/>
  <c r="X55" i="51"/>
  <c r="W55" i="51"/>
  <c r="Y54" i="51"/>
  <c r="X54" i="51"/>
  <c r="W54" i="51"/>
  <c r="T53" i="51"/>
  <c r="Q53" i="51"/>
  <c r="N53" i="51"/>
  <c r="K53" i="51"/>
  <c r="H53" i="51"/>
  <c r="E53" i="51"/>
  <c r="T52" i="51"/>
  <c r="T84" i="51" s="1"/>
  <c r="Q52" i="51"/>
  <c r="N52" i="51"/>
  <c r="K52" i="51"/>
  <c r="H52" i="51"/>
  <c r="H84" i="51" s="1"/>
  <c r="E52" i="51"/>
  <c r="E84" i="51" s="1"/>
  <c r="T35" i="51"/>
  <c r="Q35" i="51"/>
  <c r="N35" i="51"/>
  <c r="K35" i="51"/>
  <c r="H35" i="51"/>
  <c r="E35" i="51"/>
  <c r="T34" i="51"/>
  <c r="Q34" i="51"/>
  <c r="N34" i="51"/>
  <c r="K34" i="51"/>
  <c r="H34" i="51"/>
  <c r="E34" i="51"/>
  <c r="W33" i="51"/>
  <c r="W32" i="51"/>
  <c r="W31" i="51"/>
  <c r="T30" i="51"/>
  <c r="Q30" i="51"/>
  <c r="N30" i="51"/>
  <c r="K30" i="51"/>
  <c r="H30" i="51"/>
  <c r="E30" i="51"/>
  <c r="V29" i="51"/>
  <c r="U29" i="51"/>
  <c r="T29" i="51"/>
  <c r="S29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Y28" i="51"/>
  <c r="X28" i="51"/>
  <c r="W28" i="51"/>
  <c r="Y27" i="51"/>
  <c r="X27" i="51"/>
  <c r="W27" i="51"/>
  <c r="Y26" i="51"/>
  <c r="X26" i="51"/>
  <c r="W26" i="51"/>
  <c r="T25" i="51"/>
  <c r="Q25" i="51"/>
  <c r="N25" i="51"/>
  <c r="K25" i="51"/>
  <c r="H25" i="51"/>
  <c r="E25" i="51"/>
  <c r="T24" i="51"/>
  <c r="Q24" i="51"/>
  <c r="N24" i="51"/>
  <c r="K24" i="51"/>
  <c r="H24" i="51"/>
  <c r="E24" i="51"/>
  <c r="W23" i="51"/>
  <c r="W22" i="51"/>
  <c r="W21" i="51"/>
  <c r="T20" i="51"/>
  <c r="Q20" i="51"/>
  <c r="N20" i="51"/>
  <c r="K20" i="51"/>
  <c r="H20" i="51"/>
  <c r="E20" i="51"/>
  <c r="V19" i="51"/>
  <c r="U19" i="51"/>
  <c r="T19" i="51"/>
  <c r="S19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Y18" i="51"/>
  <c r="X18" i="51"/>
  <c r="W18" i="51"/>
  <c r="Y17" i="51"/>
  <c r="X17" i="51"/>
  <c r="W17" i="51"/>
  <c r="Y16" i="51"/>
  <c r="X16" i="51"/>
  <c r="W16" i="51"/>
  <c r="W13" i="51"/>
  <c r="W12" i="51"/>
  <c r="W11" i="51"/>
  <c r="T10" i="51"/>
  <c r="K10" i="51"/>
  <c r="H10" i="51"/>
  <c r="E10" i="51"/>
  <c r="Y8" i="51"/>
  <c r="X8" i="51"/>
  <c r="W8" i="51"/>
  <c r="Y7" i="51"/>
  <c r="X7" i="51"/>
  <c r="W7" i="51"/>
  <c r="W6" i="51"/>
  <c r="Y6" i="51"/>
  <c r="X6" i="51"/>
  <c r="T9" i="51"/>
  <c r="K9" i="51"/>
  <c r="H9" i="51"/>
  <c r="E9" i="51"/>
  <c r="Q15" i="51"/>
  <c r="Q14" i="51"/>
  <c r="Q10" i="51"/>
  <c r="S9" i="51"/>
  <c r="R9" i="51"/>
  <c r="Q9" i="51"/>
  <c r="N15" i="51"/>
  <c r="N14" i="51"/>
  <c r="N10" i="51"/>
  <c r="P9" i="51"/>
  <c r="O9" i="51"/>
  <c r="N9" i="51"/>
  <c r="W178" i="51"/>
  <c r="T15" i="51"/>
  <c r="T14" i="51"/>
  <c r="K15" i="51"/>
  <c r="K14" i="51"/>
  <c r="H15" i="51"/>
  <c r="H14" i="51"/>
  <c r="E15" i="51"/>
  <c r="E14" i="51"/>
  <c r="W73" i="51" l="1"/>
  <c r="W99" i="51"/>
  <c r="W35" i="51"/>
  <c r="W25" i="51"/>
  <c r="W63" i="51"/>
  <c r="W104" i="51"/>
  <c r="W68" i="51"/>
  <c r="W58" i="51"/>
  <c r="W20" i="51"/>
  <c r="Y57" i="51"/>
  <c r="Y67" i="51"/>
  <c r="K89" i="51"/>
  <c r="K88" i="51"/>
  <c r="H89" i="51"/>
  <c r="H88" i="51"/>
  <c r="T89" i="51"/>
  <c r="T88" i="51"/>
  <c r="W179" i="51"/>
  <c r="N84" i="51"/>
  <c r="W83" i="51"/>
  <c r="W86" i="51"/>
  <c r="E88" i="51"/>
  <c r="E89" i="51"/>
  <c r="Q89" i="51"/>
  <c r="Q88" i="51"/>
  <c r="W82" i="51"/>
  <c r="K84" i="51"/>
  <c r="Q84" i="51"/>
  <c r="N89" i="51"/>
  <c r="N88" i="51"/>
  <c r="W98" i="51"/>
  <c r="W72" i="51"/>
  <c r="X67" i="51"/>
  <c r="X57" i="51"/>
  <c r="W52" i="51"/>
  <c r="Y29" i="51"/>
  <c r="W29" i="51"/>
  <c r="W10" i="51"/>
  <c r="W9" i="51"/>
  <c r="W34" i="51"/>
  <c r="W24" i="51"/>
  <c r="X29" i="51"/>
  <c r="W62" i="51"/>
  <c r="X93" i="51"/>
  <c r="X103" i="51"/>
  <c r="Y19" i="51"/>
  <c r="Y93" i="51"/>
  <c r="W93" i="51"/>
  <c r="W103" i="51"/>
  <c r="W108" i="51"/>
  <c r="Y103" i="51"/>
  <c r="W67" i="51"/>
  <c r="W57" i="51"/>
  <c r="X19" i="51"/>
  <c r="W19" i="51"/>
  <c r="W15" i="51"/>
  <c r="W94" i="51"/>
  <c r="W53" i="51"/>
  <c r="W30" i="51"/>
  <c r="H180" i="51"/>
  <c r="T180" i="51"/>
  <c r="W14" i="51"/>
  <c r="T181" i="51"/>
  <c r="E181" i="51"/>
  <c r="K181" i="51"/>
  <c r="H181" i="51"/>
  <c r="E180" i="51"/>
  <c r="K180" i="51"/>
  <c r="W89" i="51" l="1"/>
  <c r="W88" i="51"/>
  <c r="W84" i="51"/>
  <c r="W181" i="51"/>
  <c r="W180" i="51"/>
  <c r="T14" i="32" l="1"/>
  <c r="Q14" i="32"/>
  <c r="N14" i="32"/>
  <c r="K14" i="32"/>
  <c r="H14" i="32"/>
  <c r="E14" i="32"/>
  <c r="T10" i="32"/>
  <c r="Q10" i="32"/>
  <c r="N10" i="32"/>
  <c r="K10" i="32"/>
  <c r="H10" i="32"/>
  <c r="E10" i="32"/>
  <c r="T18" i="32"/>
  <c r="Q18" i="32"/>
  <c r="N18" i="32"/>
  <c r="K18" i="32"/>
  <c r="H18" i="32"/>
  <c r="E18" i="32"/>
  <c r="Y7" i="32"/>
  <c r="X7" i="32"/>
  <c r="W7" i="32"/>
  <c r="W16" i="32"/>
  <c r="W19" i="32"/>
  <c r="W12" i="32"/>
  <c r="W11" i="32"/>
  <c r="T13" i="32"/>
  <c r="K13" i="32"/>
  <c r="H13" i="32"/>
  <c r="E13" i="32"/>
  <c r="W13" i="32" l="1"/>
  <c r="W14" i="32"/>
  <c r="T177" i="51"/>
  <c r="Q177" i="51"/>
  <c r="K177" i="51" l="1"/>
  <c r="H177" i="51"/>
  <c r="X175" i="51"/>
  <c r="Y175" i="51"/>
  <c r="X174" i="51"/>
  <c r="E177" i="51"/>
  <c r="Y174" i="51"/>
  <c r="W174" i="51"/>
  <c r="W175" i="51"/>
  <c r="N181" i="51"/>
  <c r="N177" i="51"/>
  <c r="Q181" i="51"/>
  <c r="G176" i="51"/>
  <c r="V9" i="51"/>
  <c r="U9" i="51"/>
  <c r="M9" i="51"/>
  <c r="L9" i="51"/>
  <c r="J9" i="51"/>
  <c r="I9" i="51"/>
  <c r="G9" i="51"/>
  <c r="F9" i="51"/>
  <c r="W177" i="51" l="1"/>
  <c r="Y9" i="51"/>
  <c r="E176" i="51"/>
  <c r="F176" i="51"/>
  <c r="X9" i="51"/>
  <c r="N180" i="51"/>
  <c r="W176" i="51"/>
  <c r="Q180" i="51"/>
  <c r="Q13" i="32"/>
  <c r="N13" i="32"/>
  <c r="X176" i="51" l="1"/>
  <c r="Y176" i="51"/>
  <c r="Y16" i="32"/>
  <c r="X16" i="32"/>
  <c r="Y15" i="32"/>
  <c r="X15" i="32"/>
  <c r="W15" i="32"/>
  <c r="W18" i="32" l="1"/>
  <c r="Y17" i="32"/>
  <c r="W17" i="32"/>
  <c r="X17" i="32"/>
  <c r="I9" i="32" l="1"/>
  <c r="H9" i="32"/>
  <c r="J9" i="32"/>
  <c r="F9" i="32"/>
  <c r="E9" i="32"/>
  <c r="G9" i="32"/>
  <c r="V9" i="32" l="1"/>
  <c r="T9" i="32"/>
  <c r="U9" i="32"/>
  <c r="S9" i="32"/>
  <c r="Q9" i="32"/>
  <c r="R9" i="32"/>
  <c r="P9" i="32"/>
  <c r="N9" i="32"/>
  <c r="O9" i="32"/>
  <c r="M9" i="32"/>
  <c r="K9" i="32"/>
  <c r="L9" i="32"/>
  <c r="Y8" i="32"/>
  <c r="W8" i="32"/>
  <c r="X8" i="32"/>
  <c r="Y6" i="32"/>
  <c r="W6" i="32"/>
  <c r="X6" i="32"/>
  <c r="W10" i="32" l="1"/>
  <c r="X9" i="32"/>
  <c r="Y9" i="32"/>
  <c r="W9" i="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4593B3-7CE4-4403-872A-6B9CD40E690D}" name="WW_DS からのクエリ1" type="1" refreshedVersion="6" savePassword="1" background="1" saveData="1">
    <dbPr connection="DSN=WW_DS;Description=WonderWebデータソース;UID=ww_reader;PWD=20150801;APP=Microsoft Office;WSID=PC-SUGURO;DATABASE=JUNPDB;LANGUAGE=日本語" command="SELECT [パック区分]_x000d__x000a_      ,[リプレース区分]_x000d__x000a_      ,[リプレース]_x000d__x000a_      ,[担当支店名]_x000d__x000a_      ,[担当者名]_x000d__x000a_      ,[受注承認日]_x000d__x000a_      ,[出荷完了日]_x000d__x000a_      ,[売上承認日]_x000d__x000a_      ,[納期]_x000d__x000a_      ,[ステータス]_x000d__x000a_      ,[受注番号]_x000d__x000a_      ,[案件ＩＤ]_x000d__x000a_      ,[受注金額]_x000d__x000a_      ,[システム本数]_x000d__x000a_      ,[販売先]_x000d__x000a_      ,[ユーザーコード]_x000d__x000a_      ,[ユーザー]_x000d__x000a_      ,[VP利用終了年月]_x000d__x000a_      ,[件名]_x000d__x000a_      ,[支払依頼備考]_x000d__x000a_      ,[備考]_x000d__x000a_      ,[前月当月翌月]_x000d__x000a_      ,[支店コード]_x000d__x000a_,iif([支店コード] = '11' or [支店コード] = '21', '東日本営業部', iif([支店コード] = '31' or [支店コード] = '33', '関東営業部', iif([支店コード] = '41', '首都圏営業部', iif([支店コード] = '51' or [支店コード] = '52', '中部営業部', iif([支店コード] = '61', '関西営業部', '西日本営業部'))))) as 営業部名_x000d__x000a_  FROM [JunpDB].[dbo].[vMicＶＰ伝票抽出共通]_x000d__x000a_  where  [前月当月翌月] = 0 or  [前月当月翌月] = 1 or    [前月当月翌月] = -1"/>
  </connection>
  <connection id="2" xr16:uid="{793B9977-DC8B-4511-8B4E-42A4757120C6}" name="WW_DS からのクエリ2" type="1" refreshedVersion="6" savePassword="1" background="1" saveData="1">
    <dbPr connection="DSN=WW_DS;Description=WonderWebデータソース;UID=ww_reader;PWD=20150801;APP=Microsoft Office;WSID=PC-SUGURO;DATABASE=JUNPDB;LANGUAGE=日本語" command="SELECT [売上月]_x000d__x000a_      ,[売上日]_x000d__x000a_      ,[伝票No]_x000d__x000a_      ,[顧客No]_x000d__x000a_      ,[得意先No]_x000d__x000a_      ,[顧客名]_x000d__x000a_      ,[都道府県名]_x000d__x000a_      ,[拠店コード]_x000d__x000a_      ,[拠店名]_x000d__x000a_      ,[担当者コード]_x000d__x000a_      ,[担当者]_x000d__x000a_      ,[営業担当者コード]_x000d__x000a_      ,[営業担当者名]_x000d__x000a_      ,[摘要]_x000d__x000a_      ,[商品コード]_x000d__x000a_      ,[商品名]_x000d__x000a_      ,[提供価格]_x000d__x000a_      ,[数量]_x000d__x000a_      ,[区分]_x000d__x000a_       ,[リプレース]_x000d__x000a_  ,iif(left([伝票No], 1) = '5', 1, 0) as 起票_x000d__x000a__x0009_  ,iif(left([伝票No], 1) &lt;&gt; '5', 1, 0) as 切替_x000d__x000a_,iif([拠店コード] = '11' or [拠店コード] = '21', '東日本営業部', iif([拠店コード] = '31' or [拠店コード] = '33', '関東営業部', iif([拠店コード] = '41', '首都圏営業部', iif([拠店コード] = '51' or [拠店コード] = '52', '中部営業部', iif([拠店コード] = '61', '関西営業部', '西日本営業部'))))) as 営業部名_x000d__x000a_  FROM [JunpDB].[dbo].[vMicまとめ売上実績]"/>
  </connection>
  <connection id="3" xr16:uid="{86E109B5-6B9C-4E61-BAA4-EE77072C8152}" name="WW_DS からのクエリ3" type="1" refreshedVersion="6" savePassword="1" background="1" saveData="1">
    <dbPr connection="DSN=WW_DS;Description=WonderWebデータソース;UID=ww_reader;PWD=20150801;APP=Microsoft Office;WSID=PC-SUGURO;DATABASE=JUNPDB;LANGUAGE=日本語" command="SELECT *  FROM [JunpDB].[dbo].[vMicPC安心サポート受注状況]"/>
  </connection>
  <connection id="4" xr16:uid="{0E526741-6741-4552-8AF4-38DF16888857}" name="WW_DS からのクエリ4" type="1" refreshedVersion="6" savePassword="1" background="1" saveData="1">
    <dbPr connection="DSN=WW_DS;Description=WonderWebデータソース;UID=ww_reader;PWD=20150801;APP=Microsoft Office;WSID=PC-SUGURO;DATABASE=JUNPDB;LANGUAGE=日本語" command="SELECT * FROM [JunpDB].[dbo].[vMicPC安心サポート売上実績]"/>
  </connection>
  <connection id="5" xr16:uid="{D6C1F2A8-56D2-402E-A3F7-5366682D72DA}" name="WW_DS からのクエリ5" type="1" refreshedVersion="6" savePassword="1" background="1" refreshOnLoad="1" saveData="1">
    <dbPr connection="DSN=WW_DS;Description=WonderWebデータソース;UID=ww_reader;PWD=20150801;APP=Microsoft Office;WSID=PC-SUGURO;DATABASE=JUNPDB;LANGUAGE=日本語" command="SELECT vMic当月売上予想.売上区分, vMic当月売上予想.部門コード, vMic当月売上予想.部門名, vMic当月売上予想.商品区分コード, vMic当月売上予想.商品区分名, vMic当月売上予想.金額_x000d__x000a_FROM JunpDB.dbo.vMic当月売上予想 vMic当月売上予想"/>
  </connection>
  <connection id="6" xr16:uid="{4B0EE7D8-013C-42AC-9AF8-C0FD010FDD40}" name="WW_DS からのクエリ6" type="1" refreshedVersion="6" savePassword="1" background="1" refreshOnLoad="1" saveData="1">
    <dbPr connection="DSN=WW_DS;Description=WonderWebデータソース;UID=ww_reader;PWD=20150801;APP=Microsoft Office;WSID=PC-SUGURO;DATABASE=JUNPDB;LANGUAGE=日本語" command="SELECT vMic当月売上予想.売上区分, vMic当月売上予想.部門コード, vMic当月売上予想.部門名, vMic当月売上予想.商品区分コード, vMic当月売上予想.商品区分名, vMic当月売上予想.金額_x000d__x000a_FROM JunpDB.dbo.vMic当月売上予想 vMic当月売上予想"/>
  </connection>
  <connection id="7" xr16:uid="{916BC5DC-59A0-4FDF-A6CD-A16F21A125CD}" name="WW_DS からのクエリ7" type="1" refreshedVersion="6" savePassword="1" background="1" refreshOnLoad="1" saveData="1">
    <dbPr connection="DSN=WW_DS;Description=WonderWebデータソース;UID=ww_reader;PWD=20150801;APP=Microsoft Office;WSID=PC-SUGURO;DATABASE=JUNPDB;LANGUAGE=日本語" command="SELECT vMic翌月売上予想.売上区分, vMic翌月売上予想.部門コード, vMic翌月売上予想.部門名, vMic翌月売上予想.商品区分コード, vMic翌月売上予想.商品区分名, vMic翌月売上予想.金額_x000d__x000a_FROM JunpDB.dbo.vMic翌月売上予想 vMic翌月売上予想"/>
  </connection>
  <connection id="8" xr16:uid="{B0CBB8A6-CD70-4E46-9B1D-8041111B8176}" name="WW_DS からのクエリ8" type="1" refreshedVersion="6" savePassword="1" background="1" saveData="1">
    <dbPr connection="DSN=WW_DS;Description=WonderWebデータソース;UID=ww_reader;PWD=20150801;APP=Microsoft Office;WSID=PC-SUGURO;DATABASE=JUNPDB;LANGUAGE=日本語" command="SELECT vMic翌月売上予想.売上区分, vMic翌月売上予想.部門コード, vMic翌月売上予想.部門名, vMic翌月売上予想.商品区分コード, vMic翌月売上予想.商品区分名, vMic翌月売上予想.金額_x000d__x000a_FROM JunpDB.dbo.vMic翌月売上予想 vMic翌月売上予想"/>
  </connection>
  <connection id="9" xr16:uid="{CDB654E6-B196-4263-A03D-B414ADF582F2}" keepAlive="1" name="クエリ - 部門別予算実績比較表" description="ブック内の '部門別予算実績比較表' クエリへの接続です。" type="5" refreshedVersion="6" background="1" saveData="1">
    <dbPr connection="Provider=Microsoft.Mashup.OleDb.1;Data Source=$Workbook$;Location=部門別予算実績比較表;Extended Properties=&quot;&quot;" command="SELECT * FROM [部門別予算実績比較表]"/>
  </connection>
  <connection id="10" xr16:uid="{7A797CAE-A7F0-4DCB-9964-8BE233477760}" keepAlive="1" name="クエリ - 部門別予算実績比較表 (2)" description="ブック内の '部門別予算実績比較表 (2)' クエリへの接続です。" type="5" refreshedVersion="6" background="1" saveData="1">
    <dbPr connection="Provider=Microsoft.Mashup.OleDb.1;Data Source=$Workbook$;Location=部門別予算実績比較表 (2);Extended Properties=&quot;&quot;" command="SELECT * FROM [部門別予算実績比較表 (2)]"/>
  </connection>
  <connection id="11" xr16:uid="{13952134-5CC7-4159-80A1-45085A59B115}" name="接続" type="1" refreshedVersion="7" savePassword="1" background="1" saveData="1">
    <dbPr connection="DSN=WW_DS;Description=ＷｏｎｄｅｒＷｅｂデータソース;UID=ww_reader;PWD=20150801;APP=Microsoft Office;WSID=PC-SUGURO;DATABASE=JunpDB;LANGUAGE=日本語" command="SELECT 売上区分, 部門コード, 部門名, 商品区分コード, 商品区分名, 金額 FROM JunpDB.dbo.vMic当月売上予想"/>
  </connection>
  <connection id="12" xr16:uid="{031064B4-EF90-4673-8588-A90E2A4A19F8}" name="接続1" type="1" refreshedVersion="7" savePassword="1" background="1" saveData="1">
    <dbPr connection="DSN=WW_DS;Description=ＷｏｎｄｅｒＷｅｂデータソース;UID=ww_reader;PWD=20150801;APP=Microsoft Office;WSID=PC-SUGURO;DATABASE=JunpDB;LANGUAGE=日本語" command="SELECT 売上区分, 部門コード, 部門名, 商品区分コード, 商品区分名, 金額 FROM JunpDB.dbo.vMic翌月売上予想"/>
  </connection>
  <connection id="13" xr16:uid="{02561322-3900-4786-A7F7-0231249B8F71}" name="接続2" type="1" refreshedVersion="7" savePassword="1" background="1" saveData="1">
    <dbPr connection="DSN=WW_DS;Description=ＷｏｎｄｅｒＷｅｂデータソース;UID=ww_reader;PWD=20150801;APP=Microsoft Office;WSID=PC-SUGURO;DATABASE=JunpDB;LANGUAGE=日本語" command="SELECT ES.[部門コード],ES.[営業部名],ES.[拠点コード],ES.[拠点名],ES.[顧客No],ES.[顧客名],ES.[受注番号],ES.[受注承認日],ES.[売上承認日],ES.[納期],ES.[売上金額],ES.[計上月] FROM ( SELECT [部門コード],[営業部名],[拠点コード],[拠点名],[顧客No],[顧客名],[受注番号],[受注承認日],[売上承認日],[納期],[売上金額],[計上1年目] AS [計上月] FROM [JunpDB].[dbo].[vMicES売上予想] UNION SELECT [部門コード],[営業部名],[拠点コード],[拠点名],[顧客No],[顧客名],[受注番号],[受注承認日],[売上承認日],[納期],[売上金額],[計上2年目] AS [計上月] FROM [JunpDB].[dbo].[vMicES売上予想] UNION SELECT [部門コード],[営業部名],[拠点コード],[拠点名],[顧客No],[顧客名],[受注番号],[受注承認日],[売上承認日],[納期],[売上金額],[計上3年目] AS [計上月] FROM [JunpDB].[dbo].[vMicES売上予想] UNION SELECT [部門コード],[営業部名],[拠点コード],[拠点名],[顧客No],[顧客名],[受注番号],[受注承認日],[売上承認日],[納期],[売上金額],[計上4年目] AS [計上月] FROM [JunpDB].[dbo].[vMicES売上予想] UNION SELECT [部門コード],[営業部名],[拠点コード],[拠点名],[顧客No],[顧客名],[受注番号],[受注承認日],[売上承認日],[納期],[売上金額],[計上5年目] AS [計上月] FROM [JunpDB].[dbo].[vMicES売上予想] UNION SELECT [部門コード],[営業部名],[拠点コード],[拠点名],[顧客No],[顧客名],[受注番号],[受注承認日],[売上承認日],[納期],[売上金額],[計上6年目] AS [計上月] FROM [JunpDB].[dbo].[vMicES売上予想]) AS ES ORDER BY [部門コード], [顧客No], [計上月]"/>
  </connection>
  <connection id="14" xr16:uid="{A591F0A3-B225-48D1-907D-83B99075016B}" name="接続3" type="1" refreshedVersion="7" savePassword="1" background="1" saveData="1">
    <dbPr connection="DSN=WW_DS;Description=ＷｏｎｄｅｒＷｅｂデータソース;UID=ww_reader;PWD=20150801;APP=Microsoft Office;WSID=PC-SUGURO;DATABASE=CharlieDB;LANGUAGE=日本語" command="SELECT * FROM charlieDB.dbo.売上実績 ORDER BY 実績日, 営業部コード"/>
  </connection>
</connections>
</file>

<file path=xl/sharedStrings.xml><?xml version="1.0" encoding="utf-8"?>
<sst xmlns="http://schemas.openxmlformats.org/spreadsheetml/2006/main" count="34364" uniqueCount="3228">
  <si>
    <t>部門名</t>
  </si>
  <si>
    <t>東日本営業部</t>
  </si>
  <si>
    <t>首都圏営業部</t>
  </si>
  <si>
    <t>関東営業部</t>
  </si>
  <si>
    <t>西日本営業部</t>
  </si>
  <si>
    <t>中部営業部</t>
  </si>
  <si>
    <t>関西営業部</t>
  </si>
  <si>
    <t>勘定科目名</t>
  </si>
  <si>
    <t>その他ｿﾌﾄ売上</t>
  </si>
  <si>
    <t>技術指導売上</t>
  </si>
  <si>
    <t>保守売上高</t>
  </si>
  <si>
    <t>配送センター</t>
  </si>
  <si>
    <t>Curline替ﾌﾞﾗｼ</t>
  </si>
  <si>
    <t>純売上高</t>
  </si>
  <si>
    <t>Curline本体</t>
  </si>
  <si>
    <t>ソフト保守</t>
  </si>
  <si>
    <t>8月度 (予算)</t>
    <phoneticPr fontId="1"/>
  </si>
  <si>
    <t>8月度 (実績)</t>
    <phoneticPr fontId="1"/>
  </si>
  <si>
    <t>8月度 (差異)</t>
    <phoneticPr fontId="1"/>
  </si>
  <si>
    <t>8月度 (達成率)</t>
    <phoneticPr fontId="1"/>
  </si>
  <si>
    <t>9月度 (予算)</t>
    <phoneticPr fontId="1"/>
  </si>
  <si>
    <t>9月度 (実績)</t>
    <phoneticPr fontId="1"/>
  </si>
  <si>
    <t>9月度 (差異)</t>
    <phoneticPr fontId="1"/>
  </si>
  <si>
    <t>9月度 (達成率)</t>
    <phoneticPr fontId="1"/>
  </si>
  <si>
    <t>10月度 (予算)</t>
    <phoneticPr fontId="1"/>
  </si>
  <si>
    <t>10月度 (実績)</t>
    <phoneticPr fontId="1"/>
  </si>
  <si>
    <t>10月度 (差異)</t>
    <phoneticPr fontId="1"/>
  </si>
  <si>
    <t>10月度 (達成率)</t>
    <phoneticPr fontId="1"/>
  </si>
  <si>
    <t>11月度 (予算)</t>
    <phoneticPr fontId="1"/>
  </si>
  <si>
    <t>11月度 (実績)</t>
    <phoneticPr fontId="1"/>
  </si>
  <si>
    <t>11月度 (差異)</t>
    <phoneticPr fontId="1"/>
  </si>
  <si>
    <t>11月度 (達成率)</t>
    <phoneticPr fontId="1"/>
  </si>
  <si>
    <t>12月度 (予算)</t>
    <phoneticPr fontId="1"/>
  </si>
  <si>
    <t>12月度 (実績)</t>
    <phoneticPr fontId="1"/>
  </si>
  <si>
    <t>12月度 (差異)</t>
    <phoneticPr fontId="1"/>
  </si>
  <si>
    <t>12月度 (達成率)</t>
    <phoneticPr fontId="1"/>
  </si>
  <si>
    <t>1月度 (予算)</t>
    <phoneticPr fontId="1"/>
  </si>
  <si>
    <t>1月度 (実績)</t>
    <phoneticPr fontId="1"/>
  </si>
  <si>
    <t>1月度 (差異)</t>
    <phoneticPr fontId="1"/>
  </si>
  <si>
    <t>1月度 (達成率)</t>
    <phoneticPr fontId="1"/>
  </si>
  <si>
    <t>palette売上</t>
    <phoneticPr fontId="1"/>
  </si>
  <si>
    <t>palette</t>
    <phoneticPr fontId="1"/>
  </si>
  <si>
    <t>中部営業部</t>
    <rPh sb="0" eb="2">
      <t>チュウブ</t>
    </rPh>
    <rPh sb="2" eb="4">
      <t>エイギョウ</t>
    </rPh>
    <rPh sb="4" eb="5">
      <t>ブ</t>
    </rPh>
    <phoneticPr fontId="1"/>
  </si>
  <si>
    <t>関西営業部</t>
    <rPh sb="0" eb="2">
      <t>カンサイ</t>
    </rPh>
    <rPh sb="2" eb="4">
      <t>エイギョウ</t>
    </rPh>
    <rPh sb="4" eb="5">
      <t>ブ</t>
    </rPh>
    <phoneticPr fontId="1"/>
  </si>
  <si>
    <t>paletteES売上</t>
    <phoneticPr fontId="1"/>
  </si>
  <si>
    <t>paletteES</t>
  </si>
  <si>
    <t>その他ｿﾌﾄ</t>
    <phoneticPr fontId="1"/>
  </si>
  <si>
    <t>ヘルスケア</t>
    <phoneticPr fontId="1"/>
  </si>
  <si>
    <t>ハード売上</t>
    <phoneticPr fontId="1"/>
  </si>
  <si>
    <t>ハード</t>
    <phoneticPr fontId="1"/>
  </si>
  <si>
    <t>技術指導</t>
    <phoneticPr fontId="1"/>
  </si>
  <si>
    <t>保守売上</t>
    <phoneticPr fontId="1"/>
  </si>
  <si>
    <t>ハード保守</t>
    <phoneticPr fontId="1"/>
  </si>
  <si>
    <t>ハード保守</t>
    <rPh sb="3" eb="5">
      <t>ホシュ</t>
    </rPh>
    <phoneticPr fontId="1"/>
  </si>
  <si>
    <t>ー</t>
    <phoneticPr fontId="1"/>
  </si>
  <si>
    <t>ー</t>
  </si>
  <si>
    <t>周辺機器売上</t>
    <phoneticPr fontId="1"/>
  </si>
  <si>
    <t>周辺機器</t>
    <phoneticPr fontId="1"/>
  </si>
  <si>
    <t>その他売上</t>
    <phoneticPr fontId="1"/>
  </si>
  <si>
    <t>Curline本体</t>
    <phoneticPr fontId="1"/>
  </si>
  <si>
    <t>Curline替ﾌﾞﾗｼ</t>
    <phoneticPr fontId="1"/>
  </si>
  <si>
    <t>合計</t>
    <rPh sb="0" eb="2">
      <t>ゴウケイ</t>
    </rPh>
    <phoneticPr fontId="1"/>
  </si>
  <si>
    <t>純売上高</t>
    <phoneticPr fontId="1"/>
  </si>
  <si>
    <t>営業部共通</t>
    <rPh sb="0" eb="2">
      <t>エイギョウ</t>
    </rPh>
    <rPh sb="2" eb="3">
      <t>ブ</t>
    </rPh>
    <rPh sb="3" eb="5">
      <t>キョウツウ</t>
    </rPh>
    <phoneticPr fontId="1"/>
  </si>
  <si>
    <t>2月度 (予算)</t>
    <phoneticPr fontId="1"/>
  </si>
  <si>
    <t>2月度 (実績)</t>
    <phoneticPr fontId="1"/>
  </si>
  <si>
    <t>2月度 (差異)</t>
    <phoneticPr fontId="1"/>
  </si>
  <si>
    <t>2月度 (達成率)</t>
    <phoneticPr fontId="1"/>
  </si>
  <si>
    <t>3月度 (予算)</t>
    <phoneticPr fontId="1"/>
  </si>
  <si>
    <t>3月度 (実績)</t>
    <phoneticPr fontId="1"/>
  </si>
  <si>
    <t>3月度 (差異)</t>
    <phoneticPr fontId="1"/>
  </si>
  <si>
    <t>3月度 (達成率)</t>
    <phoneticPr fontId="1"/>
  </si>
  <si>
    <t>ソフト保守</t>
    <phoneticPr fontId="1"/>
  </si>
  <si>
    <t>その他ｿﾌﾄ売上</t>
    <phoneticPr fontId="1"/>
  </si>
  <si>
    <t>ハード売上高</t>
    <phoneticPr fontId="1"/>
  </si>
  <si>
    <t>技術指導売上</t>
    <phoneticPr fontId="1"/>
  </si>
  <si>
    <t>周辺機器売上高</t>
    <phoneticPr fontId="1"/>
  </si>
  <si>
    <t>その他売上高</t>
    <phoneticPr fontId="1"/>
  </si>
  <si>
    <t>勘定科目コード</t>
    <phoneticPr fontId="1"/>
  </si>
  <si>
    <t>部門コード</t>
    <phoneticPr fontId="1"/>
  </si>
  <si>
    <t>paletteES</t>
    <phoneticPr fontId="1"/>
  </si>
  <si>
    <t>4月度 (予算)</t>
    <phoneticPr fontId="1"/>
  </si>
  <si>
    <t>4月度 (実績)</t>
    <phoneticPr fontId="1"/>
  </si>
  <si>
    <t>4月度 (差異)</t>
    <phoneticPr fontId="1"/>
  </si>
  <si>
    <t>4月度 (達成率)</t>
    <phoneticPr fontId="1"/>
  </si>
  <si>
    <t>5月度 (予算)</t>
    <phoneticPr fontId="1"/>
  </si>
  <si>
    <t>5月度 (実績)</t>
    <phoneticPr fontId="1"/>
  </si>
  <si>
    <t>5月度 (差異)</t>
    <phoneticPr fontId="1"/>
  </si>
  <si>
    <t>5月度 (達成率)</t>
    <phoneticPr fontId="1"/>
  </si>
  <si>
    <t>6月度 (予算)</t>
    <phoneticPr fontId="1"/>
  </si>
  <si>
    <t>6月度 (実績)</t>
    <phoneticPr fontId="1"/>
  </si>
  <si>
    <t>7月度 (差異)</t>
    <phoneticPr fontId="1"/>
  </si>
  <si>
    <t>6月度 (差異)</t>
    <phoneticPr fontId="1"/>
  </si>
  <si>
    <t>6月度 (達成率)</t>
    <phoneticPr fontId="1"/>
  </si>
  <si>
    <t>7月度 (予算)</t>
    <phoneticPr fontId="1"/>
  </si>
  <si>
    <t>7月度 (実績)</t>
    <phoneticPr fontId="1"/>
  </si>
  <si>
    <t>7月度 (達成率)</t>
    <phoneticPr fontId="1"/>
  </si>
  <si>
    <t>担当部門名</t>
  </si>
  <si>
    <t>合計</t>
    <rPh sb="0" eb="2">
      <t>ゴウケイ</t>
    </rPh>
    <phoneticPr fontId="10"/>
  </si>
  <si>
    <t>まとめ</t>
    <phoneticPr fontId="10"/>
  </si>
  <si>
    <t>ES</t>
    <phoneticPr fontId="1"/>
  </si>
  <si>
    <t>まとめ</t>
    <phoneticPr fontId="1"/>
  </si>
  <si>
    <t>売上</t>
    <rPh sb="0" eb="2">
      <t>ウリアゲ</t>
    </rPh>
    <phoneticPr fontId="1"/>
  </si>
  <si>
    <t>予算</t>
    <rPh sb="0" eb="2">
      <t>ヨサン</t>
    </rPh>
    <phoneticPr fontId="3"/>
  </si>
  <si>
    <t>予測</t>
    <rPh sb="0" eb="2">
      <t>ヨソク</t>
    </rPh>
    <phoneticPr fontId="1"/>
  </si>
  <si>
    <t>実績</t>
    <phoneticPr fontId="10"/>
  </si>
  <si>
    <t>差異</t>
    <rPh sb="0" eb="2">
      <t>サイ</t>
    </rPh>
    <phoneticPr fontId="10"/>
  </si>
  <si>
    <t>達成率</t>
  </si>
  <si>
    <t>営業損益</t>
    <rPh sb="0" eb="2">
      <t>エイギョウ</t>
    </rPh>
    <rPh sb="2" eb="4">
      <t>ソンエキ</t>
    </rPh>
    <phoneticPr fontId="1"/>
  </si>
  <si>
    <t>予測</t>
    <phoneticPr fontId="1"/>
  </si>
  <si>
    <t>進捗</t>
    <phoneticPr fontId="10"/>
  </si>
  <si>
    <t>(金額単位： 千円)</t>
  </si>
  <si>
    <t>関東営業部</t>
    <phoneticPr fontId="1"/>
  </si>
  <si>
    <t>首都圏営業部</t>
    <phoneticPr fontId="1"/>
  </si>
  <si>
    <t>東日本営業部</t>
    <phoneticPr fontId="1"/>
  </si>
  <si>
    <t>西日本営業部</t>
    <phoneticPr fontId="1"/>
  </si>
  <si>
    <t>※更新するには[予測連絡用]シートの更新ボタンを押下してください。</t>
    <rPh sb="1" eb="3">
      <t>コウシン</t>
    </rPh>
    <rPh sb="8" eb="10">
      <t>ヨソク</t>
    </rPh>
    <rPh sb="10" eb="12">
      <t>レンラク</t>
    </rPh>
    <rPh sb="12" eb="13">
      <t>ヨウ</t>
    </rPh>
    <rPh sb="18" eb="20">
      <t>コウシン</t>
    </rPh>
    <rPh sb="24" eb="26">
      <t>オウカ</t>
    </rPh>
    <phoneticPr fontId="1"/>
  </si>
  <si>
    <t>配送センター</t>
    <phoneticPr fontId="1"/>
  </si>
  <si>
    <t>当月
(進捗・月次)</t>
    <rPh sb="0" eb="2">
      <t>トウゲツ</t>
    </rPh>
    <rPh sb="7" eb="9">
      <t>ゲツジ</t>
    </rPh>
    <phoneticPr fontId="1"/>
  </si>
  <si>
    <t>翌月
(進捗・月次)</t>
    <rPh sb="0" eb="2">
      <t>ヨクゲツ</t>
    </rPh>
    <rPh sb="7" eb="9">
      <t>ゲツジ</t>
    </rPh>
    <phoneticPr fontId="1"/>
  </si>
  <si>
    <t>46期　当月売上予測</t>
    <rPh sb="2" eb="3">
      <t>キ</t>
    </rPh>
    <rPh sb="4" eb="6">
      <t>トウゲツ</t>
    </rPh>
    <rPh sb="6" eb="8">
      <t>ウリアゲ</t>
    </rPh>
    <rPh sb="8" eb="10">
      <t>ヨソク</t>
    </rPh>
    <phoneticPr fontId="10"/>
  </si>
  <si>
    <t>46期　売上実績</t>
    <rPh sb="2" eb="3">
      <t>キ</t>
    </rPh>
    <rPh sb="4" eb="6">
      <t>ウリアゲ</t>
    </rPh>
    <rPh sb="6" eb="8">
      <t>ジッセキ</t>
    </rPh>
    <phoneticPr fontId="10"/>
  </si>
  <si>
    <t>2020年8月
(実績・月次)</t>
    <rPh sb="9" eb="11">
      <t>ジッセキ</t>
    </rPh>
    <rPh sb="12" eb="14">
      <t>ゲツジ</t>
    </rPh>
    <phoneticPr fontId="1"/>
  </si>
  <si>
    <t>2020年9月
(実績・月次)</t>
    <phoneticPr fontId="1"/>
  </si>
  <si>
    <t>2020年10月
(実績・月次)</t>
    <phoneticPr fontId="1"/>
  </si>
  <si>
    <t>2020年11月
(実績・月次)</t>
    <phoneticPr fontId="1"/>
  </si>
  <si>
    <t>2020年12月
(実績・月次)</t>
    <phoneticPr fontId="1"/>
  </si>
  <si>
    <t>2021年1月
(実績・月次)</t>
    <phoneticPr fontId="1"/>
  </si>
  <si>
    <t>2021年2月
(実績・月次)</t>
    <phoneticPr fontId="1"/>
  </si>
  <si>
    <t>2021年3月
(実績・月次)</t>
    <phoneticPr fontId="1"/>
  </si>
  <si>
    <t>2021年4月
(実績・月次)</t>
    <phoneticPr fontId="1"/>
  </si>
  <si>
    <t>2021年5月
(実績・月次)</t>
    <phoneticPr fontId="1"/>
  </si>
  <si>
    <t>2021年6月
(実績・月次)</t>
    <phoneticPr fontId="1"/>
  </si>
  <si>
    <t>2021年7月
(実績・月次)</t>
    <phoneticPr fontId="1"/>
  </si>
  <si>
    <t>46期
(累計)</t>
    <rPh sb="2" eb="3">
      <t>キ</t>
    </rPh>
    <rPh sb="5" eb="7">
      <t>ルイケイ</t>
    </rPh>
    <phoneticPr fontId="1"/>
  </si>
  <si>
    <t>四半期計
(8～10月累計)</t>
    <rPh sb="0" eb="3">
      <t>シハンキ</t>
    </rPh>
    <rPh sb="3" eb="4">
      <t>ケイ</t>
    </rPh>
    <rPh sb="10" eb="11">
      <t>ガツ</t>
    </rPh>
    <rPh sb="11" eb="13">
      <t>ルイケイ</t>
    </rPh>
    <phoneticPr fontId="1"/>
  </si>
  <si>
    <t>四半期計
(11～1月累計)</t>
    <phoneticPr fontId="1"/>
  </si>
  <si>
    <t>上半期計
(累計)</t>
    <rPh sb="0" eb="1">
      <t>ウエ</t>
    </rPh>
    <phoneticPr fontId="1"/>
  </si>
  <si>
    <t>四半期計
(2～4月累計)</t>
    <phoneticPr fontId="1"/>
  </si>
  <si>
    <t>四半期計
(5～7月累計)</t>
    <phoneticPr fontId="1"/>
  </si>
  <si>
    <t>下半期計
(累計)</t>
    <rPh sb="0" eb="1">
      <t>シタ</t>
    </rPh>
    <phoneticPr fontId="1"/>
  </si>
  <si>
    <t>Ver1.01(2020/11/18)</t>
    <phoneticPr fontId="1"/>
  </si>
  <si>
    <t>売上区分</t>
  </si>
  <si>
    <t>部門コード</t>
  </si>
  <si>
    <t>商品区分コード</t>
  </si>
  <si>
    <t>商品区分名</t>
  </si>
  <si>
    <t>金額</t>
  </si>
  <si>
    <t>ＰＣＡ－売上計上対象</t>
  </si>
  <si>
    <t>011</t>
  </si>
  <si>
    <t>営業管理部</t>
  </si>
  <si>
    <t>Curline替ブラシ等</t>
  </si>
  <si>
    <t>その他</t>
  </si>
  <si>
    <t>075</t>
  </si>
  <si>
    <t>ヘルスケア営業部</t>
  </si>
  <si>
    <t>その他ソフト</t>
  </si>
  <si>
    <t>081</t>
  </si>
  <si>
    <t>ハード保守</t>
  </si>
  <si>
    <t>ｐａｌｅｔｔｅ</t>
  </si>
  <si>
    <t>ＷＷ受注残－ＶＰ</t>
  </si>
  <si>
    <t>周辺機器（その他ハード)</t>
  </si>
  <si>
    <t>ハード</t>
  </si>
  <si>
    <t>技術・指導売上</t>
  </si>
  <si>
    <t>palette ES</t>
  </si>
  <si>
    <t>ＷＷ受注残－ＶＰ以外</t>
  </si>
  <si>
    <t>ｵﾝﾗｲﾝ資格確認導入</t>
  </si>
  <si>
    <t>082</t>
  </si>
  <si>
    <t>083</t>
  </si>
  <si>
    <t>085</t>
  </si>
  <si>
    <t>086</t>
  </si>
  <si>
    <t>087</t>
  </si>
  <si>
    <t>営業部名</t>
  </si>
  <si>
    <t>拠点コード</t>
  </si>
  <si>
    <t>拠点名</t>
  </si>
  <si>
    <t>顧客No</t>
  </si>
  <si>
    <t>顧客名</t>
  </si>
  <si>
    <t>受注番号</t>
  </si>
  <si>
    <t>受注承認日</t>
  </si>
  <si>
    <t>売上承認日</t>
  </si>
  <si>
    <t>納期</t>
  </si>
  <si>
    <t>売上金額</t>
  </si>
  <si>
    <t>計上月</t>
  </si>
  <si>
    <t>21</t>
  </si>
  <si>
    <t>仙台</t>
  </si>
  <si>
    <t>五十嵐歯科医院</t>
  </si>
  <si>
    <t>2020/01/27</t>
  </si>
  <si>
    <t>2020/01</t>
  </si>
  <si>
    <t>2020/12</t>
  </si>
  <si>
    <t>2021/12</t>
  </si>
  <si>
    <t>2022/12</t>
  </si>
  <si>
    <t>2023/12</t>
  </si>
  <si>
    <t>2024/12</t>
  </si>
  <si>
    <t>11</t>
  </si>
  <si>
    <t>札幌</t>
  </si>
  <si>
    <t>FC24 DENTAL STORE</t>
  </si>
  <si>
    <t>2019/12/27</t>
  </si>
  <si>
    <t>2019/12</t>
  </si>
  <si>
    <t>2020/11</t>
  </si>
  <si>
    <t>2021/11</t>
  </si>
  <si>
    <t>2022/11</t>
  </si>
  <si>
    <t>2023/11</t>
  </si>
  <si>
    <t>2024/11</t>
  </si>
  <si>
    <t>遠藤歯科医院</t>
  </si>
  <si>
    <t>2020/08/31</t>
  </si>
  <si>
    <t>2020/08</t>
  </si>
  <si>
    <t>2021/07</t>
  </si>
  <si>
    <t>2022/07</t>
  </si>
  <si>
    <t>2023/07</t>
  </si>
  <si>
    <t>2024/07</t>
  </si>
  <si>
    <t>2025/07</t>
  </si>
  <si>
    <t>加藤歯科医院</t>
  </si>
  <si>
    <t>2020/11/24</t>
  </si>
  <si>
    <t>2021/10</t>
  </si>
  <si>
    <t>2022/10</t>
  </si>
  <si>
    <t>2023/10</t>
  </si>
  <si>
    <t>2024/10</t>
  </si>
  <si>
    <t>2025/10</t>
  </si>
  <si>
    <t>金澤歯科医院</t>
  </si>
  <si>
    <t>2020/11/26</t>
  </si>
  <si>
    <t>柴田歯科医院</t>
  </si>
  <si>
    <t>2020/07/31</t>
  </si>
  <si>
    <t>2020/07</t>
  </si>
  <si>
    <t>2021/06</t>
  </si>
  <si>
    <t>2022/06</t>
  </si>
  <si>
    <t>2023/06</t>
  </si>
  <si>
    <t>2024/06</t>
  </si>
  <si>
    <t>2025/06</t>
  </si>
  <si>
    <t>医療法人社団ちとせ会舘山歯科東町医院</t>
  </si>
  <si>
    <t>2019/12/07</t>
  </si>
  <si>
    <t>鳥羽歯科医院</t>
  </si>
  <si>
    <t>2021/02/26</t>
  </si>
  <si>
    <t>2021/02</t>
  </si>
  <si>
    <t>2022/01</t>
  </si>
  <si>
    <t>2023/01</t>
  </si>
  <si>
    <t>2024/01</t>
  </si>
  <si>
    <t>2025/01</t>
  </si>
  <si>
    <t>2026/01</t>
  </si>
  <si>
    <t>宮田歯科医院</t>
  </si>
  <si>
    <t>2021/01/15</t>
  </si>
  <si>
    <t>2021/01</t>
  </si>
  <si>
    <t>2025/12</t>
  </si>
  <si>
    <t>北村歯科医院</t>
  </si>
  <si>
    <t>2021/03/31</t>
  </si>
  <si>
    <t>2021/03</t>
  </si>
  <si>
    <t>2022/02</t>
  </si>
  <si>
    <t>2023/02</t>
  </si>
  <si>
    <t>2024/02</t>
  </si>
  <si>
    <t>2025/02</t>
  </si>
  <si>
    <t>2026/02</t>
  </si>
  <si>
    <t>吉田ひろゆき歯科医院</t>
  </si>
  <si>
    <t>2020/10/29</t>
  </si>
  <si>
    <t>2020/10</t>
  </si>
  <si>
    <t>2021/09</t>
  </si>
  <si>
    <t>2022/09</t>
  </si>
  <si>
    <t>2023/09</t>
  </si>
  <si>
    <t>2024/09</t>
  </si>
  <si>
    <t>2025/09</t>
  </si>
  <si>
    <t>ひまわりデンタルクリニック</t>
  </si>
  <si>
    <t>2021/05/26</t>
  </si>
  <si>
    <t>2021/05</t>
  </si>
  <si>
    <t>2022/04</t>
  </si>
  <si>
    <t>2023/04</t>
  </si>
  <si>
    <t>2024/04</t>
  </si>
  <si>
    <t>2025/04</t>
  </si>
  <si>
    <t>2026/04</t>
  </si>
  <si>
    <t>にとうべ歯科医院</t>
  </si>
  <si>
    <t>2020/01/24</t>
  </si>
  <si>
    <t>医療法人社団純弘会　浜頓別歯科医院</t>
  </si>
  <si>
    <t>2019/11/11</t>
  </si>
  <si>
    <t>2019/11</t>
  </si>
  <si>
    <t>かよ歯科</t>
  </si>
  <si>
    <t>2019/11/29</t>
  </si>
  <si>
    <t>かみきたデンタルクリニック のへじ矯正小児歯科</t>
  </si>
  <si>
    <t>2020/01/30</t>
  </si>
  <si>
    <t>河野歯科医院（仮）</t>
  </si>
  <si>
    <t>2020/02/28</t>
  </si>
  <si>
    <t>2020/02</t>
  </si>
  <si>
    <t>柏崎歯科 下田ショッピングセンター診療所</t>
  </si>
  <si>
    <t>2020/02/27</t>
  </si>
  <si>
    <t>なっちゃんデンタル</t>
  </si>
  <si>
    <t>鈴川リアデンタルクリニック</t>
  </si>
  <si>
    <t>2020/03/10</t>
  </si>
  <si>
    <t>2020/03</t>
  </si>
  <si>
    <t>医療法人陽雄会 サンデンタルクリニック</t>
  </si>
  <si>
    <t>2020/03/30</t>
  </si>
  <si>
    <t>まき歯科クリニック</t>
  </si>
  <si>
    <t>2021/02/25</t>
  </si>
  <si>
    <t>やまもり歯科クリニック</t>
  </si>
  <si>
    <t>2020/07/22</t>
  </si>
  <si>
    <t>ルシート歯科矯正歯科クリニック</t>
  </si>
  <si>
    <t>2020/09/30</t>
  </si>
  <si>
    <t>2020/09</t>
  </si>
  <si>
    <t>2021/08</t>
  </si>
  <si>
    <t>2022/08</t>
  </si>
  <si>
    <t>2023/08</t>
  </si>
  <si>
    <t>2024/08</t>
  </si>
  <si>
    <t>2025/08</t>
  </si>
  <si>
    <t>医)miraiさいわいデンタルクリニック 北広島大曲</t>
  </si>
  <si>
    <t>2020/10/09</t>
  </si>
  <si>
    <t>てくて長町歯科</t>
  </si>
  <si>
    <t>2021/03/08</t>
  </si>
  <si>
    <t>ナチュール歯科</t>
  </si>
  <si>
    <t>2020/12/22</t>
  </si>
  <si>
    <t>2025/11</t>
  </si>
  <si>
    <t>医療法人社団ひかる会 あかね歯科</t>
  </si>
  <si>
    <t>2021/02/24</t>
  </si>
  <si>
    <t>41</t>
  </si>
  <si>
    <t>首都圏</t>
  </si>
  <si>
    <t>秋山矯正歯科</t>
  </si>
  <si>
    <t>2020/01/16</t>
  </si>
  <si>
    <t>岡本歯科医院</t>
  </si>
  <si>
    <t>2021/04/09</t>
  </si>
  <si>
    <t>2021/04</t>
  </si>
  <si>
    <t>2022/03</t>
  </si>
  <si>
    <t>2023/03</t>
  </si>
  <si>
    <t>2024/03</t>
  </si>
  <si>
    <t>2025/03</t>
  </si>
  <si>
    <t>2026/03</t>
  </si>
  <si>
    <t>神田歯科医院</t>
  </si>
  <si>
    <t>2020/12/23</t>
  </si>
  <si>
    <t>小杉歯科医院</t>
  </si>
  <si>
    <t>2020/11/02</t>
  </si>
  <si>
    <t>斎藤歯科クリニック</t>
  </si>
  <si>
    <t>2020/02/21</t>
  </si>
  <si>
    <t>たんぽぽ歯科</t>
  </si>
  <si>
    <t>2021/03/17</t>
  </si>
  <si>
    <t>澤歯科医院</t>
  </si>
  <si>
    <t>2021/06/01</t>
  </si>
  <si>
    <t>2022/05</t>
  </si>
  <si>
    <t>2023/05</t>
  </si>
  <si>
    <t>2024/05</t>
  </si>
  <si>
    <t>2025/05</t>
  </si>
  <si>
    <t>2026/05</t>
  </si>
  <si>
    <t>髙野歯科医院</t>
  </si>
  <si>
    <t>2020/10/18</t>
  </si>
  <si>
    <t>鷹の台歯科医院</t>
  </si>
  <si>
    <t>2020/07/29</t>
  </si>
  <si>
    <t>田中歯科医院</t>
  </si>
  <si>
    <t>2020/12/01</t>
  </si>
  <si>
    <t>中沢歯科医院</t>
  </si>
  <si>
    <t>医療法人社団燦西会西国分寺ひきの歯科医院</t>
  </si>
  <si>
    <t>2020/03/12</t>
  </si>
  <si>
    <t>医療法人社団明雅会まさき歯科医院</t>
  </si>
  <si>
    <t>2021/03/01</t>
  </si>
  <si>
    <t>医療法人社団成扶会馬見塚デンタルクリニック</t>
  </si>
  <si>
    <t>2020/11/11</t>
  </si>
  <si>
    <t>東雲デンタルオフィス</t>
  </si>
  <si>
    <t>2020/12/10</t>
  </si>
  <si>
    <t>医療法人みさき歯科医院みさき歯科室</t>
  </si>
  <si>
    <t>医療法人社団天白会 ｷｬﾅﾙｺｰﾄ歯科ｸﾘﾆｯｸ</t>
  </si>
  <si>
    <t>2020/02/29</t>
  </si>
  <si>
    <t>医療法人社団慈瑛会アイデンタルクリニック</t>
  </si>
  <si>
    <t>王子神谷おおぞら歯科</t>
  </si>
  <si>
    <t>2020/06/01</t>
  </si>
  <si>
    <t>2020/06</t>
  </si>
  <si>
    <t>岩元歯科クリニック守谷</t>
  </si>
  <si>
    <t>プラム歯科クリニック</t>
  </si>
  <si>
    <t>2021/04/01</t>
  </si>
  <si>
    <t>医療法人社団孝正会 都立大学駅前デンタル</t>
  </si>
  <si>
    <t>2019/12/26</t>
  </si>
  <si>
    <t>岡田歯科クリニック</t>
  </si>
  <si>
    <t>2021/02/17</t>
  </si>
  <si>
    <t>加納歯科クリニック</t>
  </si>
  <si>
    <t>2020/04/01</t>
  </si>
  <si>
    <t>2020/04</t>
  </si>
  <si>
    <t>東京虎ノ門ｸﾞﾛｰﾊﾞﾙｽｸｴｱ歯科</t>
  </si>
  <si>
    <t>2020/06/25</t>
  </si>
  <si>
    <t>ふせデンタルクリニック</t>
  </si>
  <si>
    <t>2019/12/18</t>
  </si>
  <si>
    <t>京急平和島歯科</t>
  </si>
  <si>
    <t>2020/01/22</t>
  </si>
  <si>
    <t>はる歯科</t>
  </si>
  <si>
    <t>つばさ府中駅前歯科</t>
  </si>
  <si>
    <t>清瀬いんどう歯科</t>
  </si>
  <si>
    <t>2020/03/02</t>
  </si>
  <si>
    <t>医療法人社団四瑛会 板橋ステーション歯科</t>
  </si>
  <si>
    <t>2020/05/25</t>
  </si>
  <si>
    <t>2020/05</t>
  </si>
  <si>
    <t>宮越歯科</t>
  </si>
  <si>
    <t>幕張ファミリー歯科</t>
  </si>
  <si>
    <t>2020/04/14</t>
  </si>
  <si>
    <t>深田クリニック</t>
  </si>
  <si>
    <t>医療法人社団元成会</t>
  </si>
  <si>
    <t>2020/07/01</t>
  </si>
  <si>
    <t>キョーナンデンタルオフィス</t>
  </si>
  <si>
    <t>2020/05/01</t>
  </si>
  <si>
    <t>水天宮前かきがら歯科口腔外科</t>
  </si>
  <si>
    <t>2020/03/16</t>
  </si>
  <si>
    <t>あきらデンタルクリニック</t>
  </si>
  <si>
    <t>2020/02/03</t>
  </si>
  <si>
    <t>医療法人社団天白会 有明ｶﾞｰﾃﾞﾝ歯科ｸﾘﾆｯｸ</t>
  </si>
  <si>
    <t>2020/08/03</t>
  </si>
  <si>
    <t>医療法人社団世航会ﾃﾞﾝﾀﾙｵﾌｨｽ汐留 ﾒﾃﾞｨｱﾀﾜｰ</t>
  </si>
  <si>
    <t>2020/03/18</t>
  </si>
  <si>
    <t>医療法人社団世航会外神田 ﾃﾞﾝﾀﾙｵﾌｨｽ東京</t>
  </si>
  <si>
    <t>ぱらん歯科クリニック</t>
  </si>
  <si>
    <t>永峰堂歯科医院</t>
  </si>
  <si>
    <t>2020/03/17</t>
  </si>
  <si>
    <t>医療法人社団田中歯科クリニック 天野歯科医院</t>
  </si>
  <si>
    <t>クリア歯科池袋院</t>
  </si>
  <si>
    <t>佐藤歯科クリニック</t>
  </si>
  <si>
    <t>2020/05/27</t>
  </si>
  <si>
    <t>成増駅前歯科クリニック</t>
  </si>
  <si>
    <t>はなここどもの歯のクリニック</t>
  </si>
  <si>
    <t>2020/07/03</t>
  </si>
  <si>
    <t>Buddy Dental Clinic</t>
  </si>
  <si>
    <t>2020/09/01</t>
  </si>
  <si>
    <t>NANO dental care 茅場町新川</t>
  </si>
  <si>
    <t>2020/06/18</t>
  </si>
  <si>
    <t>かなおや歯科医院</t>
  </si>
  <si>
    <t>2021/05/06</t>
  </si>
  <si>
    <t>唐崎アトリエ歯科</t>
  </si>
  <si>
    <t>2020/09/07</t>
  </si>
  <si>
    <t>東玉川歯科</t>
  </si>
  <si>
    <t>2020/08/20</t>
  </si>
  <si>
    <t>きくち歯科矯正歯科クリニック</t>
  </si>
  <si>
    <t>2021/04/12</t>
  </si>
  <si>
    <t>BREATH DENTAL CLINIC</t>
  </si>
  <si>
    <t>2020/10/01</t>
  </si>
  <si>
    <t>恵比寿南DENTAL</t>
  </si>
  <si>
    <t>2020/10/02</t>
  </si>
  <si>
    <t>風空歯科</t>
  </si>
  <si>
    <t>新小岩プライマル歯科</t>
  </si>
  <si>
    <t>医療法人社団世航会 月島ﾃﾞﾝﾀﾙｵﾌｨｽ東京</t>
  </si>
  <si>
    <t>2021/02/05</t>
  </si>
  <si>
    <t>医療法人社団世航会 勝どきﾃﾞﾝﾀﾙｵﾌｨｽ東京</t>
  </si>
  <si>
    <t>2021/02/19</t>
  </si>
  <si>
    <t>白樺歯科医院</t>
  </si>
  <si>
    <t>2021/03/09</t>
  </si>
  <si>
    <t>まりこ小児歯科・矯正歯科</t>
  </si>
  <si>
    <t>2020/12/02</t>
  </si>
  <si>
    <t>医療法人社団晃成会 みずほの森歯科</t>
  </si>
  <si>
    <t>赤羽橋歯科・矯正歯科</t>
  </si>
  <si>
    <t>2021/02/08</t>
  </si>
  <si>
    <t>医)恵仁会 筑波中央病院</t>
  </si>
  <si>
    <t>2021/03/10</t>
  </si>
  <si>
    <t>つくば歯科　訪問センター</t>
  </si>
  <si>
    <t>2021/01/22</t>
  </si>
  <si>
    <t>池袋東口つのり歯科</t>
  </si>
  <si>
    <t>2021/05/13</t>
  </si>
  <si>
    <t>医療法人社団EHD久我山・杉並歯科</t>
  </si>
  <si>
    <t>2021/03/04</t>
  </si>
  <si>
    <t>医療法人社団裕正会 虎ノ門ﾜｰﾙﾄﾞｹﾞｰﾄ歯科</t>
  </si>
  <si>
    <t>2021/05/01</t>
  </si>
  <si>
    <t>幕張ベイパーク歯科・矯正歯科 ・小児歯科</t>
  </si>
  <si>
    <t>医療法人社団さくら会 芝ホワイト歯科</t>
  </si>
  <si>
    <t>医療法人社団世航会ﾃﾞﾝﾀﾙｵﾌｨｽ 東京日本橋ﾀﾜｰ</t>
  </si>
  <si>
    <t>31</t>
  </si>
  <si>
    <t>さいたま</t>
  </si>
  <si>
    <t>関歯科クリニック</t>
  </si>
  <si>
    <t>2020/06/12</t>
  </si>
  <si>
    <t>33</t>
  </si>
  <si>
    <t>横浜</t>
  </si>
  <si>
    <t>あお葉歯科</t>
  </si>
  <si>
    <t>2020/03/13</t>
  </si>
  <si>
    <t>医療法人昌和会　飯田矯正歯科医院</t>
  </si>
  <si>
    <t>2020/08/21</t>
  </si>
  <si>
    <t>駿河台井澤歯科</t>
  </si>
  <si>
    <t>2020/02/14</t>
  </si>
  <si>
    <t>医療法人上野会上野医院歯科診療所</t>
  </si>
  <si>
    <t>2021/02/11</t>
  </si>
  <si>
    <t>神崎歯科クリニック</t>
  </si>
  <si>
    <t>キシダ歯科</t>
  </si>
  <si>
    <t>2020/07/07</t>
  </si>
  <si>
    <t>こやま歯科医院</t>
  </si>
  <si>
    <t>2020/04/09</t>
  </si>
  <si>
    <t>清水歯科医院</t>
  </si>
  <si>
    <t>2020/03/31</t>
  </si>
  <si>
    <t>高橋矯正歯科医院</t>
  </si>
  <si>
    <t>2020/06/26</t>
  </si>
  <si>
    <t>医療法人慈世会　たかはし歯科医院</t>
  </si>
  <si>
    <t>西山歯科医院</t>
  </si>
  <si>
    <t>2021/01/14</t>
  </si>
  <si>
    <t>守谷歯科医院</t>
  </si>
  <si>
    <t>2020/12/21</t>
  </si>
  <si>
    <t>和田歯科</t>
  </si>
  <si>
    <t>ポンポン山歯科医院</t>
  </si>
  <si>
    <t>2021/05/28</t>
  </si>
  <si>
    <t>岩崎デンタルオフィス</t>
  </si>
  <si>
    <t>2021/03/30</t>
  </si>
  <si>
    <t>ナカムラ歯科医院</t>
  </si>
  <si>
    <t>2021/01/28</t>
  </si>
  <si>
    <t>医療法人社団スマイルクリエイション立川南口歯科</t>
  </si>
  <si>
    <t>2020/05/29</t>
  </si>
  <si>
    <t>医療法人社団 川村歯科医院</t>
  </si>
  <si>
    <t>2020/07/23</t>
  </si>
  <si>
    <t>清水歯科藤沢院</t>
  </si>
  <si>
    <t>2020/05/08</t>
  </si>
  <si>
    <t>福島歯科クリニック</t>
  </si>
  <si>
    <t>デンタルクリニックファミリー</t>
  </si>
  <si>
    <t>2020/07/28</t>
  </si>
  <si>
    <t>山王歯科医院</t>
  </si>
  <si>
    <t>川口ガーデン歯科クリニック</t>
  </si>
  <si>
    <t>プラム歯科</t>
  </si>
  <si>
    <t>元総社歯科クリニック</t>
  </si>
  <si>
    <t>2020/09/14</t>
  </si>
  <si>
    <t>こうざい歯科クリニック</t>
  </si>
  <si>
    <t>たかはし歯科クリニック北本</t>
  </si>
  <si>
    <t>みずほ台サンクリニック</t>
  </si>
  <si>
    <t>2020/01/15</t>
  </si>
  <si>
    <t>篠原先生</t>
  </si>
  <si>
    <t>2020/01/31</t>
  </si>
  <si>
    <t>わきもと歯科医院</t>
  </si>
  <si>
    <t>2019/12/05</t>
  </si>
  <si>
    <t>とくち歯科クリニック</t>
  </si>
  <si>
    <t>2020/03/19</t>
  </si>
  <si>
    <t>医療法人JSI　昭島デンタルクリニック</t>
  </si>
  <si>
    <t>2020/04/17</t>
  </si>
  <si>
    <t>湘南なぎさ歯科</t>
  </si>
  <si>
    <t>医療法人嵩志会　新伊勢崎CoCo歯科</t>
  </si>
  <si>
    <t>反町歯科・矯正歯科クリニック</t>
  </si>
  <si>
    <t>2020/03/25</t>
  </si>
  <si>
    <t>あいみる歯科</t>
  </si>
  <si>
    <t>ふじ歯科医院</t>
  </si>
  <si>
    <t>慎デンタルオフィス豊田</t>
  </si>
  <si>
    <t>2020/08/24</t>
  </si>
  <si>
    <t>やす・かずCharm歯科</t>
  </si>
  <si>
    <t>日野YOUデンタル</t>
  </si>
  <si>
    <t>2020/09/15</t>
  </si>
  <si>
    <t>すえひろ歯科</t>
  </si>
  <si>
    <t>2020/04/23</t>
  </si>
  <si>
    <t>家代デンタルクリニック</t>
  </si>
  <si>
    <t>一般社団法人寿佳会 那須歯科医院 新田</t>
  </si>
  <si>
    <t>2020/05/11</t>
  </si>
  <si>
    <t>たけしデンタルクリニック</t>
  </si>
  <si>
    <t>2020/06/05</t>
  </si>
  <si>
    <t>小島おとなこども歯科</t>
  </si>
  <si>
    <t>横浜日吉おおとう歯科</t>
  </si>
  <si>
    <t>引田歯科口腔外科</t>
  </si>
  <si>
    <t>2020/07/09</t>
  </si>
  <si>
    <t>U_PLACEかわごえデンタルクリニック</t>
  </si>
  <si>
    <t>2020/10/19</t>
  </si>
  <si>
    <t>けやきデンタルクリニック</t>
  </si>
  <si>
    <t>2020/09/04</t>
  </si>
  <si>
    <t>藤沢歯ならび矯正歯科</t>
  </si>
  <si>
    <t>あらかわファミリーデンタル</t>
  </si>
  <si>
    <t>ハートピアデンタルオフィス西川口</t>
  </si>
  <si>
    <t>2020/11/10</t>
  </si>
  <si>
    <t>スマイレアデンタルクリニック</t>
  </si>
  <si>
    <t>ALBA歯科＆矯正歯科　登戸</t>
  </si>
  <si>
    <t>2020/11/04</t>
  </si>
  <si>
    <t>とも歯科クリニック</t>
  </si>
  <si>
    <t>宇土歯科医院</t>
  </si>
  <si>
    <t>やました歯科医院</t>
  </si>
  <si>
    <t>医)健清会 川口サンデー歯科･矯正歯科</t>
  </si>
  <si>
    <t>医療法人社団楠雪会</t>
  </si>
  <si>
    <t>2021/05/11</t>
  </si>
  <si>
    <t>医療法人社団楠雪会 遠藤町ﾌｧﾐﾘｰ歯科</t>
  </si>
  <si>
    <t>元住歯科クリニック(恵悠会)</t>
  </si>
  <si>
    <t>都筑マイクロスコープ歯科</t>
  </si>
  <si>
    <t>81</t>
  </si>
  <si>
    <t>福岡</t>
  </si>
  <si>
    <t>安倍歯科医院</t>
  </si>
  <si>
    <t>えとう歯科</t>
  </si>
  <si>
    <t>おにむら歯科</t>
  </si>
  <si>
    <t>2020/06/10</t>
  </si>
  <si>
    <t>71</t>
  </si>
  <si>
    <t>広島</t>
  </si>
  <si>
    <t>きなみ小児歯科・矯正歯科医院</t>
  </si>
  <si>
    <t>2020/11/30</t>
  </si>
  <si>
    <t>衣笠歯科医院</t>
  </si>
  <si>
    <t>2020/04/30</t>
  </si>
  <si>
    <t>医療法人保歯会　久保歯科医院</t>
  </si>
  <si>
    <t>2019/12/17</t>
  </si>
  <si>
    <t>たかもり歯科医院</t>
  </si>
  <si>
    <t>2020/03/26</t>
  </si>
  <si>
    <t>たなか歯科医院</t>
  </si>
  <si>
    <t>2020/02/18</t>
  </si>
  <si>
    <t>筒井歯科医院</t>
  </si>
  <si>
    <t>デンタルクリニック別府</t>
  </si>
  <si>
    <t>2020/06/30</t>
  </si>
  <si>
    <t>医療法人戸嶋会戸嶋歯科医院</t>
  </si>
  <si>
    <t>2020/12/17</t>
  </si>
  <si>
    <t>永松歯科医院</t>
  </si>
  <si>
    <t>2020/08/04</t>
  </si>
  <si>
    <t>ひかり歯科</t>
  </si>
  <si>
    <t>平井歯科医院</t>
  </si>
  <si>
    <t>2020/12/24</t>
  </si>
  <si>
    <t>プラザ歯科医院</t>
  </si>
  <si>
    <t>2020/04/16</t>
  </si>
  <si>
    <t>牧歯科医院</t>
  </si>
  <si>
    <t>ほそだ歯科</t>
  </si>
  <si>
    <t>2021/01/25</t>
  </si>
  <si>
    <t>こんどう歯科医院</t>
  </si>
  <si>
    <t>わたなべ歯科医院</t>
  </si>
  <si>
    <t>ながひろ歯科クリニック</t>
  </si>
  <si>
    <t>よしもり歯科医院</t>
  </si>
  <si>
    <t>かしわ歯科医院</t>
  </si>
  <si>
    <t>2020/06/15</t>
  </si>
  <si>
    <t>すえます歯科医院</t>
  </si>
  <si>
    <t>2020/01/28</t>
  </si>
  <si>
    <t>医療法人秀明会小池デンタルクリニック</t>
  </si>
  <si>
    <t>2020/01/29</t>
  </si>
  <si>
    <t>あさくらデンタルケアクリニック</t>
  </si>
  <si>
    <t>よねみつ歯科クリニック</t>
  </si>
  <si>
    <t>2019/12/25</t>
  </si>
  <si>
    <t>連島あさの歯科</t>
  </si>
  <si>
    <t>らいふ歯科クリニック</t>
  </si>
  <si>
    <t>2020/09/29</t>
  </si>
  <si>
    <t>みやくに歯科医院</t>
  </si>
  <si>
    <t>せお歯科</t>
  </si>
  <si>
    <t>かみなか歯科</t>
  </si>
  <si>
    <t>2020/12/25</t>
  </si>
  <si>
    <t>そふと歯科　伊集院</t>
  </si>
  <si>
    <t>2019/12/24</t>
  </si>
  <si>
    <t>みなと歯科クリニック</t>
  </si>
  <si>
    <t>2020/09/24</t>
  </si>
  <si>
    <t>アロハ歯科 小児・矯正歯科クリニック</t>
  </si>
  <si>
    <t>2020/02/05</t>
  </si>
  <si>
    <t>羽屋　ながお歯科</t>
  </si>
  <si>
    <t>2020/07/13</t>
  </si>
  <si>
    <t>那珂川こじま歯科･小児矯正歯科医院</t>
  </si>
  <si>
    <t>たなか歯科･矯正歯科</t>
  </si>
  <si>
    <t>かわの歯科口腔クリニック</t>
  </si>
  <si>
    <t>かたおか歯科口腔クリニック</t>
  </si>
  <si>
    <t>2020/05/12</t>
  </si>
  <si>
    <t>ふたば歯科クリニック</t>
  </si>
  <si>
    <t>国立療養所星塚敬愛園</t>
  </si>
  <si>
    <t>博多サルースこども・おとな歯科</t>
  </si>
  <si>
    <t>Jin歯科クリニック</t>
  </si>
  <si>
    <t>2020/04/28</t>
  </si>
  <si>
    <t>医療法人グラン会ルプレ歯科クリニック</t>
  </si>
  <si>
    <t>2020/03/23</t>
  </si>
  <si>
    <t>そね歯科クリニック</t>
  </si>
  <si>
    <t>2020/07/15</t>
  </si>
  <si>
    <t>ひうら歯科クリニック</t>
  </si>
  <si>
    <t>2020/05/28</t>
  </si>
  <si>
    <t>古賀歯科医院</t>
  </si>
  <si>
    <t>2020/04/27</t>
  </si>
  <si>
    <t>小田部よねしま歯科・矯正歯科</t>
  </si>
  <si>
    <t>じゅん歯科口腔外科ひろ矯正歯科ｸﾘﾆｯｸ</t>
  </si>
  <si>
    <t>2020/10/17</t>
  </si>
  <si>
    <t>のだ歯科クリニック</t>
  </si>
  <si>
    <t>2021/03/29</t>
  </si>
  <si>
    <t>おとやま歯科</t>
  </si>
  <si>
    <t>2020/09/17</t>
  </si>
  <si>
    <t>たんぽぽ歯科・矯正歯科</t>
  </si>
  <si>
    <t>2021/06/03</t>
  </si>
  <si>
    <t>若杉歯科</t>
  </si>
  <si>
    <t>2021/01/29</t>
  </si>
  <si>
    <t>医療法人 栗並医院</t>
  </si>
  <si>
    <t>くわはら歯科医院</t>
  </si>
  <si>
    <t>もりした歯科</t>
  </si>
  <si>
    <t>2021/01/07</t>
  </si>
  <si>
    <t>訪問デンタルケアなのはな</t>
  </si>
  <si>
    <t>藤川歯科医院</t>
  </si>
  <si>
    <t>2021/04/30</t>
  </si>
  <si>
    <t>KI DENTAL OFFICE</t>
  </si>
  <si>
    <t>あきえだデンタルクリニック</t>
  </si>
  <si>
    <t>2021/07/06</t>
  </si>
  <si>
    <t>2026/06</t>
  </si>
  <si>
    <t>まい歯科こども歯科</t>
  </si>
  <si>
    <t>2021/04/22</t>
  </si>
  <si>
    <t>横田誠歯科クリニック</t>
  </si>
  <si>
    <t>2021/03/19</t>
  </si>
  <si>
    <t>古賀天神しまぞえ歯科</t>
  </si>
  <si>
    <t>2021/06/15</t>
  </si>
  <si>
    <t>51</t>
  </si>
  <si>
    <t>名古屋</t>
  </si>
  <si>
    <t>大滝歯科医院</t>
  </si>
  <si>
    <t>2020/03/05</t>
  </si>
  <si>
    <t>小島歯科</t>
  </si>
  <si>
    <t>2019/11/15</t>
  </si>
  <si>
    <t>さいとう歯科</t>
  </si>
  <si>
    <t>2021/02/01</t>
  </si>
  <si>
    <t>52</t>
  </si>
  <si>
    <t>金沢</t>
  </si>
  <si>
    <t>医療法人山王歯科</t>
  </si>
  <si>
    <t>2019/12/23</t>
  </si>
  <si>
    <t>丹羽歯科医院</t>
  </si>
  <si>
    <t>2021/03/26</t>
  </si>
  <si>
    <t>藤原歯科</t>
  </si>
  <si>
    <t>2020/06/17</t>
  </si>
  <si>
    <t>みはま歯科クリニック</t>
  </si>
  <si>
    <t>2019/11/21</t>
  </si>
  <si>
    <t>豊田地域医療センター</t>
  </si>
  <si>
    <t>2020/11/23</t>
  </si>
  <si>
    <t>医療法人やまざき歯科</t>
  </si>
  <si>
    <t>2020/02/17</t>
  </si>
  <si>
    <t>中村歯科クリニック</t>
  </si>
  <si>
    <t>2021/05/31</t>
  </si>
  <si>
    <t>デンタルフリーまちこクリニック</t>
  </si>
  <si>
    <t>2021/01/19</t>
  </si>
  <si>
    <t>たかすぎ友愛歯科</t>
  </si>
  <si>
    <t>2020/03/11</t>
  </si>
  <si>
    <t>佐古木歯科</t>
  </si>
  <si>
    <t>みその歯科・矯正歯科</t>
  </si>
  <si>
    <t>2020/02/25</t>
  </si>
  <si>
    <t>大垣垂井歯科口腔外科クリニック</t>
  </si>
  <si>
    <t>ヒラキ歯科クリニック</t>
  </si>
  <si>
    <t>2020/03/21</t>
  </si>
  <si>
    <t>アイル歯科クリニック</t>
  </si>
  <si>
    <t>平針くまがい歯科</t>
  </si>
  <si>
    <t>新瑞橋デンタルオフィス</t>
  </si>
  <si>
    <t>しんたろう河本こども歯科</t>
  </si>
  <si>
    <t>医療法人前川歯科医院</t>
  </si>
  <si>
    <t>2020/05/21</t>
  </si>
  <si>
    <t>じんどう歯科</t>
  </si>
  <si>
    <t>2020/08/05</t>
  </si>
  <si>
    <t>桜山あしかり歯科</t>
  </si>
  <si>
    <t>2020/10/30</t>
  </si>
  <si>
    <t>のの歯科</t>
  </si>
  <si>
    <t>そうまデンタルオフィス</t>
  </si>
  <si>
    <t>61</t>
  </si>
  <si>
    <t>大阪</t>
  </si>
  <si>
    <t>芦田歯科医院</t>
  </si>
  <si>
    <t>石﨑歯科医院</t>
  </si>
  <si>
    <t>上原歯科</t>
  </si>
  <si>
    <t>カガミ歯科医院</t>
  </si>
  <si>
    <t>木下歯科医院</t>
  </si>
  <si>
    <t>医療法人　リオナ　倉橋歯科医院</t>
  </si>
  <si>
    <t>こいし歯科</t>
  </si>
  <si>
    <t>2020/07/30</t>
  </si>
  <si>
    <t>ごうがみ歯科医院</t>
  </si>
  <si>
    <t>斉藤歯科医院</t>
  </si>
  <si>
    <t>坂井歯科医院</t>
  </si>
  <si>
    <t>すずき歯科クリニック</t>
  </si>
  <si>
    <t>2021/02/10</t>
  </si>
  <si>
    <t>田中歯科</t>
  </si>
  <si>
    <t>2020/08/06</t>
  </si>
  <si>
    <t>どい歯科医院</t>
  </si>
  <si>
    <t>2020/02/04</t>
  </si>
  <si>
    <t>藤田歯科医院</t>
  </si>
  <si>
    <t>医療法人　牧野歯科医院</t>
  </si>
  <si>
    <t>2020/09/25</t>
  </si>
  <si>
    <t>堀江デンタルクリニック</t>
  </si>
  <si>
    <t>和田歯科医院</t>
  </si>
  <si>
    <t>さかた歯科医院</t>
  </si>
  <si>
    <t>つぼい歯科医院</t>
  </si>
  <si>
    <t>いとう歯科医院</t>
  </si>
  <si>
    <t>2020/05/20</t>
  </si>
  <si>
    <t>医療法人　菱友会　ひしだ歯科クリニック</t>
  </si>
  <si>
    <t>2020/10/26</t>
  </si>
  <si>
    <t>土岐デンタルクリニック</t>
  </si>
  <si>
    <t>マツダデンタルクリニック</t>
  </si>
  <si>
    <t>2020/12/28</t>
  </si>
  <si>
    <t>吉江歯科クリニック</t>
  </si>
  <si>
    <t>ＡＡｆ橋本歯科医院</t>
  </si>
  <si>
    <t>医療法人翼翔会　ヨクシオ　ファミリー歯科 住道</t>
  </si>
  <si>
    <t>2021/02/28</t>
  </si>
  <si>
    <t>ひしかわ歯科クリニック</t>
  </si>
  <si>
    <t>2020/09/13</t>
  </si>
  <si>
    <t>医療法人永生会　栗東駅前歯科</t>
  </si>
  <si>
    <t>2021/03/15</t>
  </si>
  <si>
    <t>岡村歯科医院</t>
  </si>
  <si>
    <t>医療法人白真会　ソフト歯科</t>
  </si>
  <si>
    <t>2020/11/16</t>
  </si>
  <si>
    <t>おおきデンタルクリニック</t>
  </si>
  <si>
    <t>2020/03/04</t>
  </si>
  <si>
    <t>ふじもと歯科</t>
  </si>
  <si>
    <t>医療法人湧光会　アスヒカル歯科</t>
  </si>
  <si>
    <t>医療法人岡田会AKIデンタルクリニック</t>
  </si>
  <si>
    <t>2021/03/16</t>
  </si>
  <si>
    <t>まつざわ歯科クリニック</t>
  </si>
  <si>
    <t>つつみした歯科</t>
  </si>
  <si>
    <t>2020/07/16</t>
  </si>
  <si>
    <t>芦屋川デンタルクリニック</t>
  </si>
  <si>
    <t>2020/06/29</t>
  </si>
  <si>
    <t>弓倉歯科醫院</t>
  </si>
  <si>
    <t>医療法人白真会　深井こどもファミリー歯科</t>
  </si>
  <si>
    <t>郡山駅前歯科</t>
  </si>
  <si>
    <t>西山歯科クリニック</t>
  </si>
  <si>
    <t>2021/02/22</t>
  </si>
  <si>
    <t>たなか歯科クリニック</t>
  </si>
  <si>
    <t>2020/08/07</t>
  </si>
  <si>
    <t>きもと歯科クリニック</t>
  </si>
  <si>
    <t>のがみ歯科医院</t>
  </si>
  <si>
    <t>堀切歯科診療所</t>
  </si>
  <si>
    <t>さくら歯科</t>
  </si>
  <si>
    <t>こじまデンタルクリニック</t>
  </si>
  <si>
    <t>2021/01/27</t>
  </si>
  <si>
    <t>みやなが歯科医院</t>
  </si>
  <si>
    <t>2020/02/13</t>
  </si>
  <si>
    <t>つきのわ歯科医院</t>
  </si>
  <si>
    <t>しんかい歯科医院</t>
  </si>
  <si>
    <t>2021/04/08</t>
  </si>
  <si>
    <t>はやし歯科医院</t>
  </si>
  <si>
    <t>京都十条駅前歯科</t>
  </si>
  <si>
    <t>はぴねす歯科川西能勢口駅前ｸﾘﾆｯｸ</t>
  </si>
  <si>
    <t>石川ヒロ歯科クリニック</t>
  </si>
  <si>
    <t>Belle歯科・矯正歯科</t>
  </si>
  <si>
    <t>2020/08/10</t>
  </si>
  <si>
    <t>みやの矯正・小児歯科クリニック</t>
  </si>
  <si>
    <t>えがお歯科クリニック</t>
  </si>
  <si>
    <t>2021/02/21</t>
  </si>
  <si>
    <t>吉田歯科医院</t>
  </si>
  <si>
    <t>医療法人翼翔会 安岡デンタルオフィス</t>
  </si>
  <si>
    <t>2020/11/27</t>
  </si>
  <si>
    <t>仮）山本歯科クリニック</t>
  </si>
  <si>
    <t>ファミリア歯科クリニック</t>
  </si>
  <si>
    <t>パールストリート歯科</t>
  </si>
  <si>
    <t>adachi dental clinic</t>
  </si>
  <si>
    <t>2021/03/12</t>
  </si>
  <si>
    <t>こばし口腔外科・歯科総合クリニック</t>
  </si>
  <si>
    <t>鶴橋上本町歯科クリニック</t>
  </si>
  <si>
    <t>2021/03/22</t>
  </si>
  <si>
    <t>いろのみ歯科</t>
  </si>
  <si>
    <t>2021/04/07</t>
  </si>
  <si>
    <t>なりた歯科・矯正歯科</t>
  </si>
  <si>
    <t>2021/04/23</t>
  </si>
  <si>
    <t>医療法人哲樹会真弓愛メディカルクリニック</t>
  </si>
  <si>
    <t>2021/05/21</t>
  </si>
  <si>
    <t>実績日</t>
  </si>
  <si>
    <t>営業部コード</t>
  </si>
  <si>
    <t>予算VP</t>
  </si>
  <si>
    <t>予算ES</t>
  </si>
  <si>
    <t>予算まとめ</t>
  </si>
  <si>
    <t>予算売上</t>
  </si>
  <si>
    <t>予算営業損益</t>
  </si>
  <si>
    <t>予測VP</t>
  </si>
  <si>
    <t>予測ES</t>
  </si>
  <si>
    <t>予測まとめ</t>
  </si>
  <si>
    <t>予測売上</t>
  </si>
  <si>
    <t>予測営業損益</t>
  </si>
  <si>
    <t>実績VP</t>
  </si>
  <si>
    <t>実績ES</t>
  </si>
  <si>
    <t>実績まとめ</t>
  </si>
  <si>
    <t>実績売上</t>
  </si>
  <si>
    <t>実績営業損益</t>
  </si>
  <si>
    <t>50</t>
  </si>
  <si>
    <t>60</t>
  </si>
  <si>
    <t>70</t>
  </si>
  <si>
    <t>75</t>
  </si>
  <si>
    <t>80</t>
  </si>
  <si>
    <t>76</t>
  </si>
  <si>
    <t>売上月</t>
  </si>
  <si>
    <t>f受注番号</t>
  </si>
  <si>
    <t>f受注日</t>
  </si>
  <si>
    <t>f販売先コード</t>
  </si>
  <si>
    <t>fユーザーコード</t>
  </si>
  <si>
    <t>f販売先</t>
  </si>
  <si>
    <t>fユーザー</t>
  </si>
  <si>
    <t>f受注金額</t>
  </si>
  <si>
    <t>f件名</t>
  </si>
  <si>
    <t>f納期</t>
  </si>
  <si>
    <t>fリプレース区分</t>
  </si>
  <si>
    <t>fリプレース</t>
  </si>
  <si>
    <t>f担当者コード</t>
  </si>
  <si>
    <t>f担当者名</t>
  </si>
  <si>
    <t>fBshCode2</t>
  </si>
  <si>
    <t>fBshCode3</t>
  </si>
  <si>
    <t>f担当支店名</t>
  </si>
  <si>
    <t>f受注承認日</t>
  </si>
  <si>
    <t>f売上承認日</t>
  </si>
  <si>
    <t>f請求区分</t>
  </si>
  <si>
    <t>f販売店コード</t>
  </si>
  <si>
    <t>f販売店</t>
  </si>
  <si>
    <t>f販売種別</t>
  </si>
  <si>
    <t>fSV利用開始年月</t>
  </si>
  <si>
    <t>fSV利用終了年月</t>
  </si>
  <si>
    <t>2019/10/24</t>
  </si>
  <si>
    <t>日立キャピタルNBL株式会社 札幌営業所</t>
  </si>
  <si>
    <t>palette ES一式</t>
  </si>
  <si>
    <t>新開</t>
  </si>
  <si>
    <t xml:space="preserve">1085      </t>
  </si>
  <si>
    <t>細木 和美</t>
  </si>
  <si>
    <t>2019/11/08</t>
  </si>
  <si>
    <t>ササキ株式会社 中部商品センター</t>
  </si>
  <si>
    <t>ｐａｌｅｔｔｅＥＳ一式</t>
  </si>
  <si>
    <t>オプテック</t>
  </si>
  <si>
    <t xml:space="preserve">1435      </t>
  </si>
  <si>
    <t>土田 学</t>
  </si>
  <si>
    <t>2019/11/18</t>
  </si>
  <si>
    <t>ササキ株式会社 名古屋駅前支店</t>
  </si>
  <si>
    <t>株式会社 中央歯科産業 南店</t>
  </si>
  <si>
    <t>メディア</t>
  </si>
  <si>
    <t>2019/11/20</t>
  </si>
  <si>
    <t>2019/11/28</t>
  </si>
  <si>
    <t>2019/11/12</t>
  </si>
  <si>
    <t>ササキ株式会社 東京商品センター</t>
  </si>
  <si>
    <t xml:space="preserve">1510      </t>
  </si>
  <si>
    <t>三野 遼平</t>
  </si>
  <si>
    <t>ササキ株式会社 八王子支店</t>
  </si>
  <si>
    <t>MWS paletteES 72ｹ月(1S2C)</t>
  </si>
  <si>
    <t xml:space="preserve">1345      </t>
  </si>
  <si>
    <t>伊藤 晋</t>
  </si>
  <si>
    <t>2019/11/27</t>
  </si>
  <si>
    <t>2019/08/21</t>
  </si>
  <si>
    <t>ササキ株式会社 福岡支店</t>
  </si>
  <si>
    <t>MWS palette ES 2019版◆1S2C◆</t>
  </si>
  <si>
    <t>ノーザ，シグマ</t>
  </si>
  <si>
    <t xml:space="preserve">1378      </t>
  </si>
  <si>
    <t>末松 謙吾</t>
  </si>
  <si>
    <t>2019/12/16</t>
  </si>
  <si>
    <t>2019/09/12</t>
  </si>
  <si>
    <t>PALETTE ES</t>
  </si>
  <si>
    <t xml:space="preserve">1445      </t>
  </si>
  <si>
    <t>村中 展</t>
  </si>
  <si>
    <t>2019/10/10</t>
  </si>
  <si>
    <t>株式会社ＵＫデンタル 久留米店</t>
  </si>
  <si>
    <t>MWS palette ES</t>
  </si>
  <si>
    <t>ＯＫＩ，ヨシダ</t>
  </si>
  <si>
    <t xml:space="preserve">1361      </t>
  </si>
  <si>
    <t>吉川 正数</t>
  </si>
  <si>
    <t>ケーオーデンタル株式会社 神奈川西営業所</t>
  </si>
  <si>
    <t>PALETTE ES(NW)</t>
  </si>
  <si>
    <t>2019/12/19</t>
  </si>
  <si>
    <t>2019/11/26</t>
  </si>
  <si>
    <t>ケーオーデンタル株式会社 八王子営業所</t>
  </si>
  <si>
    <t>Palette　ES</t>
  </si>
  <si>
    <t xml:space="preserve">1505      </t>
  </si>
  <si>
    <t>柴田 茂宏</t>
  </si>
  <si>
    <t>2019/12/06</t>
  </si>
  <si>
    <t>札幌歯科器材株式会社</t>
  </si>
  <si>
    <t>palette ES（受付＋診療室）保険証OCR込み</t>
  </si>
  <si>
    <t>2019/12/03</t>
  </si>
  <si>
    <t>2019/12/09</t>
  </si>
  <si>
    <t>株式会社 トミヤ 本社 （207）</t>
  </si>
  <si>
    <t>モリタ</t>
  </si>
  <si>
    <t xml:space="preserve">1475      </t>
  </si>
  <si>
    <t>嶋田 琢也</t>
  </si>
  <si>
    <t>株式会社トミヤ 西宮支店</t>
  </si>
  <si>
    <t>株式会社 ノギ</t>
  </si>
  <si>
    <t>MWSパッケージソフト「palette ES」</t>
  </si>
  <si>
    <t xml:space="preserve">1468      </t>
  </si>
  <si>
    <t>奥澤 和央</t>
  </si>
  <si>
    <t>2019/12/04</t>
  </si>
  <si>
    <t>ＧＣ</t>
  </si>
  <si>
    <t xml:space="preserve">1436      </t>
  </si>
  <si>
    <t>要 祐介</t>
  </si>
  <si>
    <t>ササキ株式会社 鹿児島営業所</t>
  </si>
  <si>
    <t>2019/12/11</t>
  </si>
  <si>
    <t>株式会社別田 福井支店</t>
  </si>
  <si>
    <t>palette　ES+ES ｿﾌﾄｳｪｱ保守料72ヵ月</t>
  </si>
  <si>
    <t>アサノ</t>
  </si>
  <si>
    <t xml:space="preserve">1403      </t>
  </si>
  <si>
    <t>大宮 徳章</t>
  </si>
  <si>
    <t>ケーオーデンタル株式会社 城北営業所</t>
  </si>
  <si>
    <t>palette ES(1S2C)</t>
  </si>
  <si>
    <t xml:space="preserve">1552      </t>
  </si>
  <si>
    <t>近藤 良亮</t>
  </si>
  <si>
    <t>palette ES（受付2台＋診療室）保険証OCR込み</t>
  </si>
  <si>
    <t>株式会社ＵＫデンタル 鹿児島店</t>
  </si>
  <si>
    <t>東和ハイシステム</t>
  </si>
  <si>
    <t>株式会社一色タカナワ</t>
  </si>
  <si>
    <t>ES発売記念キャンペーン(NW) 2か所入力用</t>
  </si>
  <si>
    <t xml:space="preserve">1421      </t>
  </si>
  <si>
    <t>仲村 賢介</t>
  </si>
  <si>
    <t>2020/01/20</t>
  </si>
  <si>
    <t>株式会社 ヘルスガード企画</t>
  </si>
  <si>
    <t>2019/12/13</t>
  </si>
  <si>
    <t>尾崎歯材株式会社</t>
  </si>
  <si>
    <t xml:space="preserve">1563      </t>
  </si>
  <si>
    <t>大井 靖己</t>
  </si>
  <si>
    <t>シャープファイナンス株式会社 埼玉支店</t>
  </si>
  <si>
    <t>PALETTEESﾈｯﾄﾜｰｸﾓﾃﾞﾙ版</t>
  </si>
  <si>
    <t>新規</t>
  </si>
  <si>
    <t xml:space="preserve">1299      </t>
  </si>
  <si>
    <t>花岡 諭</t>
  </si>
  <si>
    <t>2020/01/11</t>
  </si>
  <si>
    <t>2019/12/20</t>
  </si>
  <si>
    <t>株式会社 シマヤ</t>
  </si>
  <si>
    <t>MWS paletteES 72ｹ月(1S3C)</t>
  </si>
  <si>
    <t>株式会社 後藤歯科商店</t>
  </si>
  <si>
    <t>株式会社後藤歯科商店　山形店</t>
  </si>
  <si>
    <t>日立キャピタルNBL株式会社</t>
  </si>
  <si>
    <t>paletteES ネットワークモデル</t>
  </si>
  <si>
    <t xml:space="preserve">1383      </t>
  </si>
  <si>
    <t>河合 健一郎</t>
  </si>
  <si>
    <t>福岡デンタル販売株式会社 北九州営業所</t>
  </si>
  <si>
    <t>MWS palette ES 単体版ハード一式</t>
  </si>
  <si>
    <t xml:space="preserve">1322      </t>
  </si>
  <si>
    <t>上野 義雄</t>
  </si>
  <si>
    <t>株式会社 東歯科商店 尾道支店</t>
  </si>
  <si>
    <t xml:space="preserve">1296      </t>
  </si>
  <si>
    <t>岡川 創</t>
  </si>
  <si>
    <t>2020/01/17</t>
  </si>
  <si>
    <t>株式会社 東歯科商店</t>
  </si>
  <si>
    <t>2020/01/21</t>
  </si>
  <si>
    <t>株式会社後藤歯科商店 横手店</t>
  </si>
  <si>
    <t>PALETTEハード費用　PC3台+保険証スキャナ複合機</t>
  </si>
  <si>
    <t>医療法人社団天白会</t>
  </si>
  <si>
    <t>PaletteES(NW)(12か所入力） サーバーのみ</t>
  </si>
  <si>
    <t>2020/02/19</t>
  </si>
  <si>
    <t xml:space="preserve">010             </t>
  </si>
  <si>
    <t>2020/01/06</t>
  </si>
  <si>
    <t>MWS PaletteES（ﾈｯﾄﾜｰｸﾓﾃﾞﾙ１S２C）</t>
  </si>
  <si>
    <t xml:space="preserve">1367      </t>
  </si>
  <si>
    <t>河上 徹</t>
  </si>
  <si>
    <t>2020/02/26</t>
  </si>
  <si>
    <t>2020/01/14</t>
  </si>
  <si>
    <t>paletteES 単体モデル</t>
  </si>
  <si>
    <t>その他メーカー</t>
  </si>
  <si>
    <t>有限会社 筑後デンタル</t>
  </si>
  <si>
    <t>MWS palette ES 1S/2C(OCR+釣銭機+ﾀﾌﾞﾚｯﾄ)</t>
  </si>
  <si>
    <t>ケーオーデンタル株式会社 福岡営業所</t>
  </si>
  <si>
    <t>MWS palette ES 1S/2C(OCR+釣銭機)</t>
  </si>
  <si>
    <t>八幡デンタル器材株式会社</t>
  </si>
  <si>
    <t>MWS palette【Entry Suite】◆SA◆</t>
  </si>
  <si>
    <t>アイデンス</t>
  </si>
  <si>
    <t>MWS palette ES (ﾈｯﾄﾜｰｸﾓﾃﾞﾙ一式)</t>
  </si>
  <si>
    <t>ＩＴＳＳ</t>
  </si>
  <si>
    <t xml:space="preserve">1372      </t>
  </si>
  <si>
    <t>安室 高志</t>
  </si>
  <si>
    <t>2020/02/20</t>
  </si>
  <si>
    <t>ササキ株式会社 静岡支店</t>
  </si>
  <si>
    <t>2020/01/25</t>
  </si>
  <si>
    <t>株式会社シラネ</t>
  </si>
  <si>
    <t xml:space="preserve">1472      </t>
  </si>
  <si>
    <t>林 一樹</t>
  </si>
  <si>
    <t>palette ES 電子カルテ構成</t>
  </si>
  <si>
    <t>2020/02/12</t>
  </si>
  <si>
    <t>有限会社 オフィス・エヌ</t>
  </si>
  <si>
    <t>palette ES(単体版)</t>
  </si>
  <si>
    <t>シャープファイナンス株式会社 横浜支店</t>
  </si>
  <si>
    <t>PALETTE　ES</t>
  </si>
  <si>
    <t>palette　ES  指導料・ハード</t>
  </si>
  <si>
    <t>2020/02/06</t>
  </si>
  <si>
    <t>株式会社マルミ歯科商店 本社</t>
  </si>
  <si>
    <t>palette ES １S2C電子カルテ構成</t>
  </si>
  <si>
    <t>有限会社 新田歯科器材</t>
  </si>
  <si>
    <t>PaletteES + 保険証OCR</t>
  </si>
  <si>
    <t>アキラックス</t>
  </si>
  <si>
    <t xml:space="preserve">1602      </t>
  </si>
  <si>
    <t>塩川 貴明</t>
  </si>
  <si>
    <t>2020/02/07</t>
  </si>
  <si>
    <t>palette ES（ネットワーク版）</t>
  </si>
  <si>
    <t xml:space="preserve">1353      </t>
  </si>
  <si>
    <t>津川 貴司</t>
  </si>
  <si>
    <t>MWS palette ES ﾈｯﾄﾜｰｸ版</t>
  </si>
  <si>
    <t>MWS palette ES 1S/2C</t>
  </si>
  <si>
    <t>株式会社 土屋歯科商店</t>
  </si>
  <si>
    <t>MWS paletteES 72ｹ月(1S2C)ｿﾌﾄのみ/自動つり銭機含む</t>
  </si>
  <si>
    <t xml:space="preserve">1264      </t>
  </si>
  <si>
    <t>柴田 知克</t>
  </si>
  <si>
    <t>MWS palette ES ﾈｯﾄﾜｰｸ版(1S3C)</t>
  </si>
  <si>
    <t>株式会社 デントオール</t>
  </si>
  <si>
    <t>【paletteES】NW 一式</t>
  </si>
  <si>
    <t>2020/01/19</t>
  </si>
  <si>
    <t>ケーオーデンタル株式会社 東京営業所</t>
  </si>
  <si>
    <t>ササキ株式会社 厚木支店</t>
  </si>
  <si>
    <t>PaletteES</t>
  </si>
  <si>
    <t>2020/03/03</t>
  </si>
  <si>
    <t>ケーオーデンタル株式会社 静岡中央営業所</t>
  </si>
  <si>
    <t>MWS Entry Suite(ﾈｯﾄﾜｰｸﾓﾃﾞﾙ一式)</t>
  </si>
  <si>
    <t>PALETTEESモデルネットワーク版</t>
  </si>
  <si>
    <t>リプレースなし</t>
  </si>
  <si>
    <t>リコーリース株式会社 中部支社</t>
  </si>
  <si>
    <t xml:space="preserve">1415      </t>
  </si>
  <si>
    <t>正木 泰明</t>
  </si>
  <si>
    <t>シャープファイナンス株式会社</t>
  </si>
  <si>
    <t>株式会社 有本歯科商店</t>
  </si>
  <si>
    <t>2020/02/24</t>
  </si>
  <si>
    <t>【3月納品】paletteES 1S/5Cハード一式構成</t>
  </si>
  <si>
    <t xml:space="preserve">1154      </t>
  </si>
  <si>
    <t>大石 慎一郎</t>
  </si>
  <si>
    <t>ササキ株式会社 熊本店</t>
  </si>
  <si>
    <t>【3月納品】paletteES</t>
  </si>
  <si>
    <t>2020/03/27</t>
  </si>
  <si>
    <t>【3月納品】paletteES（東町グラン歯科　分院）</t>
  </si>
  <si>
    <t>2020/03/06</t>
  </si>
  <si>
    <t>株式会社 イシハラ</t>
  </si>
  <si>
    <t>2020/03/24</t>
  </si>
  <si>
    <t>MWS paletteES 72ｹ月(1S3C)(電子ｶﾙﾃｻｰﾊﾞｰ）</t>
  </si>
  <si>
    <t>株式会社 中央歯科産業</t>
  </si>
  <si>
    <t>【paletteES】NW 一式(つり銭機含む)</t>
  </si>
  <si>
    <t>株式会社 ADI.G　富山支店</t>
  </si>
  <si>
    <t>paletteES　指導料・ハード</t>
  </si>
  <si>
    <t>2020/03/29</t>
  </si>
  <si>
    <t>株式会社マルミ歯科商店 香川営業所</t>
  </si>
  <si>
    <t>paletteES 一式</t>
  </si>
  <si>
    <t>【paletteES】ST 一式</t>
  </si>
  <si>
    <t>ササキ株式会社 一宮支店</t>
  </si>
  <si>
    <t>株式会社ＵＫデンタル 熊本店</t>
  </si>
  <si>
    <t>肥銀リース株式会社</t>
  </si>
  <si>
    <t>3月売　paletteES</t>
  </si>
  <si>
    <t>ケーオーデンタル株式会社 城南営業所</t>
  </si>
  <si>
    <t>palette ES(ｿﾌﾄのみ：同時接続5台)</t>
  </si>
  <si>
    <t>ケーオーデンタル株式会社 千葉営業所</t>
  </si>
  <si>
    <t>paletteES(NW)</t>
  </si>
  <si>
    <t xml:space="preserve">1561      </t>
  </si>
  <si>
    <t>嶋崎 優一</t>
  </si>
  <si>
    <t>MWS palette ES 2019版(ﾈｯﾄﾜｰｸﾓﾃﾞﾙ)</t>
  </si>
  <si>
    <t>2020/03/08</t>
  </si>
  <si>
    <t>palette ESﾈｯﾄﾜｰｸ版</t>
  </si>
  <si>
    <t xml:space="preserve">1116      </t>
  </si>
  <si>
    <t>園田 誠</t>
  </si>
  <si>
    <t>2020/03/09</t>
  </si>
  <si>
    <t>株式会社シラネ 刈谷支店</t>
  </si>
  <si>
    <t>【paletteES】NW ｿﾌﾄのみ</t>
  </si>
  <si>
    <t>株式会社岩瀬歯科商会 福島支店</t>
  </si>
  <si>
    <t>MWS paletteES 72ｹ月(1ｻｰﾊﾞｰ2ｸﾗｲｱﾝﾄ構成)</t>
  </si>
  <si>
    <t xml:space="preserve">1166      </t>
  </si>
  <si>
    <t>力石 悟</t>
  </si>
  <si>
    <t xml:space="preserve">1273      </t>
  </si>
  <si>
    <t>平綿 孝至</t>
  </si>
  <si>
    <t>MWS paletteES(ｽﾀﾝﾄﾞｱﾛﾝﾓﾃﾞﾙ一式)伝票１/2</t>
  </si>
  <si>
    <t>株式会社岩瀬歯科商会 上野支店</t>
  </si>
  <si>
    <t>株式会社 ADI.G　千葉支店</t>
  </si>
  <si>
    <t>2020/04/13</t>
  </si>
  <si>
    <t>株式会社ヨシダタロウ　平塚営業所</t>
  </si>
  <si>
    <t>MWS paletteES(ﾈｯﾄﾜｰｸﾓﾃﾞﾙ一式)【横浜DSキャンペーン】</t>
  </si>
  <si>
    <t>MWS paletteES(ﾈｯﾄﾜｰｸﾓﾃﾞﾙ一式)</t>
  </si>
  <si>
    <t>2020/04/03</t>
  </si>
  <si>
    <t>【paletteES+6年保】ｿﾌﾄのみ</t>
  </si>
  <si>
    <t>ウィルアンドデンターフェイス</t>
  </si>
  <si>
    <t>2020/04/10</t>
  </si>
  <si>
    <t>2020/04/29</t>
  </si>
  <si>
    <t>PALETTEESハード費用　PC3台+保険証スキャナ複合機</t>
  </si>
  <si>
    <t>株式会社滝沢歯科器械店</t>
  </si>
  <si>
    <t>paletteESﾈｯﾄﾜｰｸ版72ヶ月/６年使用権</t>
  </si>
  <si>
    <t>2020/04/08</t>
  </si>
  <si>
    <t>【paletteES】NW</t>
  </si>
  <si>
    <t>2020/04/07</t>
  </si>
  <si>
    <t>【4月】paletteES</t>
  </si>
  <si>
    <t>2020/04/24</t>
  </si>
  <si>
    <t>福岡デンタル販売株式会社</t>
  </si>
  <si>
    <t>MWS palette ES ﾈｯﾄﾜｰｸ版(1S2C)</t>
  </si>
  <si>
    <t>MWS palette ES ネットワーク</t>
  </si>
  <si>
    <t>株式会社マルミ歯科商店 岡山支店</t>
  </si>
  <si>
    <t>MWS palette ES ﾈｯﾄﾜｰｸﾓﾃﾞﾙ(1S2C)</t>
  </si>
  <si>
    <t>シャープファイナンス株式会社 広島支店</t>
  </si>
  <si>
    <t>有限会社 大河歯科材料店 明石店</t>
  </si>
  <si>
    <t>2020/04/22</t>
  </si>
  <si>
    <t>2020/04/15</t>
  </si>
  <si>
    <t>リコーリース株式会社 福岡支社</t>
  </si>
  <si>
    <t>ケーオーデンタル株式会社 宇都宮営業所</t>
  </si>
  <si>
    <t>MWS palette ES（6年ﾊﾟｯｸ）</t>
  </si>
  <si>
    <t>palette ES(ﾊｰﾄﾞ構成：同時接続4台)ｷｬﾝﾍﾟｰﾝ特別価格</t>
  </si>
  <si>
    <t>2020/04/02</t>
  </si>
  <si>
    <t>2020/05/07</t>
  </si>
  <si>
    <t>株式会社ヨシダタロウ</t>
  </si>
  <si>
    <t>2020/05/22</t>
  </si>
  <si>
    <t>PaletteES(NW)保守込み</t>
  </si>
  <si>
    <t>ササキ株式会社 池袋支店</t>
  </si>
  <si>
    <t>ササキ株式会社 本郷支店</t>
  </si>
  <si>
    <t>株式会社富士歯科産業</t>
  </si>
  <si>
    <t>2026/07</t>
  </si>
  <si>
    <t>2020/05/13</t>
  </si>
  <si>
    <t>2020/05/19</t>
  </si>
  <si>
    <t>ササキ株式会社 東京支店</t>
  </si>
  <si>
    <t>【5月】paletteES 1S/2C　ハード一式構成</t>
  </si>
  <si>
    <t>株式会社別田 大津支店</t>
  </si>
  <si>
    <t>PaletteES+アポデント+NAVIC</t>
  </si>
  <si>
    <t>ササキ株式会社 浜松支店</t>
  </si>
  <si>
    <t>ケーオーデンタル株式会社 横浜営業所</t>
  </si>
  <si>
    <t>サンシステム</t>
  </si>
  <si>
    <t>2020/04/19</t>
  </si>
  <si>
    <t>PALETTE ESﾊｰﾄﾞ無(NW)</t>
  </si>
  <si>
    <t>2020/05/10</t>
  </si>
  <si>
    <t>ササキ株式会社 東京北支店</t>
  </si>
  <si>
    <t>palette　ES</t>
  </si>
  <si>
    <t>PaletteES一式</t>
  </si>
  <si>
    <t>2020/05/14</t>
  </si>
  <si>
    <t>ササキ株式会社 堺支店</t>
  </si>
  <si>
    <t>palette ES(1S3C)ｱﾎﾟﾃﾞﾝﾄ+LINE+ﾅﾋﾞｯｸ</t>
  </si>
  <si>
    <t>2020/06/02</t>
  </si>
  <si>
    <t>インターバル株式会社</t>
  </si>
  <si>
    <t xml:space="preserve">1365      </t>
  </si>
  <si>
    <t>山元 直樹</t>
  </si>
  <si>
    <t>2020/06/14</t>
  </si>
  <si>
    <t>2020/04/21</t>
  </si>
  <si>
    <t>palette ES(ﾊｰﾄﾞ構成：電子ｶﾙﾃ仕様･同時接続2台)</t>
  </si>
  <si>
    <t>2020/06/09</t>
  </si>
  <si>
    <t>palette ES(電子カルテ構成）1S2C+アポデント×LINE</t>
  </si>
  <si>
    <t>有限会社 クニシマデンタル</t>
  </si>
  <si>
    <t>株式会社石井歯科器材</t>
  </si>
  <si>
    <t>2020/06/16</t>
  </si>
  <si>
    <t>【paletteES+6年保】NW 一式・【ﾅﾙｺｰﾑ】ApoDent</t>
  </si>
  <si>
    <t>MWS PaletteES（ﾈｯﾄﾜｰｸﾓﾃﾞﾙ１S２C）ﾉｰﾄﾊﾟｿｺﾝ３台</t>
  </si>
  <si>
    <t>2020/06/04</t>
  </si>
  <si>
    <t>2020/05/26</t>
  </si>
  <si>
    <t>株式会社岩瀬歯科商会 横浜支店</t>
  </si>
  <si>
    <t>2020/06/08</t>
  </si>
  <si>
    <t>2020/06/11</t>
  </si>
  <si>
    <t>paletteES ネットワークモデル＋保険証OCR</t>
  </si>
  <si>
    <t>システム開発</t>
  </si>
  <si>
    <t>paletteESﾈｯﾄﾜｰｸ版（2ｸﾗｲｱﾝﾄ）</t>
  </si>
  <si>
    <t>ササキ株式会社 姫路店</t>
  </si>
  <si>
    <t>有限会社 大河歯科材料店</t>
  </si>
  <si>
    <t>2026/08</t>
  </si>
  <si>
    <t>2020/06/22</t>
  </si>
  <si>
    <t>2020/07/14</t>
  </si>
  <si>
    <t>ケーオーデンタル株式会社 大田営業所</t>
  </si>
  <si>
    <t>palette ES(ﾊｰﾄﾞ構成：同時接続2台 PC･ﾌﾟﾘﾝﾀｰ一式除く)</t>
  </si>
  <si>
    <t>MWS Entry Suiteアポデント＋ＯＣＲ</t>
  </si>
  <si>
    <t>2020/06/23</t>
  </si>
  <si>
    <t>ササキ株式会社 横浜支店</t>
  </si>
  <si>
    <t>ES決算キャンペーン(SA)</t>
  </si>
  <si>
    <t>paletteES一式</t>
  </si>
  <si>
    <t>2020/06/19</t>
  </si>
  <si>
    <t>株式会社 スズキデンタル</t>
  </si>
  <si>
    <t>MWS palette Entry Suite(1S3C)※Brother</t>
  </si>
  <si>
    <t xml:space="preserve">1543      </t>
  </si>
  <si>
    <t>川原 利樹</t>
  </si>
  <si>
    <t>2020/07/08</t>
  </si>
  <si>
    <t>PALETTE　ES　PC3台+保険証スキャナ複合機</t>
  </si>
  <si>
    <t>2020/06/24</t>
  </si>
  <si>
    <t>株式会社ヨシダタロウ 日野営業所</t>
  </si>
  <si>
    <t>2026/09</t>
  </si>
  <si>
    <t>株式会社オリエンタル歯科器材</t>
  </si>
  <si>
    <t>2020/07/10</t>
  </si>
  <si>
    <t>2020/07/06</t>
  </si>
  <si>
    <t>MWS Entry Suite(ﾈｯﾄﾜｰｸﾓﾃﾞﾙ)</t>
  </si>
  <si>
    <t>ﾊﾟｯｹｰｼﾞｿﾌﾄ「palette ES」+電子ｶﾙﾃ用ﾊｰﾄﾞ機器</t>
  </si>
  <si>
    <t>2020/07/20</t>
  </si>
  <si>
    <t>株式会社 アスカデンタルサプライ</t>
  </si>
  <si>
    <t xml:space="preserve">1389      </t>
  </si>
  <si>
    <t>巽 大樹</t>
  </si>
  <si>
    <t>MWS paletteES 72ｹ月(1S2C)標準構成</t>
  </si>
  <si>
    <t>2020/07/27</t>
  </si>
  <si>
    <t>2020/07/21</t>
  </si>
  <si>
    <t>有限会社 アインス</t>
  </si>
  <si>
    <t>MWS palette ES ﾈｯﾄﾜｰｸﾓﾃﾞﾙ</t>
  </si>
  <si>
    <t>株式会社別田　福知山営業所</t>
  </si>
  <si>
    <t>パッケージソフト「paletteES」</t>
  </si>
  <si>
    <t>2020/08/19</t>
  </si>
  <si>
    <t>PaletteES一式+ﾅﾋﾞｯｸ</t>
  </si>
  <si>
    <t>2020/08/17</t>
  </si>
  <si>
    <t>株式会社バイタル</t>
  </si>
  <si>
    <t>導入初期費用(NW) サーバー及び付属品</t>
  </si>
  <si>
    <t>ケーオーデンタル株式会社 柏営業所</t>
  </si>
  <si>
    <t>PALETTE ESソフトのみ</t>
  </si>
  <si>
    <t>2020/08/25</t>
  </si>
  <si>
    <t>paletteES ﾈｯﾄﾜｰｸﾓﾃﾞﾙ</t>
  </si>
  <si>
    <t>paletteES ネットワーク</t>
  </si>
  <si>
    <t>2020/07/17</t>
  </si>
  <si>
    <t>MWS palette ES 1S/3C</t>
  </si>
  <si>
    <t>2020/08/26</t>
  </si>
  <si>
    <t>MWS PaletteES（1台ﾀｲﾌﾟ）</t>
  </si>
  <si>
    <t>2020/08/27</t>
  </si>
  <si>
    <t>2020/08/28</t>
  </si>
  <si>
    <t>2026/10</t>
  </si>
  <si>
    <t>palette ES 1S2C</t>
  </si>
  <si>
    <t>ササキ</t>
  </si>
  <si>
    <t>ササキ株式会社 神戸支店</t>
  </si>
  <si>
    <t>株式会社マルミ歯科商店 大阪支店</t>
  </si>
  <si>
    <t>palette ES(1S3C)</t>
  </si>
  <si>
    <t>MWS paletteES (1S2C)</t>
  </si>
  <si>
    <t>MIC WEB SERVICE palette ES</t>
  </si>
  <si>
    <t>MWS Entry Suite(ﾈｯﾄﾜｰｸﾓﾃﾞﾙ一式)プリンタ＋ＯＣＲ　6年保守込み</t>
  </si>
  <si>
    <t>palette ES(1S4C)</t>
  </si>
  <si>
    <t>MWS paletteES 72ｹ月(1S4C)標準構成</t>
  </si>
  <si>
    <t>リコーリース株式会社</t>
  </si>
  <si>
    <t>ｺﾛﾅ0ｷｬﾝﾍﾟｰﾝMWS paletteES (1S2C)電子ｶﾙﾃ+保険証ｽｷｬﾅｰ</t>
  </si>
  <si>
    <t>MWS paletteES(単体版)電子ｶﾙﾃ</t>
  </si>
  <si>
    <t>MWS Entry Suite(ﾈｯﾄﾜｰｸﾓﾃﾞﾙ一式)プリンタ＋ＯＣＲ【横浜キャンペーン】</t>
  </si>
  <si>
    <t>2020/09/02</t>
  </si>
  <si>
    <t>2020/09/08</t>
  </si>
  <si>
    <t>2020/09/16</t>
  </si>
  <si>
    <t>ササキ株式会社 沼津支店</t>
  </si>
  <si>
    <t>paletteES 開業安心パック</t>
  </si>
  <si>
    <t>2020/09/03</t>
  </si>
  <si>
    <t>【ＥＳ】paletteES 1S5C</t>
  </si>
  <si>
    <t>【ＥＳ】MWSパッケージソフト「palette ES」</t>
  </si>
  <si>
    <t>MWS palette Entry Suite(1S2C)</t>
  </si>
  <si>
    <t>2020/09/11</t>
  </si>
  <si>
    <t>2020/09/09</t>
  </si>
  <si>
    <t>株式会社ＵＫデンタル 福岡店</t>
  </si>
  <si>
    <t>2020/09/23</t>
  </si>
  <si>
    <t>受注No.595314の黒伝票　paletteES　SA</t>
  </si>
  <si>
    <t>株式会社 ヨシオカ</t>
  </si>
  <si>
    <t>【ES】PaletteES一式</t>
  </si>
  <si>
    <t>2020/10/23</t>
  </si>
  <si>
    <t>株式会社岩瀬歯科商会 古河支店</t>
  </si>
  <si>
    <t>MWS Entry Suite</t>
  </si>
  <si>
    <t>2020/10/05</t>
  </si>
  <si>
    <t>2020/10/20</t>
  </si>
  <si>
    <t>MWS Entry Suite(ﾈｯﾄﾜｰｸﾓﾃﾞﾙ一式)【ノート2台】</t>
  </si>
  <si>
    <t>2020/10/15</t>
  </si>
  <si>
    <t>2020/10/16</t>
  </si>
  <si>
    <t>2026/11</t>
  </si>
  <si>
    <t>株式会社 コサカ</t>
  </si>
  <si>
    <t>ES(SA) 　決算ｷｬﾝﾍﾟｰﾝ</t>
  </si>
  <si>
    <t>2020/09/18</t>
  </si>
  <si>
    <t>株式会社 オールデンタルマート</t>
  </si>
  <si>
    <t>2020/10/06</t>
  </si>
  <si>
    <t>2020/10/12</t>
  </si>
  <si>
    <t>MWS paletteES 72ｹ月(1S5C)</t>
  </si>
  <si>
    <t>ササキ株式会社 山形営業所</t>
  </si>
  <si>
    <t>2026/12</t>
  </si>
  <si>
    <t>2020/10/28</t>
  </si>
  <si>
    <t>2020/10/14</t>
  </si>
  <si>
    <t>【paletteES】NW 一式(1S2C)</t>
  </si>
  <si>
    <t>2020/09/28</t>
  </si>
  <si>
    <t>ケーオーデンタル株式会社 水戸営業所</t>
  </si>
  <si>
    <t>【助成金申請分】palette ES(ﾊｰﾄﾞ構成：ｿﾌﾄのみ)</t>
  </si>
  <si>
    <t xml:space="preserve">1298      </t>
  </si>
  <si>
    <t>阿部 稔</t>
  </si>
  <si>
    <t>2020/10/13</t>
  </si>
  <si>
    <t>palette ESﾈｯﾄﾜｰｸ版72ヶ月/６年使用権</t>
  </si>
  <si>
    <t>2020/11/05</t>
  </si>
  <si>
    <t>【ES】paletteES</t>
  </si>
  <si>
    <t>株式会社 宇高歯科商店</t>
  </si>
  <si>
    <t>MIC WEB SERVICE palette ESﾈｯﾄﾜｰｸﾓﾃﾞﾙ</t>
  </si>
  <si>
    <t>2020/11/12</t>
  </si>
  <si>
    <t>paletteES ネットワーク（ハードセット）</t>
  </si>
  <si>
    <t>2020/11/20</t>
  </si>
  <si>
    <t>ケーオーデンタル株式会社神奈川中央営業所</t>
  </si>
  <si>
    <t>医療法人社団ALBA様　登戸分院　システム販売分</t>
  </si>
  <si>
    <t>2020/11/06</t>
  </si>
  <si>
    <t>2020/11/13</t>
  </si>
  <si>
    <t>2020/11/25</t>
  </si>
  <si>
    <t>2020/11/09</t>
  </si>
  <si>
    <t>Paette EntrySuiteﾈｯﾄﾜｰｸ版</t>
  </si>
  <si>
    <t>2020/11/17</t>
  </si>
  <si>
    <t>【ＥＳ】paletteES</t>
  </si>
  <si>
    <t>2020/11/19</t>
  </si>
  <si>
    <t>MWS paletteES 72ｹ月(単体) 特別価格</t>
  </si>
  <si>
    <t>ササキ株式会社 盛岡支店</t>
  </si>
  <si>
    <t>MWS palette ES (ソフト＋人件費)</t>
  </si>
  <si>
    <t>有限会社 ミヤワキ</t>
  </si>
  <si>
    <t>paletteESﾈｯﾄﾜｰｸ版（ｿﾌﾄのみ）</t>
  </si>
  <si>
    <t>2027/01</t>
  </si>
  <si>
    <t>※PaletteES単体モデル</t>
  </si>
  <si>
    <t>ケーオーデンタル株式会社 城東営業所</t>
  </si>
  <si>
    <t>2020/12/14</t>
  </si>
  <si>
    <t>株式会社岩瀬歯科商会 松戸支店</t>
  </si>
  <si>
    <t>【ES】(NW)GoToMIC</t>
  </si>
  <si>
    <t>2020/12/07</t>
  </si>
  <si>
    <t>2020/12/15</t>
  </si>
  <si>
    <t>2020/11/18</t>
  </si>
  <si>
    <t>MWS paletteES 72ｹ月(ｿﾌﾄのみ)</t>
  </si>
  <si>
    <t>【卸】MWS palette Entry Suite(1S2C)</t>
  </si>
  <si>
    <t>2020/12/03</t>
  </si>
  <si>
    <t>ササキ株式会社 高崎営業所</t>
  </si>
  <si>
    <t>【ＥＳ】1S7C　ｿﾌﾄｳｪｱ+ｱﾎﾟﾃﾞﾝﾄ</t>
  </si>
  <si>
    <t>2020/12/11</t>
  </si>
  <si>
    <t>【ES】MWSパッケージソフト「palette ES」</t>
  </si>
  <si>
    <t>【ES】ﾊﾟｯｹｰｼﾞｿﾌﾄ「paletteES」</t>
  </si>
  <si>
    <t>2027/02</t>
  </si>
  <si>
    <t>2020/12/16</t>
  </si>
  <si>
    <t>株式会社岩瀬歯科商会 千葉支店</t>
  </si>
  <si>
    <t>MWS paletteES (1S2C)+保険証ｽｷｬﾅｰ</t>
  </si>
  <si>
    <t>デンタルシステムズ</t>
  </si>
  <si>
    <t>2020/12/18</t>
  </si>
  <si>
    <t>ｐａｌｅｔｔｅＥＳ(ﾈｯﾄﾜｰｸﾓﾃﾞﾙ)一式</t>
  </si>
  <si>
    <t>2021/01/18</t>
  </si>
  <si>
    <t>株式会社別田 京都支店</t>
  </si>
  <si>
    <t>2020/10/31</t>
  </si>
  <si>
    <t>ＭＷＳpaletteES ネットワーク版</t>
  </si>
  <si>
    <t>2021/01/13</t>
  </si>
  <si>
    <t>2027/03</t>
  </si>
  <si>
    <t>MWS palette ES ｽﾀﾝﾄﾞｱﾛ-ﾝﾓﾃﾞﾙ + 保守6年</t>
  </si>
  <si>
    <t>2021/01/12</t>
  </si>
  <si>
    <t>2020/12/19</t>
  </si>
  <si>
    <t>【ES】palette ES</t>
  </si>
  <si>
    <t>有限会社 マルヤマ歯科商店</t>
  </si>
  <si>
    <t>MWS paletteES 72ｹ月(単体版)標準構成</t>
  </si>
  <si>
    <t>MWS palette ES（1S2C）</t>
  </si>
  <si>
    <t>2021/01/06</t>
  </si>
  <si>
    <t>2021/01/05</t>
  </si>
  <si>
    <t>MWS paletteES(ﾈｯﾄﾜｰｸﾓﾃﾞﾙ一式)プリンタ＋保険証ＯＣＲ</t>
  </si>
  <si>
    <t xml:space="preserve">1220      </t>
  </si>
  <si>
    <t>尾形 直哉</t>
  </si>
  <si>
    <t>ササキ株式会社 甲府支店</t>
  </si>
  <si>
    <t>株式会社マルミ歯科商店 徳島支店</t>
  </si>
  <si>
    <t>【ＥＳ】PletteES(1S3C)</t>
  </si>
  <si>
    <t>【ES】(STD)GoToMIC</t>
  </si>
  <si>
    <t>2021/01/21</t>
  </si>
  <si>
    <t>2021/01/20</t>
  </si>
  <si>
    <t>【Go To MICｷｬﾝﾍﾟｰﾝ】palette ES (1S2C)</t>
  </si>
  <si>
    <t xml:space="preserve">1610      </t>
  </si>
  <si>
    <t>堀井 優</t>
  </si>
  <si>
    <t>2021/02/15</t>
  </si>
  <si>
    <t>株式会社 八甕 本社</t>
  </si>
  <si>
    <t>2021/01/08</t>
  </si>
  <si>
    <t>2021/02/04</t>
  </si>
  <si>
    <t>ササキ株式会社 四日市店</t>
  </si>
  <si>
    <t>2021/01/16</t>
  </si>
  <si>
    <t>paletteES ネットワーク（ソフト＋ハード一式）</t>
  </si>
  <si>
    <t>株式会社ヤマギシ</t>
  </si>
  <si>
    <t>2021/02/09</t>
  </si>
  <si>
    <t>2021/02/20</t>
  </si>
  <si>
    <t>2021/02/18</t>
  </si>
  <si>
    <t>2021/01/26</t>
  </si>
  <si>
    <t>株式会社マルミ歯科商店大阪南営業所</t>
  </si>
  <si>
    <t>【ES】【その他】paletteESﾈｯﾄﾜｰｸ</t>
  </si>
  <si>
    <t>palette ES(ﾊｰﾄﾞ構成：電子ｶﾙﾃ仕様･同時接続3台)</t>
  </si>
  <si>
    <t>palette ES(ｿﾌﾄのみ：同時接続3台)</t>
  </si>
  <si>
    <t>【ＥＳ】２クライアント（ハード医院購入）</t>
  </si>
  <si>
    <t>【ＥＳ】1S1C（診療室機はRFのCLにpaletteｲﾝｽﾄｰﾙする構成）</t>
  </si>
  <si>
    <t>2021/02/03</t>
  </si>
  <si>
    <t>2027/04</t>
  </si>
  <si>
    <t>2021/02/02</t>
  </si>
  <si>
    <t>MWS Entry Suite+プリンタ</t>
  </si>
  <si>
    <t>2021/02/16</t>
  </si>
  <si>
    <t>尾崎歯材株式会社　神戸営業所</t>
  </si>
  <si>
    <t>paletteeES(6年ﾊﾟｯｹｰｼﾞｿﾌﾄ)</t>
  </si>
  <si>
    <t>MWS paletteES</t>
  </si>
  <si>
    <t>2021/02/14</t>
  </si>
  <si>
    <t>MWS Palette ES(ﾈｯﾄﾜｰｸﾓﾃﾞﾙ)ｻｰﾊﾞｰPC1台、受付1台、診療室1台</t>
  </si>
  <si>
    <t>2021/03/05</t>
  </si>
  <si>
    <t>MWS paletteES (1S8C)+保険証OCR</t>
  </si>
  <si>
    <t>リード</t>
  </si>
  <si>
    <t>【Go To MICｷｬﾝﾍﾟｰﾝ】palette ES (1S2C)ｿﾌﾄのみ</t>
  </si>
  <si>
    <t>2021/03/03</t>
  </si>
  <si>
    <t>2021/03/24</t>
  </si>
  <si>
    <t>MWS Palette ES(ﾈｯﾄﾜｰｸﾓﾃﾞﾙ)及びグローリー自動釣銭機</t>
  </si>
  <si>
    <t>MWS palette ES（1S3C）</t>
  </si>
  <si>
    <t>ケーオーデンタル株式会社 さいたま営業所</t>
  </si>
  <si>
    <t>2021/03/25</t>
  </si>
  <si>
    <t>【ES】paletteeES(6年ﾊﾟｯｹｰｼﾞｿﾌﾄ)</t>
  </si>
  <si>
    <t>株式会社岩瀬歯科商会 つくば営業所</t>
  </si>
  <si>
    <t>【ES】paletteESﾈｯﾄﾜｰｸ</t>
  </si>
  <si>
    <t>【ES】paletteES(6年ﾊﾟｯｹｰｼﾞｿﾌﾄ)</t>
  </si>
  <si>
    <t>2021/03/23</t>
  </si>
  <si>
    <t>【ＥＳ】【ES保守6年】ハード医院購入</t>
  </si>
  <si>
    <t>【paletteES】NW本体無</t>
  </si>
  <si>
    <t>日立キャピタルNBL株式会社 福岡支店</t>
  </si>
  <si>
    <t>2027/05</t>
  </si>
  <si>
    <t>2021/03/11</t>
  </si>
  <si>
    <t>MWS paletteES 72ｹ月(1S3C)標準構成</t>
  </si>
  <si>
    <t>ササキ株式会社 八戸店</t>
  </si>
  <si>
    <t>株式会社佐波 金沢本店</t>
  </si>
  <si>
    <t>paletteES（ネットワーク1S5C）ナルコーム　達人</t>
  </si>
  <si>
    <t>【ES】</t>
  </si>
  <si>
    <t>【Go To MICｷｬﾝﾍﾟｰﾝ】palette ES ｽﾀﾝﾄﾞｱﾛﾝ</t>
  </si>
  <si>
    <t>2021/03/13</t>
  </si>
  <si>
    <t>2021/03/18</t>
  </si>
  <si>
    <t>株式会社オリエンタル歯科器材　鹿児島支店</t>
  </si>
  <si>
    <t>2020/10/27</t>
  </si>
  <si>
    <t>paletteES 初期導入費用御見積書(同時接続2台)</t>
  </si>
  <si>
    <t xml:space="preserve">1613      </t>
  </si>
  <si>
    <t>清水 悠里</t>
  </si>
  <si>
    <t>2021/04/13</t>
  </si>
  <si>
    <t>2021/02/12</t>
  </si>
  <si>
    <t>幕張ベイパーク歯科・矯正歯科</t>
  </si>
  <si>
    <t>Palette ES(NW1S6C)</t>
  </si>
  <si>
    <t>【paletteES+6年保】NW 一式</t>
  </si>
  <si>
    <t>ササキ株式会社 名古屋支店</t>
  </si>
  <si>
    <t>【ES】【ES保守6年】palette 入力機2台</t>
  </si>
  <si>
    <t>2021/04/21</t>
  </si>
  <si>
    <t>【ES】【ナルコーム】paletteES+達人ﾌﾟﾗｽ+ﾀｯﾁ</t>
  </si>
  <si>
    <t>ササキ株式会社 柏営業所</t>
  </si>
  <si>
    <t>【ES】【ES保守6年】paletteESﾈｯﾄﾜｰｸ</t>
  </si>
  <si>
    <t>2021/03/21</t>
  </si>
  <si>
    <t>【ＥＳ】1S2C+ﾌﾟﾘﾝﾀ</t>
  </si>
  <si>
    <t>2021/05/10</t>
  </si>
  <si>
    <t>株式会社ラパンブラン</t>
  </si>
  <si>
    <t>palette ES (1S2C)</t>
  </si>
  <si>
    <t>Palette ES(NW1S2C)</t>
  </si>
  <si>
    <t>2021/05/17</t>
  </si>
  <si>
    <t>2027/06</t>
  </si>
  <si>
    <t>ヘンリーシャインジャパンイースト株式会社</t>
  </si>
  <si>
    <t>palette ES(ﾊｰﾄﾞ構成：電子ｶﾙﾃ仕様･入力用PC１台)</t>
  </si>
  <si>
    <t>2021/05/12</t>
  </si>
  <si>
    <t>ササキ株式会社 川崎支店</t>
  </si>
  <si>
    <t>2021/04/14</t>
  </si>
  <si>
    <t>2021/04/15</t>
  </si>
  <si>
    <t>（作成中）【ＥＳ】palette ES</t>
  </si>
  <si>
    <t>2021/04/19</t>
  </si>
  <si>
    <t>株式会社クロノス</t>
  </si>
  <si>
    <t>（作成中）【ES】palette ES</t>
  </si>
  <si>
    <t>MWS Palette ESﾈｯﾄﾜｰｸﾓﾃﾞﾙ</t>
  </si>
  <si>
    <t>2021/05/19</t>
  </si>
  <si>
    <t>2027/07</t>
  </si>
  <si>
    <t>2021/05/08</t>
  </si>
  <si>
    <t>シャープファイナンス株式会社 関越支店</t>
  </si>
  <si>
    <t>ササキ株式会社 津支店</t>
  </si>
  <si>
    <t>【ＥＳ】ソフトのみ</t>
  </si>
  <si>
    <t>2021/05/18</t>
  </si>
  <si>
    <t>MWS palette ES (STD) GoToMICキャンペーン（ノート仕様）</t>
  </si>
  <si>
    <t>2021/05/14</t>
  </si>
  <si>
    <t>2021/04/20</t>
  </si>
  <si>
    <t>MWS Entry Suite(ﾈｯﾄﾜｰｸﾓﾃﾞﾙ一式)【料率・入金額確認】</t>
  </si>
  <si>
    <t>シャープファイナンス株式会社 九州統括</t>
  </si>
  <si>
    <t>有限会社　益村歯科商店</t>
  </si>
  <si>
    <t>2021/04/28</t>
  </si>
  <si>
    <t>【作成中】MWS palette ES 1S/3C+保険証OCR+Option</t>
  </si>
  <si>
    <t>【作成中】MWS palette ES 1S/7C+Option</t>
  </si>
  <si>
    <t>2027/08</t>
  </si>
  <si>
    <t>担当者コード</t>
  </si>
  <si>
    <t>担当者</t>
  </si>
  <si>
    <t>商品コード</t>
  </si>
  <si>
    <t>数量</t>
  </si>
  <si>
    <t>課金開始日</t>
  </si>
  <si>
    <t>課金終了日</t>
  </si>
  <si>
    <t>2018/10</t>
  </si>
  <si>
    <t>安井歯科医院</t>
  </si>
  <si>
    <t>2018/12</t>
  </si>
  <si>
    <t>2018/11</t>
  </si>
  <si>
    <t>大田 正人</t>
  </si>
  <si>
    <t>土屋歯科医院</t>
  </si>
  <si>
    <t>森高歯科医院</t>
  </si>
  <si>
    <t>旗井はやせ歯科</t>
  </si>
  <si>
    <t>2019/01</t>
  </si>
  <si>
    <t>柳井歯科医院</t>
  </si>
  <si>
    <t>医）ライオン会 ライオンデンタル</t>
  </si>
  <si>
    <t>藤森歯科クリニック</t>
  </si>
  <si>
    <t>2019/02</t>
  </si>
  <si>
    <t>片瀬山歯科医院</t>
  </si>
  <si>
    <t>医療法人友愛会 友愛記念病院</t>
  </si>
  <si>
    <t>こいぬま歯科</t>
  </si>
  <si>
    <t>二階堂じゅんここども歯科</t>
  </si>
  <si>
    <t>医療法人社団ライオン会 ライオン</t>
  </si>
  <si>
    <t>佐々木歯科医院</t>
  </si>
  <si>
    <t>山崎歯科</t>
  </si>
  <si>
    <t>2019/03</t>
  </si>
  <si>
    <t>原田歯科医院</t>
  </si>
  <si>
    <t>永沢 晶子</t>
  </si>
  <si>
    <t>渋谷歯科矯正歯科医院</t>
  </si>
  <si>
    <t>たむら歯科</t>
  </si>
  <si>
    <t>浜崎歯科医院</t>
  </si>
  <si>
    <t>わかば歯科クリニック</t>
  </si>
  <si>
    <t>ヤマガタデンタルオフィス</t>
  </si>
  <si>
    <t>西堀歯科医院</t>
  </si>
  <si>
    <t>たしろデンタルクリニック</t>
  </si>
  <si>
    <t>すずき歯科口腔外科クリニック</t>
  </si>
  <si>
    <t>ふくち歯科医院</t>
  </si>
  <si>
    <t>八千代台歯科医院</t>
  </si>
  <si>
    <t>黒川 未央</t>
  </si>
  <si>
    <t>伊藤歯科医院</t>
  </si>
  <si>
    <t>よこた歯科医院</t>
  </si>
  <si>
    <t>安蘇谷歯科</t>
  </si>
  <si>
    <t>坂田歯科医院</t>
  </si>
  <si>
    <t>医療法人稲生会　生涯医療</t>
  </si>
  <si>
    <t>新琴似ファミリー歯科</t>
  </si>
  <si>
    <t>工藤歯科医院</t>
  </si>
  <si>
    <t>山﨑歯科クリニック</t>
  </si>
  <si>
    <t>ふくい歯科</t>
  </si>
  <si>
    <t>亀ケ崎歯科医院</t>
  </si>
  <si>
    <t>板垣 容子</t>
  </si>
  <si>
    <t>コスモ歯科クリニック城西</t>
  </si>
  <si>
    <t>石川歯科クリニック</t>
  </si>
  <si>
    <t>おかもと歯科</t>
  </si>
  <si>
    <t>弁天町歯科医院</t>
  </si>
  <si>
    <t>針谷歯科医院</t>
  </si>
  <si>
    <t>いけだ歯科</t>
  </si>
  <si>
    <t>ひろせ歯科クリニック</t>
  </si>
  <si>
    <t>医療法人 久和会 鶴見歯科医院</t>
  </si>
  <si>
    <t>今永歯科医院</t>
  </si>
  <si>
    <t>医療法人社団 尾高歯科医院</t>
  </si>
  <si>
    <t>医療法人社団南風会 榊原歯科医院</t>
  </si>
  <si>
    <t>2019/04</t>
  </si>
  <si>
    <t>内田デンタルオフィス</t>
  </si>
  <si>
    <t>間仁田歯科医院 前橋オフィス</t>
  </si>
  <si>
    <t>須田歯科医院</t>
  </si>
  <si>
    <t>山本歯科医院</t>
  </si>
  <si>
    <t>東神奈川歯科クリニック</t>
  </si>
  <si>
    <t>根田歯科医院</t>
  </si>
  <si>
    <t>エンゼル歯科</t>
  </si>
  <si>
    <t>ケイタデンタルクリニック</t>
  </si>
  <si>
    <t>藤本歯科クリニック</t>
  </si>
  <si>
    <t>トモエ歯科</t>
  </si>
  <si>
    <t>江口歯科クリニック</t>
  </si>
  <si>
    <t>医療法人羽山会 羽地歯科口腔外科医院</t>
  </si>
  <si>
    <t>森本歯科</t>
  </si>
  <si>
    <t>さおとめ歯科医院</t>
  </si>
  <si>
    <t>きくち歯科</t>
  </si>
  <si>
    <t>熊沢歯科医院</t>
  </si>
  <si>
    <t>伊波歯科医院</t>
  </si>
  <si>
    <t>西町歯科</t>
  </si>
  <si>
    <t>谷口歯科クリニック</t>
  </si>
  <si>
    <t>佐藤歯科医院</t>
  </si>
  <si>
    <t>鶴見あおば歯科</t>
  </si>
  <si>
    <t>西本歯科医院</t>
  </si>
  <si>
    <t>さんま歯科矯正歯科</t>
  </si>
  <si>
    <t>サン歯科医院</t>
  </si>
  <si>
    <t>2019/06</t>
  </si>
  <si>
    <t>関歯科医院</t>
  </si>
  <si>
    <t>きずな歯科</t>
  </si>
  <si>
    <t>歯科松瀬医院</t>
  </si>
  <si>
    <t>染谷歯科医院</t>
  </si>
  <si>
    <t>みつる歯科クリニック</t>
  </si>
  <si>
    <t>医療法人社団健歯会石井歯科医院</t>
  </si>
  <si>
    <t>吉野歯科医院</t>
  </si>
  <si>
    <t>マキシ歯科医院</t>
  </si>
  <si>
    <t>野波歯科診療所</t>
  </si>
  <si>
    <t>篠原歯科医院</t>
  </si>
  <si>
    <t>医療法人社団 オリエント後藤歯科医院</t>
  </si>
  <si>
    <t>松田 育浩</t>
  </si>
  <si>
    <t>あおい歯科</t>
  </si>
  <si>
    <t>たきろ歯科医院</t>
  </si>
  <si>
    <t>くぼた歯科医院</t>
  </si>
  <si>
    <t>梶口歯科</t>
  </si>
  <si>
    <t>亀田歯科医院</t>
  </si>
  <si>
    <t>久和歯科医院</t>
  </si>
  <si>
    <t>山田歯科クリニック</t>
  </si>
  <si>
    <t>小児しながわ歯科</t>
  </si>
  <si>
    <t>茂木信道歯科医院</t>
  </si>
  <si>
    <t>こはる矯正歯科</t>
  </si>
  <si>
    <t>ささき歯科クリニック</t>
  </si>
  <si>
    <t>栗原歯科医院</t>
  </si>
  <si>
    <t>平デンタルオフィス</t>
  </si>
  <si>
    <t>サンハイツ歯科</t>
  </si>
  <si>
    <t>ともに歯科</t>
  </si>
  <si>
    <t>青梅駅前歯科</t>
  </si>
  <si>
    <t>歯科さくらクリニック</t>
  </si>
  <si>
    <t>らいおん歯科</t>
  </si>
  <si>
    <t>山寺歯科医院</t>
  </si>
  <si>
    <t>相馬歯科医院</t>
  </si>
  <si>
    <t>外山 史彦</t>
  </si>
  <si>
    <t>佐藤歯科診療所</t>
  </si>
  <si>
    <t>医療法人社団星陵会 草加歯科 ・矯正歯科クリニック</t>
  </si>
  <si>
    <t>村立上小阿仁国保診療所歯科</t>
  </si>
  <si>
    <t>医療法人社団健仁会　伊澤歯科医院</t>
  </si>
  <si>
    <t>2019/07</t>
  </si>
  <si>
    <t>2019/05</t>
  </si>
  <si>
    <t>第二兒玉歯科医院</t>
  </si>
  <si>
    <t>2019/08</t>
  </si>
  <si>
    <t>吉村歯科</t>
  </si>
  <si>
    <t>恵比寿歯科診療所</t>
  </si>
  <si>
    <t>ウケデンタルオフィス表参道</t>
  </si>
  <si>
    <t>かずき歯科医院</t>
  </si>
  <si>
    <t>2019/09</t>
  </si>
  <si>
    <t>さくらデンタルクリニック</t>
  </si>
  <si>
    <t>2019/10</t>
  </si>
  <si>
    <t>おさて歯科医院</t>
  </si>
  <si>
    <t>おなか歯科</t>
  </si>
  <si>
    <t>いざき歯科医院</t>
  </si>
  <si>
    <t>おおつる歯科・矯正歯科</t>
  </si>
  <si>
    <t>船田歯科医院</t>
  </si>
  <si>
    <t>泉福歯科医院</t>
  </si>
  <si>
    <t>MK歯科　春日部医院</t>
  </si>
  <si>
    <t>大名さとう歯科医院</t>
  </si>
  <si>
    <t>尾山台駅前歯医者</t>
  </si>
  <si>
    <t>下北沢駅前歯科クリニック</t>
  </si>
  <si>
    <t>高橋歯科医院</t>
  </si>
  <si>
    <t>またの歯科口腔外科クリニック</t>
  </si>
  <si>
    <t>医療法人社団育芯会ＢＩＮＯ 御徒町歯科クリニック</t>
  </si>
  <si>
    <t>鈴木歯科</t>
  </si>
  <si>
    <t>武蔵小杉まつ歯科クリニック</t>
  </si>
  <si>
    <t>八戸市休日歯科診療所</t>
  </si>
  <si>
    <t>こもれび歯科医院</t>
  </si>
  <si>
    <t>阿部晴彦歯科診療所</t>
  </si>
  <si>
    <t>医療法人社団健友会平岡公園</t>
  </si>
  <si>
    <t>グリーンハイツ歯科</t>
  </si>
  <si>
    <t>ふくしま歯科医院</t>
  </si>
  <si>
    <t>アート歯科</t>
  </si>
  <si>
    <t>医療法人社団愛歯会 愛恵歯科医院</t>
  </si>
  <si>
    <t>あいだ歯科医院</t>
  </si>
  <si>
    <t>青木歯科</t>
  </si>
  <si>
    <t>青木歯科医院</t>
  </si>
  <si>
    <t>中條歯科クリニック</t>
  </si>
  <si>
    <t>高松歯科医院</t>
  </si>
  <si>
    <t>あおば歯科医院</t>
  </si>
  <si>
    <t>渡沼歯科医院</t>
  </si>
  <si>
    <t>中部歯科医院</t>
  </si>
  <si>
    <t>秋本スマイル歯科</t>
  </si>
  <si>
    <t>医療法人 みきのがはら歯科医院</t>
  </si>
  <si>
    <t>中冨歯科医院</t>
  </si>
  <si>
    <t>医療法人たつみ会　どい歯科クリニック</t>
  </si>
  <si>
    <t>まるおか歯科クリニック</t>
  </si>
  <si>
    <t>渡辺歯科医院</t>
  </si>
  <si>
    <t>医療法人社団彩正会 わたなべ歯科医院</t>
  </si>
  <si>
    <t>とびた歯科・口腔外科クリニック</t>
  </si>
  <si>
    <t>医療法人はぴねす　はぴねす歯科石橋駅前クリニック</t>
  </si>
  <si>
    <t>長岡歯科クリニック</t>
  </si>
  <si>
    <t>医療法人社団紫雲会 さくらみね歯科医院</t>
  </si>
  <si>
    <t>医療法人社団ever丸の内帝劇ﾃﾞﾝﾀﾙｸﾘﾆｯｸ</t>
  </si>
  <si>
    <t>ふくろう歯科クリニック</t>
  </si>
  <si>
    <t>えんりん歯科クリニック</t>
  </si>
  <si>
    <t>有田歯科医院</t>
  </si>
  <si>
    <t>アリーナ歯科クリニック</t>
  </si>
  <si>
    <t>医療法人社団MMC高座渋谷歯科ｸﾘﾆｯｸ</t>
  </si>
  <si>
    <t>谷川デンタルクリニック</t>
  </si>
  <si>
    <t>みどりおか歯科クリニック</t>
  </si>
  <si>
    <t>かました歯科</t>
  </si>
  <si>
    <t>秋月デンタルオフィス</t>
  </si>
  <si>
    <t>赤垣歯科クリニック</t>
  </si>
  <si>
    <t>WelcomeDentalClinic</t>
  </si>
  <si>
    <t>とりがおか歯科</t>
  </si>
  <si>
    <t>千葉県立保健医療大学歯科診療室</t>
  </si>
  <si>
    <t>おざわ歯科</t>
  </si>
  <si>
    <t>くろいわ歯科医院</t>
  </si>
  <si>
    <t>ふくしまデンタルクリニック</t>
  </si>
  <si>
    <t>河内歯科クリニック</t>
  </si>
  <si>
    <t>医療法人社団きょうどうきょうどう歯科船橋</t>
  </si>
  <si>
    <t>みどりフレンド歯科</t>
  </si>
  <si>
    <t>手塚 友輝</t>
  </si>
  <si>
    <t>トリス矯正デンタルクリニック</t>
  </si>
  <si>
    <t>医療法人藤朋会ホワイト歯科医院</t>
  </si>
  <si>
    <t>大谷歯科医院</t>
  </si>
  <si>
    <t>立本歯科医院</t>
  </si>
  <si>
    <t>野田歯科医院</t>
  </si>
  <si>
    <t>医療法人社団ITS品川ｼｰｽﾞﾝﾃﾗｽ歯科</t>
  </si>
  <si>
    <t>久保田歯科医院</t>
  </si>
  <si>
    <t>服部歯科医院</t>
  </si>
  <si>
    <t>中央歯科</t>
  </si>
  <si>
    <t>医療法人社団孝正会　赤羽デンタルオフィス</t>
  </si>
  <si>
    <t>医療法人嵩志会　籠原CoCo歯科医院</t>
  </si>
  <si>
    <t>心斎橋デンタルクリニック</t>
  </si>
  <si>
    <t>岩砂歯科クリニック</t>
  </si>
  <si>
    <t>医療法人社団翼友会　羽田エイル歯科・矯正歯科</t>
  </si>
  <si>
    <t>ひさえだ歯科</t>
  </si>
  <si>
    <t>ひがしの歯科医院</t>
  </si>
  <si>
    <t>髙柳歯科医院</t>
  </si>
  <si>
    <t>内田歯科医院</t>
  </si>
  <si>
    <t>渡辺歯科</t>
  </si>
  <si>
    <t>たばた歯科医院</t>
  </si>
  <si>
    <t>鈴晃歯科医院</t>
  </si>
  <si>
    <t>平澤歯科医院</t>
  </si>
  <si>
    <t>グランツ歯科室</t>
  </si>
  <si>
    <t>医療法人社団　よしの歯科クリニック</t>
  </si>
  <si>
    <t>小池歯科医院</t>
  </si>
  <si>
    <t>医療法人心和会 和み歯科</t>
  </si>
  <si>
    <t>いまむら歯科クリニック</t>
  </si>
  <si>
    <t>ちからまち歯科クリニック</t>
  </si>
  <si>
    <t>医療法人 でい歯科医院</t>
  </si>
  <si>
    <t>大和駅前歯科</t>
  </si>
  <si>
    <t>医療法人社団幸歯会ライラック歯科医院</t>
  </si>
  <si>
    <t>医）幸歯会 ライラック歯科澄川医院</t>
  </si>
  <si>
    <t>吉見歯科医院</t>
  </si>
  <si>
    <t>六栄歯科診療所</t>
  </si>
  <si>
    <t>若林歯科医院</t>
  </si>
  <si>
    <t>若宮歯科医院</t>
  </si>
  <si>
    <t>医療法人弘仁会 大田歯科医院</t>
  </si>
  <si>
    <t xml:space="preserve">三鷹グリーン歯科  </t>
  </si>
  <si>
    <t>医療法人良光会 辻中歯科医院</t>
  </si>
  <si>
    <t>植木歯科医院</t>
  </si>
  <si>
    <t>山根歯科医院</t>
  </si>
  <si>
    <t>医療法人社団中根会 中根歯科医院</t>
  </si>
  <si>
    <t>佛坂歯科医院</t>
  </si>
  <si>
    <t>長谷川歯科医院</t>
  </si>
  <si>
    <t>医療法人社団真心会 内田歯科医院</t>
  </si>
  <si>
    <t>みうら歯科医院</t>
  </si>
  <si>
    <t>牛嶋歯科医院</t>
  </si>
  <si>
    <t>医)あきひこ アキヨシデンタルクリニック</t>
  </si>
  <si>
    <t>医療法人臨生会 名寄歯科医院</t>
  </si>
  <si>
    <t>寺田歯科医院</t>
  </si>
  <si>
    <t>医療法人社団定仁会 小貫歯科医院</t>
  </si>
  <si>
    <t>医療法人 奥田歯科医院</t>
  </si>
  <si>
    <t>医療法人みどり森会ライオンズ歯科初台</t>
  </si>
  <si>
    <t>医療法人社団 佐藤歯科医院</t>
  </si>
  <si>
    <t>花岡歯科医院</t>
  </si>
  <si>
    <t>いなだ歯科クリニック</t>
  </si>
  <si>
    <t>医療法人社団進正会 岡歯科医院</t>
  </si>
  <si>
    <t>片瀬歯科医院</t>
  </si>
  <si>
    <t>医療法人社団歯徳会　沖津歯科診療所</t>
  </si>
  <si>
    <t>医療法人社団 ふじしろ歯科クリニック</t>
  </si>
  <si>
    <t>三瓶 夏葵</t>
  </si>
  <si>
    <t>ながたデンタルクリニック</t>
  </si>
  <si>
    <t>医療法人社団興歯会 林田歯科</t>
  </si>
  <si>
    <t>医療法人社団三仁会 那須歯科医院</t>
  </si>
  <si>
    <t>医療法人社団栄佑会　さかえ歯科診療室</t>
  </si>
  <si>
    <t>いわお歯科</t>
  </si>
  <si>
    <t>医療法人社団　C＆P西すずらん台歯科クリニック</t>
  </si>
  <si>
    <t>医療法人社団心音会 こどもの歯科</t>
  </si>
  <si>
    <t>にしの歯科クリニック</t>
  </si>
  <si>
    <t>医療法人社団 臼杵歯科医院</t>
  </si>
  <si>
    <t>医療法人 永井歯科医院赤木デンタルオフィス</t>
  </si>
  <si>
    <t>小林歯科クリニック</t>
  </si>
  <si>
    <t>みづほデンタルクリニック</t>
  </si>
  <si>
    <t>安部徹歯科医院</t>
  </si>
  <si>
    <t>ながまち・えがお歯科矯正歯科</t>
  </si>
  <si>
    <t>医療法人朝樹会 濱田歯科医院</t>
  </si>
  <si>
    <t>山の手歯科クリニック</t>
  </si>
  <si>
    <t>清水町須藤歯科</t>
  </si>
  <si>
    <t>荒深歯科医院</t>
  </si>
  <si>
    <t>どいがみ歯科医院</t>
  </si>
  <si>
    <t>浅賀歯科医院</t>
  </si>
  <si>
    <t>デンタルオフィス等々力</t>
  </si>
  <si>
    <t>とよひらファミリー歯科</t>
  </si>
  <si>
    <t>医療法人光和会 アール歯科クリニック</t>
  </si>
  <si>
    <t>丸尾歯科クリニック</t>
  </si>
  <si>
    <t>せぐち歯科クリニック</t>
  </si>
  <si>
    <t>医療法人 瀬口歯科医院</t>
  </si>
  <si>
    <t>松本歯科医院</t>
  </si>
  <si>
    <t>医療法人社団 コイズミ歯科</t>
  </si>
  <si>
    <t>医)Kuni dentalくがやま井の頭通り歯科</t>
  </si>
  <si>
    <t>有岡歯科医院</t>
  </si>
  <si>
    <t>松葉通り歯科クリニック</t>
  </si>
  <si>
    <t>ひばり歯科・矯正歯科</t>
  </si>
  <si>
    <t>福岡デンタルクリニック</t>
  </si>
  <si>
    <t>あさひな歯科</t>
  </si>
  <si>
    <t>せお歯科クリニック</t>
  </si>
  <si>
    <t>医療法人みどり森会 ライオンズ北勢歯科</t>
  </si>
  <si>
    <t>医療法人社団 吉野歯科医院</t>
  </si>
  <si>
    <t>長谷部歯科医院</t>
  </si>
  <si>
    <t>はやま歯科医院</t>
  </si>
  <si>
    <t>種田歯科医院</t>
  </si>
  <si>
    <t>村上歯科</t>
  </si>
  <si>
    <t>医療法人健笑会たかま歯科医院</t>
  </si>
  <si>
    <t>クレア歯科医院</t>
  </si>
  <si>
    <t>医療法人エボシライン　わだち歯科ｸﾘﾆｯｸ</t>
  </si>
  <si>
    <t>医療法人社団龍生会ティオデンタルオフィス</t>
  </si>
  <si>
    <t>まごころ歯科</t>
  </si>
  <si>
    <t>医療法人社団玉翔会　初台GT歯科</t>
  </si>
  <si>
    <t>桑野佐藤歯科医院</t>
  </si>
  <si>
    <t>アップル歯科</t>
  </si>
  <si>
    <t>ハートピア歯科・矯正歯科</t>
  </si>
  <si>
    <t>東林間歯科クリニック</t>
  </si>
  <si>
    <t>ユー歯科クリニック</t>
  </si>
  <si>
    <t>てつデンタルクリニック</t>
  </si>
  <si>
    <t>楠本歯科医院</t>
  </si>
  <si>
    <t>吉田歯科醫院</t>
  </si>
  <si>
    <t>医療法人社団Ｆ＆Ｃ香川大学前はこざき歯</t>
  </si>
  <si>
    <t>ながほ歯科クリニック</t>
  </si>
  <si>
    <t>かねこ歯科</t>
  </si>
  <si>
    <t>医療法人社団向鶴会 むこうはら歯科医院</t>
  </si>
  <si>
    <t>平野歯科医院</t>
  </si>
  <si>
    <t>おぎの歯科医院</t>
  </si>
  <si>
    <t>湯本歯科医院</t>
  </si>
  <si>
    <t>ホワイト歯科</t>
  </si>
  <si>
    <t>獅子ヶ谷歯科医院</t>
  </si>
  <si>
    <t>医療法人昭友会 中嶋歯科医院</t>
  </si>
  <si>
    <t>ふたば歯科医院</t>
  </si>
  <si>
    <t>ながとし歯科医院</t>
  </si>
  <si>
    <t>栃木歯科医院</t>
  </si>
  <si>
    <t>かず歯科</t>
  </si>
  <si>
    <t>すずの木歯科医院</t>
  </si>
  <si>
    <t>日高歯科</t>
  </si>
  <si>
    <t>あまデンタルクリニック</t>
  </si>
  <si>
    <t>つきだて歯科湊高台診療所</t>
  </si>
  <si>
    <t>志津川歯科クリニック</t>
  </si>
  <si>
    <t>ヨシダ歯科</t>
  </si>
  <si>
    <t>久保歯科医院</t>
  </si>
  <si>
    <t>こしみず歯科クリニック</t>
  </si>
  <si>
    <t>医療法人慎幸会 桃山台鈴木歯科クリニック</t>
  </si>
  <si>
    <t>ふれんど歯科</t>
  </si>
  <si>
    <t>小川デンタルクリニック</t>
  </si>
  <si>
    <t>ひろた歯科クリニック</t>
  </si>
  <si>
    <t>医)東雲会 浦和美園デンタルクリニック</t>
  </si>
  <si>
    <t>大野 宗孝</t>
  </si>
  <si>
    <t>別當歯科医院</t>
  </si>
  <si>
    <t>玉田歯科医院</t>
  </si>
  <si>
    <t>石岡歯科医院</t>
  </si>
  <si>
    <t>新温泉町国民健康保険歯科診療所</t>
  </si>
  <si>
    <t>ふるや歯科医院</t>
  </si>
  <si>
    <t>しらい歯医者さん</t>
  </si>
  <si>
    <t>南青山アイリス歯科</t>
  </si>
  <si>
    <t>宮前はっとり歯科</t>
  </si>
  <si>
    <t>医療法人社団長谷川歯科医院</t>
  </si>
  <si>
    <t>さやの木歯科</t>
  </si>
  <si>
    <t>医療法人三恵会　しげなが歯科・矯正歯科</t>
  </si>
  <si>
    <t>酒井歯科医院</t>
  </si>
  <si>
    <t>ゆか歯科クリニック</t>
  </si>
  <si>
    <t>髙木歯科医院</t>
  </si>
  <si>
    <t>川崎さつき橋デンタルオフィス</t>
  </si>
  <si>
    <t>くるみ歯科医院</t>
  </si>
  <si>
    <t>医療法人社団健雄会湯原歯科クリニック</t>
  </si>
  <si>
    <t>鹿島歯科クリニック</t>
  </si>
  <si>
    <t>医療法人ファミリア 瀬戸ファミリア歯科医院</t>
  </si>
  <si>
    <t>荒尾歯科医院</t>
  </si>
  <si>
    <t>エール歯科クリニック</t>
  </si>
  <si>
    <t>豊田合成(株) 井之口診療所歯科診療室</t>
  </si>
  <si>
    <t>西岡歯科医院</t>
  </si>
  <si>
    <t>千葉歯科医院</t>
  </si>
  <si>
    <t>医）すえざき歯科ｸﾘﾆｯｸ</t>
  </si>
  <si>
    <t>赤星歯科医院</t>
  </si>
  <si>
    <t>ながや歯科医院</t>
  </si>
  <si>
    <t>ふぁみりー歯科</t>
  </si>
  <si>
    <t>むとべデンタルオフィス</t>
  </si>
  <si>
    <t>ひろた歯科</t>
  </si>
  <si>
    <t>まつさか歯科医院</t>
  </si>
  <si>
    <t>あすみ歯科・矯正歯科クリニック</t>
  </si>
  <si>
    <t>山下歯科診療所</t>
  </si>
  <si>
    <t>医療法人ライブラ会 ゆめはんな歯科クリニック</t>
  </si>
  <si>
    <t>安田歯科医院</t>
  </si>
  <si>
    <t>デンタルオフィス セレオ国分寺</t>
  </si>
  <si>
    <t>ひらしま歯科</t>
  </si>
  <si>
    <t>なみかわ歯科クリニック</t>
  </si>
  <si>
    <t>医）フィロソフィア 徳永歯科クリニック</t>
  </si>
  <si>
    <t>りゅう歯科医院</t>
  </si>
  <si>
    <t>たかはら歯科医院</t>
  </si>
  <si>
    <t>さくら歯科クリニック</t>
  </si>
  <si>
    <t>森村デンタルクリニック</t>
  </si>
  <si>
    <t>トモ歯科・矯正歯科</t>
  </si>
  <si>
    <t>たけのこ歯科</t>
  </si>
  <si>
    <t>たんぽぽ歯科クリニック</t>
  </si>
  <si>
    <t>ハートピア歯科・矯正歯科北本診療所</t>
  </si>
  <si>
    <t>JinMeiDentalClinic</t>
  </si>
  <si>
    <t>ななほし歯科クリニック</t>
  </si>
  <si>
    <t>医療法人社団ITS 東京オペラシティ歯科</t>
  </si>
  <si>
    <t>八潮駅前通り歯科医院</t>
  </si>
  <si>
    <t>れいこ歯科</t>
  </si>
  <si>
    <t>医療法人社団明亮会 ひらの歯科医院</t>
  </si>
  <si>
    <t>自由が丘　石崎歯科医院</t>
  </si>
  <si>
    <t>医）隆仁会 みよしデンタルクリニック</t>
  </si>
  <si>
    <t>くすもと歯科医院</t>
  </si>
  <si>
    <t>伊東歯科医院</t>
  </si>
  <si>
    <t>中林歯科</t>
  </si>
  <si>
    <t>矢島歯科医院</t>
  </si>
  <si>
    <t>医療法人 クリーン歯科医院</t>
  </si>
  <si>
    <t>金栗歯科クリニック</t>
  </si>
  <si>
    <t>医療法人誠和会 ややま歯科クリニック</t>
  </si>
  <si>
    <t>こばと歯科医院</t>
  </si>
  <si>
    <t>関越歯科医院</t>
  </si>
  <si>
    <t>曽山歯科・けいこ矯正歯科</t>
  </si>
  <si>
    <t>高久歯科医院</t>
  </si>
  <si>
    <t>瀬尾歯科クリニック</t>
  </si>
  <si>
    <t>荒谷歯科医院</t>
  </si>
  <si>
    <t>調布ヶ丘歯科医院</t>
  </si>
  <si>
    <t>美松デンタルオフィス</t>
  </si>
  <si>
    <t>白石歯科</t>
  </si>
  <si>
    <t>川東歯科医院</t>
  </si>
  <si>
    <t>加納歯科医院</t>
  </si>
  <si>
    <t>日高歯科医院</t>
  </si>
  <si>
    <t>医療法人社団　ユアーズオーラルクリニック</t>
  </si>
  <si>
    <t>ふじひら歯科医院</t>
  </si>
  <si>
    <t>竹内歯科医院</t>
  </si>
  <si>
    <t>黒川歯科診療所</t>
  </si>
  <si>
    <t>福田歯科医院</t>
  </si>
  <si>
    <t>こうだ歯科クリニック</t>
  </si>
  <si>
    <t>医療法人社団仁秀会 早川歯科医院</t>
  </si>
  <si>
    <t>医療法人政信会 おやま歯科医院</t>
  </si>
  <si>
    <t>Ai Dental Clinic</t>
  </si>
  <si>
    <t>なかの歯科クリニック</t>
  </si>
  <si>
    <t>医療法人社団心和会 伊藤歯科医院</t>
  </si>
  <si>
    <t>上田歯科医院</t>
  </si>
  <si>
    <t>野尻中央歯科</t>
  </si>
  <si>
    <t>喜光歯科医院</t>
  </si>
  <si>
    <t>佐澤歯科医院</t>
  </si>
  <si>
    <t>医療法人社団中友里会 中里歯科医院</t>
  </si>
  <si>
    <t>よしの歯科医院</t>
  </si>
  <si>
    <t>溝沼歯科</t>
  </si>
  <si>
    <t>おはら歯科</t>
  </si>
  <si>
    <t>ひらおファミリア歯科</t>
  </si>
  <si>
    <t>やはら歯科医院</t>
  </si>
  <si>
    <t>医療法人彩優会　タクヤデンタルクリニック</t>
  </si>
  <si>
    <t>浅井歯科クリニック</t>
  </si>
  <si>
    <t>中村歯科医院</t>
  </si>
  <si>
    <t>医療法人社団　栗原医院歯科室</t>
  </si>
  <si>
    <t>川野歯科医院</t>
  </si>
  <si>
    <t>三輪歯科医院</t>
  </si>
  <si>
    <t>河辺南口デンタルクリニック</t>
  </si>
  <si>
    <t>ハート歯科</t>
  </si>
  <si>
    <t>いお歯科医院</t>
  </si>
  <si>
    <t>有馬歯科クリニック</t>
  </si>
  <si>
    <t>医療法人社団MデンタルMデンタルクリニック</t>
  </si>
  <si>
    <t>医療法人中山会 新札幌パウロ病院</t>
  </si>
  <si>
    <t>ひきだ歯科医院</t>
  </si>
  <si>
    <t>こうじ歯科クリニック</t>
  </si>
  <si>
    <t>医療法人社団勇仁会 辻野デンタルオフィス</t>
  </si>
  <si>
    <t>京子歯科クリニック</t>
  </si>
  <si>
    <t>医療法人和心会 みよし歯科クリニック</t>
  </si>
  <si>
    <t>かえで歯科矯正クリニック</t>
  </si>
  <si>
    <t>四季の里歯科クリニック</t>
  </si>
  <si>
    <t>河底歯科・矯正歯科</t>
  </si>
  <si>
    <t>小浜みやもと歯科医院</t>
  </si>
  <si>
    <t>みやぎし歯科クリニック</t>
  </si>
  <si>
    <t>医療法人社団桜香会愛育歯科</t>
  </si>
  <si>
    <t>医療法人社団因幡会ﾌﾞﾘﾘｱ大井町ﾗｳﾞｨｱﾝﾀﾜｰ歯科ｸﾘﾆｯｸ</t>
  </si>
  <si>
    <t>医療法人ルーツ ひまわり矯正・小児歯科</t>
  </si>
  <si>
    <t>さだおか歯科医院</t>
  </si>
  <si>
    <t>石川歯科医院</t>
  </si>
  <si>
    <t>はんだ歯科</t>
  </si>
  <si>
    <t>とがし歯科医院</t>
  </si>
  <si>
    <t>そめや歯科</t>
  </si>
  <si>
    <t>どい歯科クリニック</t>
  </si>
  <si>
    <t>医療法人うえだ会 うえだ歯科医院</t>
  </si>
  <si>
    <t>いづみ歯科クリニック</t>
  </si>
  <si>
    <t>セントラル歯科　矯正歯科クリニック</t>
  </si>
  <si>
    <t>医療法人　川上歯科医院</t>
  </si>
  <si>
    <t>のだ歯科医院</t>
  </si>
  <si>
    <t>光辻歯科医院</t>
  </si>
  <si>
    <t>木下総合歯科眼科</t>
  </si>
  <si>
    <t>土橋歯科医院</t>
  </si>
  <si>
    <t>つばさデンタルクリニック</t>
  </si>
  <si>
    <t>すえなが歯科ファミリークリニック</t>
  </si>
  <si>
    <t>上原デンタルクリニック</t>
  </si>
  <si>
    <t>おひさま歯科クリニック</t>
  </si>
  <si>
    <t>富士・東部口腔保健センター</t>
  </si>
  <si>
    <t>医療法人 大塚歯科</t>
  </si>
  <si>
    <t>なかた歯科クリニック</t>
  </si>
  <si>
    <t>医療法人 船岡歯科医院</t>
  </si>
  <si>
    <t>石渡歯科クリニック</t>
  </si>
  <si>
    <t>しろくま歯科</t>
  </si>
  <si>
    <t>カトウ歯科医院</t>
  </si>
  <si>
    <t>三共歯科医院</t>
  </si>
  <si>
    <t>竹腰歯科医院</t>
  </si>
  <si>
    <t>しもさと歯科医院</t>
  </si>
  <si>
    <t>押切歯科医院</t>
  </si>
  <si>
    <t>土井歯科医院</t>
  </si>
  <si>
    <t>松ヶ枝歯科医院</t>
  </si>
  <si>
    <t>かもめ歯科医院</t>
  </si>
  <si>
    <t>医療法人桐紀会 半澤歯科医院</t>
  </si>
  <si>
    <t>医療法人社団歯英会 ひがしデンタルクリニック</t>
  </si>
  <si>
    <t>医療法人社団博心会 南平岸フミタ歯科</t>
  </si>
  <si>
    <t>医療法人社団彩り会 北坂戸オレンジ歯科</t>
  </si>
  <si>
    <t>おかむら歯科クリニック</t>
  </si>
  <si>
    <t>影山デンタルクリニック</t>
  </si>
  <si>
    <t>福田歯科</t>
  </si>
  <si>
    <t>柳原歯科医院</t>
  </si>
  <si>
    <t>長砂歯科医院</t>
  </si>
  <si>
    <t>小牧市休日急病診療所</t>
  </si>
  <si>
    <t>医療法人社団マリオン 平岡マリオン歯科</t>
  </si>
  <si>
    <t>町田歯科医院</t>
  </si>
  <si>
    <t>まつもと歯科医院</t>
  </si>
  <si>
    <t>医療法人happy teethiデンタルクリニック</t>
  </si>
  <si>
    <t>清末歯科医院</t>
  </si>
  <si>
    <t>みやした歯科医院</t>
  </si>
  <si>
    <t>萩原歯科医院</t>
  </si>
  <si>
    <t>あそう歯科クリニック</t>
  </si>
  <si>
    <t>庄野歯科クリニック</t>
  </si>
  <si>
    <t>オーク歯科医院</t>
  </si>
  <si>
    <t>医療法人弘和会 恩田歯科医院</t>
  </si>
  <si>
    <t>広瀬歯科医院</t>
  </si>
  <si>
    <t>井上歯科医院</t>
  </si>
  <si>
    <t>いとう歯科クリニック</t>
  </si>
  <si>
    <t>さなだ歯科医院</t>
  </si>
  <si>
    <t>さとう歯科医院</t>
  </si>
  <si>
    <t>鈴木歯科医院</t>
  </si>
  <si>
    <t>医療法人社団 宏歯会 ミナミマチ歯科医院</t>
  </si>
  <si>
    <t>いしざわ歯科医院</t>
  </si>
  <si>
    <t>平川歯科医院</t>
  </si>
  <si>
    <t>こしみず歯科医院</t>
  </si>
  <si>
    <t>医療法人社団 桜歯友会戸田サクラ歯科</t>
  </si>
  <si>
    <t>やまさき歯科</t>
  </si>
  <si>
    <t>やまだ歯科医院</t>
  </si>
  <si>
    <t>中嶋歯科医院</t>
  </si>
  <si>
    <t>かさぎ歯科</t>
  </si>
  <si>
    <t>医療法人H&amp;B いのうえ歯科クリニック</t>
  </si>
  <si>
    <t>ムラナカ歯科医院</t>
  </si>
  <si>
    <t>生橋歯科医院</t>
  </si>
  <si>
    <t>古橋歯科医院</t>
  </si>
  <si>
    <t>コアセ歯科医院</t>
  </si>
  <si>
    <t>ソフィア歯科</t>
  </si>
  <si>
    <t>医)ピュアホワイト会 あいおいクリニックイオンモール東員医院</t>
  </si>
  <si>
    <t>古沢歯科クリニック</t>
  </si>
  <si>
    <t>平山歯科医院</t>
  </si>
  <si>
    <t>医療法人逢見会 近藤歯科医院</t>
  </si>
  <si>
    <t>すずき歯科医院</t>
  </si>
  <si>
    <t>中村歯科診療所</t>
  </si>
  <si>
    <t>医療法人知正会 中村デンタルクリニック</t>
  </si>
  <si>
    <t>早川歯科</t>
  </si>
  <si>
    <t>けい歯科クリニック</t>
  </si>
  <si>
    <t>いながき歯科</t>
  </si>
  <si>
    <t>アイデンタルこまはし</t>
  </si>
  <si>
    <t>医療法人社団 竜和会嶋デンタルクリニック</t>
  </si>
  <si>
    <t>日本橋ファースト歯科</t>
  </si>
  <si>
    <t>木村歯科医院</t>
  </si>
  <si>
    <t>むつが歯科</t>
  </si>
  <si>
    <t>医療法人社団 真壁歯科医院</t>
  </si>
  <si>
    <t>土方歯科医院</t>
  </si>
  <si>
    <t>医療法人社団 むらまつ歯科クリニック</t>
  </si>
  <si>
    <t>しもがさベリー歯科クリニック</t>
  </si>
  <si>
    <t>田代歯科医院</t>
  </si>
  <si>
    <t>医療法人　角野歯科医院</t>
  </si>
  <si>
    <t>いちかわ歯科医院</t>
  </si>
  <si>
    <t>てらもと歯科</t>
  </si>
  <si>
    <t>まいまい歯科医院</t>
  </si>
  <si>
    <t>よしだ歯科医院</t>
  </si>
  <si>
    <t>たな歯科クリニック</t>
  </si>
  <si>
    <t>貞松歯科医院</t>
  </si>
  <si>
    <t>医療法人社団NWCなかやま歯科医院</t>
  </si>
  <si>
    <t>医療法人社団QUALITY OFSMILE 戸部歯科医院</t>
  </si>
  <si>
    <t>医療法人 かがやき歯科クリニック</t>
  </si>
  <si>
    <t>きとう歯科</t>
  </si>
  <si>
    <t>スズキ歯科医院</t>
  </si>
  <si>
    <t>財団法人逗葉地域医療センター歯科</t>
  </si>
  <si>
    <t>サンデンタルクリニック</t>
  </si>
  <si>
    <t>中島歯科医院</t>
  </si>
  <si>
    <t>スマイル歯科クリニック</t>
  </si>
  <si>
    <t>いわなが歯科長崎駅前クリニック</t>
  </si>
  <si>
    <t>望月歯科医院</t>
  </si>
  <si>
    <t>芽吹ファミリー歯科</t>
  </si>
  <si>
    <t>河村歯科医院</t>
  </si>
  <si>
    <t>たきぐち歯科</t>
  </si>
  <si>
    <t>杉山歯科医院</t>
  </si>
  <si>
    <t>すがぬま歯科</t>
  </si>
  <si>
    <t>医療法人 こんどう歯科医院</t>
  </si>
  <si>
    <t>なかむら歯科医院</t>
  </si>
  <si>
    <t>髙橋歯科医院</t>
  </si>
  <si>
    <t>オガワデンタルオフィス</t>
  </si>
  <si>
    <t>アウル歯科クリニック</t>
  </si>
  <si>
    <t>廣岡歯科医院</t>
  </si>
  <si>
    <t>医療法人社団弘誠会　サンクリーン歯科</t>
  </si>
  <si>
    <t>西田歯科医院</t>
  </si>
  <si>
    <t>あだち歯科医院</t>
  </si>
  <si>
    <t>たけうち歯科クリニック</t>
  </si>
  <si>
    <t>本堂歯科</t>
  </si>
  <si>
    <t>小倉ステーション歯科</t>
  </si>
  <si>
    <t>上武歯科医院</t>
  </si>
  <si>
    <t>植村歯科医院</t>
  </si>
  <si>
    <t>医療法人社団大樹大崎ThinkPark歯科</t>
  </si>
  <si>
    <t>佐藤ファミリー歯科</t>
  </si>
  <si>
    <t>医療法人 あさもと歯科</t>
  </si>
  <si>
    <t>医療法人恂美会 せんり歯科</t>
  </si>
  <si>
    <t>海野歯科医院</t>
  </si>
  <si>
    <t>さくら歯科医院</t>
  </si>
  <si>
    <t>岸保歯科クリニック</t>
  </si>
  <si>
    <t>あずま小児歯科</t>
  </si>
  <si>
    <t>かわた歯科クリニック</t>
  </si>
  <si>
    <t>永田歯科クリニック</t>
  </si>
  <si>
    <t>医療法人社団ひかり ひかり歯科クリニック</t>
  </si>
  <si>
    <t>サトウ歯科医院</t>
  </si>
  <si>
    <t>谷小児歯科</t>
  </si>
  <si>
    <t>こがデンタルクリニック</t>
  </si>
  <si>
    <t>医療法人社団泰青会　青葉歯科医院</t>
  </si>
  <si>
    <t>小山歯科</t>
  </si>
  <si>
    <t>北條歯科医院</t>
  </si>
  <si>
    <t>やまき歯科クリニック</t>
  </si>
  <si>
    <t>はまな歯科クリニック</t>
  </si>
  <si>
    <t>オーブデンタルクリニック</t>
  </si>
  <si>
    <t>水野歯科クリニック</t>
  </si>
  <si>
    <t>ひであき歯科</t>
  </si>
  <si>
    <t>医療法人桑正会よしたに歯科医院</t>
  </si>
  <si>
    <t>もちもちの木歯科医院</t>
  </si>
  <si>
    <t>医療法人 玉村歯科医院</t>
  </si>
  <si>
    <t>西川歯科医院</t>
  </si>
  <si>
    <t>あき歯科クリニック</t>
  </si>
  <si>
    <t>医療法人社団 中谷クリニック</t>
  </si>
  <si>
    <t>たけとみ歯科クリニック</t>
  </si>
  <si>
    <t>医療法人社団歯英会　ひがし歯科医院</t>
  </si>
  <si>
    <t>医療法人 どんぐり小児歯科</t>
  </si>
  <si>
    <t>医）章晴Dental白倉歯科クリニック</t>
  </si>
  <si>
    <t>三輪デンタルクリニック</t>
  </si>
  <si>
    <t>医療法人 のはら歯科クリニック</t>
  </si>
  <si>
    <t>伊豆歯科</t>
  </si>
  <si>
    <t>こまがわ駅前歯科</t>
  </si>
  <si>
    <t>榊原歯科医院</t>
  </si>
  <si>
    <t>みずき歯科クリニック</t>
  </si>
  <si>
    <t>大森北歯科</t>
  </si>
  <si>
    <t>かごはら南口歯科クリニック</t>
  </si>
  <si>
    <t>ミチナリ歯科医院</t>
  </si>
  <si>
    <t>近藤歯科医院</t>
  </si>
  <si>
    <t>医療法人 橋本歯科クリニック</t>
  </si>
  <si>
    <t>とも歯科</t>
  </si>
  <si>
    <t>野々村小児歯科クリニック</t>
  </si>
  <si>
    <t>医療法人 岩﨑歯科医院</t>
  </si>
  <si>
    <t>はしもと歯科クリニック</t>
  </si>
  <si>
    <t>医療法人社団星会 苅部歯科・矯正歯科</t>
  </si>
  <si>
    <t>石井デンタルクリニック</t>
  </si>
  <si>
    <t>医療法人社団 佐藤歯科診療所</t>
  </si>
  <si>
    <t>佐野歯科医院</t>
  </si>
  <si>
    <t>おちあい小児歯科</t>
  </si>
  <si>
    <t>しぐた歯科医院</t>
  </si>
  <si>
    <t>南條歯科医院</t>
  </si>
  <si>
    <t>沢歯科医院</t>
  </si>
  <si>
    <t>こもれび歯科</t>
  </si>
  <si>
    <t>歯科正木医院</t>
  </si>
  <si>
    <t>医療法人社団 信和会 ミズキデンタルオフィス</t>
  </si>
  <si>
    <t>長島歯科医院</t>
  </si>
  <si>
    <t>眞弓歯科医院</t>
  </si>
  <si>
    <t>医療法人社団育友会下高井戸パール歯科クリニック・世田谷</t>
  </si>
  <si>
    <t>岩田歯科医院</t>
  </si>
  <si>
    <t>こが歯科クリニック</t>
  </si>
  <si>
    <t>医療法人洛鳳會 けんと歯科</t>
  </si>
  <si>
    <t>のま歯科クリニック</t>
  </si>
  <si>
    <t>やひろ歯科医院</t>
  </si>
  <si>
    <t>にしだ3丁目歯科</t>
  </si>
  <si>
    <t>ホワイト小児歯科</t>
  </si>
  <si>
    <t>相生歯科診療室</t>
  </si>
  <si>
    <t>医療法人　よしむら歯科医院</t>
  </si>
  <si>
    <t>医療法人社団尚友会 脇谷歯科クリニック</t>
  </si>
  <si>
    <t>セキイ歯科医院</t>
  </si>
  <si>
    <t>医療法人OLIVEオリーブ歯科</t>
  </si>
  <si>
    <t>よしば歯科医院</t>
  </si>
  <si>
    <t>医療法人惇明会よしもと歯科クリニック</t>
  </si>
  <si>
    <t>なかよし小児歯科</t>
  </si>
  <si>
    <t>横山歯科医院</t>
  </si>
  <si>
    <t>医療法人真寿会 よこやま歯科クリニック</t>
  </si>
  <si>
    <t>吉岡歯科医院</t>
  </si>
  <si>
    <t>医療法人社団誠良会よしかわ歯科クリニック</t>
  </si>
  <si>
    <t>吉田歯科</t>
  </si>
  <si>
    <t>利尻富士町鬼脇歯科診療所</t>
  </si>
  <si>
    <t>山中湖村診療所歯科</t>
  </si>
  <si>
    <t>山本歯科</t>
  </si>
  <si>
    <t>医療法人社団泰青会 青山歯科医院</t>
  </si>
  <si>
    <t>医療法人 赤司歯科医院</t>
  </si>
  <si>
    <t>医療法人社団 あきた歯科医院</t>
  </si>
  <si>
    <t>丸田歯科クリニック</t>
  </si>
  <si>
    <t>傳庄歯科</t>
  </si>
  <si>
    <t>医療法人社団万仁堂 三浦齒科醫院</t>
  </si>
  <si>
    <t>三上歯科医院</t>
  </si>
  <si>
    <t>あやこ歯科クリニック</t>
  </si>
  <si>
    <t>水口歯科医院</t>
  </si>
  <si>
    <t>医)みやけ歯科医科ケアみやけ歯科クリニック</t>
  </si>
  <si>
    <t>さとう歯科クリニック</t>
  </si>
  <si>
    <t>医療法人社団博英会 三宅歯科医院</t>
  </si>
  <si>
    <t>医療法人社団尚友会 むつみデンタルクリニック</t>
  </si>
  <si>
    <t>武藤歯科医院</t>
  </si>
  <si>
    <t>村井歯科医院</t>
  </si>
  <si>
    <t>村岡歯科医院</t>
  </si>
  <si>
    <t>村尾歯科医院</t>
  </si>
  <si>
    <t>ももたに歯科医院</t>
  </si>
  <si>
    <t>森田歯科医院</t>
  </si>
  <si>
    <t>安川デンタルクリニック</t>
  </si>
  <si>
    <t>おかむら歯科医院</t>
  </si>
  <si>
    <t>岩鶴歯科医院</t>
  </si>
  <si>
    <t>山口歯科医院</t>
  </si>
  <si>
    <t>山口歯科クリニック</t>
  </si>
  <si>
    <t>大木歯科医院</t>
  </si>
  <si>
    <t>まちの歯科医院</t>
  </si>
  <si>
    <t>優和歯科</t>
  </si>
  <si>
    <t>医療法人社団桂美会 25歯科</t>
  </si>
  <si>
    <t>吉岡歯科</t>
  </si>
  <si>
    <t>医療法人秋山歯科・矯正歯科医院</t>
  </si>
  <si>
    <t>医療法人社団 瑛晴会　自由通り歯科医院</t>
  </si>
  <si>
    <t>あくね歯科医院</t>
  </si>
  <si>
    <t>朝香歯科医院</t>
  </si>
  <si>
    <t>朝倉歯科医院</t>
  </si>
  <si>
    <t>日吉歯科医院</t>
  </si>
  <si>
    <t>増田歯科医院</t>
  </si>
  <si>
    <t>馬田歯科医院</t>
  </si>
  <si>
    <t>小峰歯科医院</t>
  </si>
  <si>
    <t>松井歯科医院</t>
  </si>
  <si>
    <t>松浦歯科</t>
  </si>
  <si>
    <t>松永歯科医院</t>
  </si>
  <si>
    <t>東京ホワイト歯科</t>
  </si>
  <si>
    <t>松原歯科</t>
  </si>
  <si>
    <t>医療法人聖美会 松丸・歯科・矯正歯科白岡駅ビルクリニック</t>
  </si>
  <si>
    <t>深町歯科医院</t>
  </si>
  <si>
    <t>まつもと歯科クリニック</t>
  </si>
  <si>
    <t>みぞかわ歯科医院</t>
  </si>
  <si>
    <t>オク歯科クリニック</t>
  </si>
  <si>
    <t>登美ヶ丘歯科医院</t>
  </si>
  <si>
    <t>みと歯科クリニック</t>
  </si>
  <si>
    <t>はなかわ歯科クリニック</t>
  </si>
  <si>
    <t>医療法人社団大恵会 大林歯科診療所</t>
  </si>
  <si>
    <t>みやのデンタルオフィス</t>
  </si>
  <si>
    <t>大野歯科医院</t>
  </si>
  <si>
    <t>医療法人 宮本歯科医院</t>
  </si>
  <si>
    <t>三好ケ丘歯科</t>
  </si>
  <si>
    <t>むらかみ歯科医院</t>
  </si>
  <si>
    <t>村上歯科医院</t>
  </si>
  <si>
    <t>医療法人眞莉惠会 むらさきの歯科医院</t>
  </si>
  <si>
    <t>村田歯科医院</t>
  </si>
  <si>
    <t>医療法人社団聖和会 持田歯科医院</t>
  </si>
  <si>
    <t>医療法人社団誠江会ﾓﾁﾂﾞｷおかべ歯科ｸﾘﾆｯｸ</t>
  </si>
  <si>
    <t>望月歯科</t>
  </si>
  <si>
    <t>森寺歯科医院</t>
  </si>
  <si>
    <t>朝比奈歯科医院</t>
  </si>
  <si>
    <t>森山歯科医院</t>
  </si>
  <si>
    <t>医療法人社団　森山歯科医院</t>
  </si>
  <si>
    <t>諸岡歯科医院</t>
  </si>
  <si>
    <t>堀川歯科クリニック</t>
  </si>
  <si>
    <t>諸頭歯科医院</t>
  </si>
  <si>
    <t>医療法人社団 やかた歯科医院</t>
  </si>
  <si>
    <t>医療法人社団弘誠会 やくり歯科</t>
  </si>
  <si>
    <t>山内歯科医院</t>
  </si>
  <si>
    <t>山岡歯科医院</t>
  </si>
  <si>
    <t>山形歯科クリニック</t>
  </si>
  <si>
    <t>八巻歯科医院</t>
  </si>
  <si>
    <t>医療法人社団 やまき歯科クリニック</t>
  </si>
  <si>
    <t>山岸歯科医院</t>
  </si>
  <si>
    <t>浅沼歯科医院</t>
  </si>
  <si>
    <t>東歯科医院</t>
  </si>
  <si>
    <t>林歯科クリニック</t>
  </si>
  <si>
    <t>原尾島歯科</t>
  </si>
  <si>
    <t>原歯科</t>
  </si>
  <si>
    <t>医療法人社団ｴﾝｼﾞｪﾘｯｸｽﾏｲﾙ会ﾎﾟﾆｰ小児歯科ｸﾘﾆｯｸ</t>
  </si>
  <si>
    <t>さくらぎ歯科</t>
  </si>
  <si>
    <t>神部歯科医院</t>
  </si>
  <si>
    <t>ばんのう歯科医院</t>
  </si>
  <si>
    <t>ひよこ歯科</t>
  </si>
  <si>
    <t>ファミリー歯科医院</t>
  </si>
  <si>
    <t>福岡歯科医院</t>
  </si>
  <si>
    <t>ふくだ歯科医院・小児・矯正歯科</t>
  </si>
  <si>
    <t>いまむら歯科矯正歯科</t>
  </si>
  <si>
    <t>藤城歯科医院</t>
  </si>
  <si>
    <t>みどり中山デンタルクリニック</t>
  </si>
  <si>
    <t>藤野歯科医院</t>
  </si>
  <si>
    <t>医療法人久誠会　不動大橋歯科クリニック</t>
  </si>
  <si>
    <t>星野歯科医院</t>
  </si>
  <si>
    <t>細川歯科医院</t>
  </si>
  <si>
    <t>堀田歯科医院</t>
  </si>
  <si>
    <t>ポプラ歯科クリニック</t>
  </si>
  <si>
    <t>ほりうち歯科</t>
  </si>
  <si>
    <t>町の歯医者さん加藤歯科医院</t>
  </si>
  <si>
    <t>すずき歯科・矯正歯科医院</t>
  </si>
  <si>
    <t>デンタルフラッグ・ステージ二日町</t>
  </si>
  <si>
    <t>前田デンタルクリニック</t>
  </si>
  <si>
    <t>マキタ歯科医院</t>
  </si>
  <si>
    <t>もりわき歯科クリニック</t>
  </si>
  <si>
    <t>アップル歯科クリニック</t>
  </si>
  <si>
    <t>跡部歯科診療所</t>
  </si>
  <si>
    <t>アナイ歯科医院</t>
  </si>
  <si>
    <t>四倉あなだ歯科</t>
  </si>
  <si>
    <t>阿部歯科医院</t>
  </si>
  <si>
    <t>医療法人　吉田医院</t>
  </si>
  <si>
    <t>米山おとな こども歯科クリニック</t>
  </si>
  <si>
    <t>萩荘歯科医院</t>
  </si>
  <si>
    <t>箱崎歯科医院</t>
  </si>
  <si>
    <t>太田アクア歯科クリニック</t>
  </si>
  <si>
    <t>はしもと歯科医院</t>
  </si>
  <si>
    <t>橋本歯科</t>
  </si>
  <si>
    <t>長谷川歯科</t>
  </si>
  <si>
    <t>はね歯科医院</t>
  </si>
  <si>
    <t>早川歯科医院</t>
  </si>
  <si>
    <t>林歯科</t>
  </si>
  <si>
    <t>糸井歯科医院</t>
  </si>
  <si>
    <t>林歯科医院</t>
  </si>
  <si>
    <t>小野山歯科医院</t>
  </si>
  <si>
    <t>医療法人社団司久將会 東逗子歯科医院</t>
  </si>
  <si>
    <t>しのはら歯科クリニック</t>
  </si>
  <si>
    <t>医療法人 ヒグチ歯科医院</t>
  </si>
  <si>
    <t>平野歯科クリニック</t>
  </si>
  <si>
    <t>医療法人社団 高野歯科医院</t>
  </si>
  <si>
    <t>けやき歯科医院</t>
  </si>
  <si>
    <t>医療法人 弘部歯科医院</t>
  </si>
  <si>
    <t>ジョイファミリー歯科　大土</t>
  </si>
  <si>
    <t>藤井歯科クリニック</t>
  </si>
  <si>
    <t>ふじえだ歯科</t>
  </si>
  <si>
    <t>藤崎歯科医院</t>
  </si>
  <si>
    <t>さくら・デンタル・オフィス</t>
  </si>
  <si>
    <t>フナクボ歯科医院</t>
  </si>
  <si>
    <t>古市歯科クリニック</t>
  </si>
  <si>
    <t>中川歯科</t>
  </si>
  <si>
    <t>医療法人 あおき歯科医院</t>
  </si>
  <si>
    <t>古田歯科医院</t>
  </si>
  <si>
    <t>とね歯科医院</t>
  </si>
  <si>
    <t>フレンド歯科医院</t>
  </si>
  <si>
    <t>堀内歯科医院</t>
  </si>
  <si>
    <t>中尾歯科医院</t>
  </si>
  <si>
    <t>府中後藤歯科クリニック</t>
  </si>
  <si>
    <t>本多歯科医院</t>
  </si>
  <si>
    <t>本田歯科クリニック</t>
  </si>
  <si>
    <t>奥山歯科医院</t>
  </si>
  <si>
    <t>新井歯科医院</t>
  </si>
  <si>
    <t>柴原歯科医院</t>
  </si>
  <si>
    <t>有末歯科医院</t>
  </si>
  <si>
    <t>有野歯科医院</t>
  </si>
  <si>
    <t>マエダ歯科</t>
  </si>
  <si>
    <t>徳田歯科医院</t>
  </si>
  <si>
    <t>徳丸塚田歯科クリニック</t>
  </si>
  <si>
    <t>医療法人社団 戸田歯科医院</t>
  </si>
  <si>
    <t>とね歯科クリニック</t>
  </si>
  <si>
    <t>宮本歯科医院</t>
  </si>
  <si>
    <t>戸部歯科医院</t>
  </si>
  <si>
    <t>かねだ歯科</t>
  </si>
  <si>
    <t>内藤歯科医院</t>
  </si>
  <si>
    <t>山内歯科</t>
  </si>
  <si>
    <t>医療法人 永井歯科医院</t>
  </si>
  <si>
    <t>小沢歯科医院</t>
  </si>
  <si>
    <t>なかいた歯科医院</t>
  </si>
  <si>
    <t>永尾歯科医院</t>
  </si>
  <si>
    <t>なかがわ歯科</t>
  </si>
  <si>
    <t>めいわ歯科医院</t>
  </si>
  <si>
    <t>中川歯科医院</t>
  </si>
  <si>
    <t>なかたに歯科クリニック</t>
  </si>
  <si>
    <t>中西歯科医院</t>
  </si>
  <si>
    <t>中野歯科医院</t>
  </si>
  <si>
    <t>中平歯科医院</t>
  </si>
  <si>
    <t>成田歯科医院</t>
  </si>
  <si>
    <t>医療法人久誠会　成田歯科医院</t>
  </si>
  <si>
    <t>よしだ歯科クリニック</t>
  </si>
  <si>
    <t>成島歯科</t>
  </si>
  <si>
    <t>長里歯科医院</t>
  </si>
  <si>
    <t>西中歯科医院</t>
  </si>
  <si>
    <t>宮崎ミナトデンタルオフィス</t>
  </si>
  <si>
    <t>大竹歯科医院</t>
  </si>
  <si>
    <t>ニシナ歯科医院</t>
  </si>
  <si>
    <t>西村歯科医院</t>
  </si>
  <si>
    <t>野口歯科医院</t>
  </si>
  <si>
    <t>野口歯科クリニック</t>
  </si>
  <si>
    <t>ながまち歯科医院</t>
  </si>
  <si>
    <t>医療法人 畠山歯科医院</t>
  </si>
  <si>
    <t>羽中田歯科医院</t>
  </si>
  <si>
    <t>はっとり歯科医院</t>
  </si>
  <si>
    <t>医療法人 花井歯科医院</t>
  </si>
  <si>
    <t>花井歯科医院</t>
  </si>
  <si>
    <t>医療法人　いまい歯科医院</t>
  </si>
  <si>
    <t>アルファ歯科医院</t>
  </si>
  <si>
    <t>医療法人社団陽和会 あんじょう歯科医院</t>
  </si>
  <si>
    <t>医療法人 盛島歯科医院</t>
  </si>
  <si>
    <t>医療法人社団和寛会森下ベリタス歯科</t>
  </si>
  <si>
    <t>飯久保歯科医院</t>
  </si>
  <si>
    <t>飯田歯科医院</t>
  </si>
  <si>
    <t>飯塚歯科医院</t>
  </si>
  <si>
    <t>伊賀歯科医院</t>
  </si>
  <si>
    <t>土上歯科医院</t>
  </si>
  <si>
    <t>津野歯科医院</t>
  </si>
  <si>
    <t>坪井歯科医院</t>
  </si>
  <si>
    <t>医療法人社団 つゆき歯科クリニック</t>
  </si>
  <si>
    <t>いつさき歯科</t>
  </si>
  <si>
    <t>医療法人 東部歯科クリニック</t>
  </si>
  <si>
    <t>桃林堂歯科医院</t>
  </si>
  <si>
    <t>医療法人社団 土岐歯科医院</t>
  </si>
  <si>
    <t>富山歯科クリニック</t>
  </si>
  <si>
    <t>とよむら歯科医院</t>
  </si>
  <si>
    <t>内貴歯科医院</t>
  </si>
  <si>
    <t>内藤歯科</t>
  </si>
  <si>
    <t>医療法人社団 中沢歯科医院</t>
  </si>
  <si>
    <t>なかざわ歯科クリニック</t>
  </si>
  <si>
    <t>医療法人歯優会 中島歯科医院</t>
  </si>
  <si>
    <t>中島歯科診療所</t>
  </si>
  <si>
    <t>医療法人新美会 仲町歯科クリニック</t>
  </si>
  <si>
    <t>歯科トキオクリニック</t>
  </si>
  <si>
    <t>なんば歯科医院</t>
  </si>
  <si>
    <t>アンド・デンタル・クリニック</t>
  </si>
  <si>
    <t>あさひ歯科医院</t>
  </si>
  <si>
    <t>北畠歯科医院</t>
  </si>
  <si>
    <t>赤羽岩淵ニュー大谷歯科</t>
  </si>
  <si>
    <t>たかデンタルクリニック</t>
  </si>
  <si>
    <t>医療法人スマイルクリエイト根城よしだ歯科</t>
  </si>
  <si>
    <t>池田歯科医院</t>
  </si>
  <si>
    <t>井坂歯科医院</t>
  </si>
  <si>
    <t>石井歯科医院</t>
  </si>
  <si>
    <t>スマイル歯科医院</t>
  </si>
  <si>
    <t>須磨歯科医院</t>
  </si>
  <si>
    <t>医療法人健歯会 住井第二歯科医院</t>
  </si>
  <si>
    <t>角田歯科医院</t>
  </si>
  <si>
    <t>大進歯科医院</t>
  </si>
  <si>
    <t>医療法人優萠会 新海歯科医院</t>
  </si>
  <si>
    <t>医療法人社団 明匠会大楽歯科医院</t>
  </si>
  <si>
    <t>田内歯科医院</t>
  </si>
  <si>
    <t>医療法人社団弘心会 タウン歯科</t>
  </si>
  <si>
    <t>医療法人社団翠会 髙柴歯科</t>
  </si>
  <si>
    <t>みやざき歯科</t>
  </si>
  <si>
    <t>医療法人 高橋歯科</t>
  </si>
  <si>
    <t>高橋徹次歯科診療室</t>
  </si>
  <si>
    <t>高満歯科医院</t>
  </si>
  <si>
    <t>高森歯科医院</t>
  </si>
  <si>
    <t>医療法人 石成歯科医院</t>
  </si>
  <si>
    <t>田子歯科医院</t>
  </si>
  <si>
    <t>龍田歯科医院</t>
  </si>
  <si>
    <t>田中歯科クリニック</t>
  </si>
  <si>
    <t>医)稔会ﾀﾅﾍﾞﾃﾞﾝﾀﾙｸﾘﾆｯｸ</t>
  </si>
  <si>
    <t>谷口歯科診療所</t>
  </si>
  <si>
    <t>医療法人社団輝和会 田原歯科医院</t>
  </si>
  <si>
    <t>塚原デンタルクリニック</t>
  </si>
  <si>
    <t>医療法人創仁会 つじ歯科医院</t>
  </si>
  <si>
    <t>都筑歯科医院</t>
  </si>
  <si>
    <t>つちが歯科</t>
  </si>
  <si>
    <t>くにたち旭通り歯科プレミアム</t>
  </si>
  <si>
    <t>デンタルクリニック サンシャイン</t>
  </si>
  <si>
    <t>石垣歯科医院</t>
  </si>
  <si>
    <t>いしかわ歯科医院</t>
  </si>
  <si>
    <t>石山歯科診療所</t>
  </si>
  <si>
    <t>医療法人社団四瑛会　新宿パークタワー歯科</t>
  </si>
  <si>
    <t>医療法人芳昭会　神藤歯科</t>
  </si>
  <si>
    <t>医療法人社団小堀会 新屋敷津田歯科医院</t>
  </si>
  <si>
    <t>スガマビル歯科</t>
  </si>
  <si>
    <t>医療法人社団健友会 鈴木歯科医院</t>
  </si>
  <si>
    <t>クレール歯科医院</t>
  </si>
  <si>
    <t>ポテト歯科</t>
  </si>
  <si>
    <t>筑紫通り 加納歯科クリニック</t>
  </si>
  <si>
    <t>銀座みらい歯科医院</t>
  </si>
  <si>
    <t>歯科クリニック福井</t>
  </si>
  <si>
    <t>善住歯科医院</t>
  </si>
  <si>
    <t>そうもと</t>
  </si>
  <si>
    <t>草野歯科医院</t>
  </si>
  <si>
    <t>薗田歯科医院</t>
  </si>
  <si>
    <t>ソブエ歯科</t>
  </si>
  <si>
    <t>高野デンタルオフィス</t>
  </si>
  <si>
    <t>高野歯科医院</t>
  </si>
  <si>
    <t>医療法人 瀧歯科・歯科口腔外科医院</t>
  </si>
  <si>
    <t>竹内歯科クリニック</t>
  </si>
  <si>
    <t>武田歯科医院</t>
  </si>
  <si>
    <t>医療法人昭心会 田中けん歯科</t>
  </si>
  <si>
    <t>スターデンタルクリニック</t>
  </si>
  <si>
    <t>医療法人社団ファミリア 松島歯科医院</t>
  </si>
  <si>
    <t>医療法人陽雄会 すずたけ歯科医院</t>
  </si>
  <si>
    <t>医療法人社団聖徳会 玉川歯科</t>
  </si>
  <si>
    <t>玉沢歯科医院</t>
  </si>
  <si>
    <t>たま歯科医院</t>
  </si>
  <si>
    <t>田村隆歯科医院</t>
  </si>
  <si>
    <t>千葉歯科クリニック</t>
  </si>
  <si>
    <t>今井歯科医院</t>
  </si>
  <si>
    <t>今泉歯科医院</t>
  </si>
  <si>
    <t>今西歯科医院</t>
  </si>
  <si>
    <t>入野歯科医院</t>
  </si>
  <si>
    <t>岩﨑歯科医院</t>
  </si>
  <si>
    <t>いわさき歯科</t>
  </si>
  <si>
    <t>いわさき歯科クリニック</t>
  </si>
  <si>
    <t>山形屋歯科坂上医院</t>
  </si>
  <si>
    <t>齋藤歯科医院</t>
  </si>
  <si>
    <t>斎藤歯科医院</t>
  </si>
  <si>
    <t>船木歯科医院</t>
  </si>
  <si>
    <t>はるデンタルクリニック</t>
  </si>
  <si>
    <t>坂本歯科医院</t>
  </si>
  <si>
    <t>桜井歯科医院</t>
  </si>
  <si>
    <t>医療法人 桜木歯科</t>
  </si>
  <si>
    <t>佐藤歯科医院今戸クリニック</t>
  </si>
  <si>
    <t>ゆう歯科クリニック</t>
  </si>
  <si>
    <t>医療法人あおば会 さとう歯科医院</t>
  </si>
  <si>
    <t>医療法人 サンモール歯科</t>
  </si>
  <si>
    <t>歯科大下医院</t>
  </si>
  <si>
    <t>伊藤歯科診療所</t>
  </si>
  <si>
    <t>しばた歯科</t>
  </si>
  <si>
    <t>芝本歯科医院</t>
  </si>
  <si>
    <t>高根デンタルクリニック</t>
  </si>
  <si>
    <t>子平町歯科医院</t>
  </si>
  <si>
    <t>医療法人仁光会 シマダ歯科クリニック</t>
  </si>
  <si>
    <t>元町歯科医院</t>
  </si>
  <si>
    <t>クローバーこども歯科</t>
  </si>
  <si>
    <t>しらいし歯科クリニック</t>
  </si>
  <si>
    <t>白岩歯科医院</t>
  </si>
  <si>
    <t>医療法人財団ノーベルﾉｰﾍﾞﾙﾃﾞﾝﾀﾙｸﾘﾆｯｸ</t>
  </si>
  <si>
    <t>白田歯科医院</t>
  </si>
  <si>
    <t>白根歯科医院</t>
  </si>
  <si>
    <t>八木歯科医院</t>
  </si>
  <si>
    <t>医療法人社団健歯会 杉澤歯科</t>
  </si>
  <si>
    <t>医療法人社団健歯会 杉澤歯科クリニック</t>
  </si>
  <si>
    <t>杉田歯科医院</t>
  </si>
  <si>
    <t>鈴木けいた歯科医院</t>
  </si>
  <si>
    <t>磯部歯科医院</t>
  </si>
  <si>
    <t>医大前歯科診療所</t>
  </si>
  <si>
    <t>井立歯科</t>
  </si>
  <si>
    <t>いたつデンタルクリニック</t>
  </si>
  <si>
    <t>医療法人社団 市川歯科医院</t>
  </si>
  <si>
    <t>小関歯科医院</t>
  </si>
  <si>
    <t>医療法人 こだま歯科医院</t>
  </si>
  <si>
    <t>こつぼ歯科</t>
  </si>
  <si>
    <t>後藤歯科医院</t>
  </si>
  <si>
    <t>長町歯科クリニック</t>
  </si>
  <si>
    <t>医療法人社団健幸会 木庭歯科小児歯科医院</t>
  </si>
  <si>
    <t>医療法人社団淡光会 小嶺歯科医院</t>
  </si>
  <si>
    <t>小山歯科医院</t>
  </si>
  <si>
    <t>是川歯科クリニック</t>
  </si>
  <si>
    <t>今歯科医院</t>
  </si>
  <si>
    <t>栄ガスビル三宅デンタルオフィス</t>
  </si>
  <si>
    <t>医療法人臨生会 吉田歯科分院</t>
  </si>
  <si>
    <t>さかき歯科医院</t>
  </si>
  <si>
    <t>医療法人坂口会 坂口歯科こども歯科</t>
  </si>
  <si>
    <t>医療法人福歯会　こうち歯科</t>
  </si>
  <si>
    <t>森本歯科医院</t>
  </si>
  <si>
    <t>ふるの歯科医院</t>
  </si>
  <si>
    <t>佐々木歯科診療所</t>
  </si>
  <si>
    <t>ささき歯科・小児歯科</t>
  </si>
  <si>
    <t>医療法人社団 笹原歯科医院</t>
  </si>
  <si>
    <t>佐竹歯科</t>
  </si>
  <si>
    <t>医療法人 佐藤たもつ歯科医院</t>
  </si>
  <si>
    <t>のぶデンタルクリニック</t>
  </si>
  <si>
    <t>歯科ワタナベ医院</t>
  </si>
  <si>
    <t>嶋村歯科医院</t>
  </si>
  <si>
    <t>医療法人社団宏歯会 しみず歯科クリニック</t>
  </si>
  <si>
    <t>庄内こどもの歯科</t>
  </si>
  <si>
    <t>医療法人社団 藤田歯科医院</t>
  </si>
  <si>
    <t>医療法人わはは会スマイリー歯科</t>
  </si>
  <si>
    <t>浅香歯科口腔外科医院</t>
  </si>
  <si>
    <t>唐鎌歯科医院</t>
  </si>
  <si>
    <t>刈部歯科</t>
  </si>
  <si>
    <t>菅デンタルクリニック</t>
  </si>
  <si>
    <t>きが歯科医院</t>
  </si>
  <si>
    <t>医療法人 菊地歯科クリニック</t>
  </si>
  <si>
    <t>きくち歯科クリニック</t>
  </si>
  <si>
    <t>キフネ歯科</t>
  </si>
  <si>
    <t>きむら歯科医院</t>
  </si>
  <si>
    <t>医療法人 育栄会 木本歯科クリニック</t>
  </si>
  <si>
    <t>医療法人社団 久保歯科医院</t>
  </si>
  <si>
    <t>窪田歯科医院</t>
  </si>
  <si>
    <t>ひろ歯科クリニック</t>
  </si>
  <si>
    <t>医療法人社団慶山会 熊切歯科医院</t>
  </si>
  <si>
    <t>くりはら歯科クリニック</t>
  </si>
  <si>
    <t>黒岩歯科医院</t>
  </si>
  <si>
    <t>黒田歯科医院</t>
  </si>
  <si>
    <t>桑原歯科医院</t>
  </si>
  <si>
    <t>医療法人　健歯会　子飼歯科</t>
  </si>
  <si>
    <t>コガイ歯科医院</t>
  </si>
  <si>
    <t>小島歯科医院</t>
  </si>
  <si>
    <t>APPLAUSE愛歯やまだ歯科</t>
  </si>
  <si>
    <t>小林歯科</t>
  </si>
  <si>
    <t>こばやし歯科医院</t>
  </si>
  <si>
    <t>くりの木歯科</t>
  </si>
  <si>
    <t>小林歯科医院</t>
  </si>
  <si>
    <t>医療法人社団 小林歯科医院</t>
  </si>
  <si>
    <t>大嶋歯科医院</t>
  </si>
  <si>
    <t>トミザワ歯科クリニック</t>
  </si>
  <si>
    <t>医療法人 伊藤歯科医院</t>
  </si>
  <si>
    <t>太田歯科医院</t>
  </si>
  <si>
    <t>稲葉歯科医院</t>
  </si>
  <si>
    <t>医療法人社団マリオン　マリオン歯科</t>
  </si>
  <si>
    <t>鹿嶋歯科医院</t>
  </si>
  <si>
    <t>医療法人社団水野デンタルクリニック</t>
  </si>
  <si>
    <t>医療法人ふたば会　てらしま歯科医院</t>
  </si>
  <si>
    <t>医療法人Good Smiles鹿島デンタルオフィス</t>
  </si>
  <si>
    <t>高槻ステーション歯科</t>
  </si>
  <si>
    <t>カズ・デンタルクリニック</t>
  </si>
  <si>
    <t>かつみ歯科医院</t>
  </si>
  <si>
    <t>医療法人 かつらぎ歯科医院</t>
  </si>
  <si>
    <t>藤井かおる歯科医院</t>
  </si>
  <si>
    <t>神垣歯科医院</t>
  </si>
  <si>
    <t>神山歯科医院</t>
  </si>
  <si>
    <t>川田歯科医院</t>
  </si>
  <si>
    <t>かわつる歯科医院</t>
  </si>
  <si>
    <t>かわな歯科矯正クリニック</t>
  </si>
  <si>
    <t>河原歯科医院</t>
  </si>
  <si>
    <t>医療法人 川平デンタルクリニック</t>
  </si>
  <si>
    <t>川南歯科医院</t>
  </si>
  <si>
    <t>河村歯科</t>
  </si>
  <si>
    <t>神沢歯科医院</t>
  </si>
  <si>
    <t>北野歯科医院</t>
  </si>
  <si>
    <t>きたばたけ歯科医院</t>
  </si>
  <si>
    <t>きりがや歯科医院</t>
  </si>
  <si>
    <t>草壁歯科クリニック</t>
  </si>
  <si>
    <t>草津たかはし歯科医院</t>
  </si>
  <si>
    <t>医療法人 くずや歯科</t>
  </si>
  <si>
    <t>医療法人瑞雲会 工藤歯科医院</t>
  </si>
  <si>
    <t>くらた歯科医院</t>
  </si>
  <si>
    <t>医療法人 くらのうえ市丸歯科</t>
  </si>
  <si>
    <t>倉林医院歯科</t>
  </si>
  <si>
    <t>湯田歯科医院</t>
  </si>
  <si>
    <t>医療法人グリーン歯科 グリーン歯科医院</t>
  </si>
  <si>
    <t>医療法人 グリーン歯科クリニック</t>
  </si>
  <si>
    <t>医療法人 小泉歯科医院</t>
  </si>
  <si>
    <t>こいで歯科医院</t>
  </si>
  <si>
    <t>医療法人社団剛純会 こいの歯科</t>
  </si>
  <si>
    <t>小岩井歯科</t>
  </si>
  <si>
    <t>こいわ歯科医院</t>
  </si>
  <si>
    <t>郷家歯科医院</t>
  </si>
  <si>
    <t>井比歯科医院</t>
  </si>
  <si>
    <t>医療法人社団いわはら歯科</t>
  </si>
  <si>
    <t>いわぶち歯科クリニック</t>
  </si>
  <si>
    <t>医療法人社団光進会　うすい歯科医院</t>
  </si>
  <si>
    <t>ふなき歯科</t>
  </si>
  <si>
    <t>安代歯科</t>
  </si>
  <si>
    <t>やまだ歯科</t>
  </si>
  <si>
    <t>美しが丘歯科クリニック</t>
  </si>
  <si>
    <t>医療法人社団 汐見台歯科</t>
  </si>
  <si>
    <t>こいけ歯科医院</t>
  </si>
  <si>
    <t>瓜生歯科医院</t>
  </si>
  <si>
    <t>医療法人 足立歯科医院</t>
  </si>
  <si>
    <t>大畑歯科医院</t>
  </si>
  <si>
    <t>大淵歯科医院</t>
  </si>
  <si>
    <t>おおもり歯科医院</t>
  </si>
  <si>
    <t>おいかわ歯科医院</t>
  </si>
  <si>
    <t>大川歯科医院</t>
  </si>
  <si>
    <t>オオタ歯科医院</t>
  </si>
  <si>
    <t>医療法人敬信会 太田歯科診療所</t>
  </si>
  <si>
    <t>大谷歯科クリニック</t>
  </si>
  <si>
    <t>医療法人社団 happy teeth中目黒歯科医院</t>
  </si>
  <si>
    <t>おおつ歯科クリニック</t>
  </si>
  <si>
    <t>おおるいデンタルクリニック</t>
  </si>
  <si>
    <t>医療法人社団Smile Products小笠原歯科医院</t>
  </si>
  <si>
    <t>医療法人春日会 小川歯科医院</t>
  </si>
  <si>
    <t>おがわ歯科クリニック</t>
  </si>
  <si>
    <t>島津歯科医院</t>
  </si>
  <si>
    <t>さくらみち歯科クリニック</t>
  </si>
  <si>
    <t>尾﨑歯科医院</t>
  </si>
  <si>
    <t>医療法人社団 かなもり歯科医院</t>
  </si>
  <si>
    <t>医療法人社団 かなやま歯科クリニック</t>
  </si>
  <si>
    <t>医療法人英真会 金子歯科医院</t>
  </si>
  <si>
    <t>Mika BeautyDental Clinic</t>
  </si>
  <si>
    <t>かじた歯科</t>
  </si>
  <si>
    <t>医療法人社団栄恵会かつらぎ歯科クリニック</t>
  </si>
  <si>
    <t>医療法人麗歯会 加藤歯科医院</t>
  </si>
  <si>
    <t>医療法人社団　刀根歯科医院</t>
  </si>
  <si>
    <t>かとう歯科医院</t>
  </si>
  <si>
    <t>医療法人澄和会 加藤歯科医院</t>
  </si>
  <si>
    <t>かとう歯科クリニック</t>
  </si>
  <si>
    <t>金子歯科クリニック</t>
  </si>
  <si>
    <t>過能歯科医院</t>
  </si>
  <si>
    <t>植西第二歯科</t>
  </si>
  <si>
    <t>うえは歯科医院</t>
  </si>
  <si>
    <t>志賀歯科医院</t>
  </si>
  <si>
    <t>駅前佐藤歯科医院</t>
  </si>
  <si>
    <t>藤谷歯科</t>
  </si>
  <si>
    <t>医療法人 海老名歯科医院</t>
  </si>
  <si>
    <t>折笠歯科医院</t>
  </si>
  <si>
    <t>医療法人優愛会須沢歯科・矯正歯科</t>
  </si>
  <si>
    <t>津守歯科クリニック</t>
  </si>
  <si>
    <t>大澤一茂歯科医院</t>
  </si>
  <si>
    <t>医療法人mirai さいわいデンタルクリニック</t>
  </si>
  <si>
    <t>ますだ歯科クリニック</t>
  </si>
  <si>
    <t>岡田歯科医院</t>
  </si>
  <si>
    <t>尾形歯科医院</t>
  </si>
  <si>
    <t>岡野歯科医院</t>
  </si>
  <si>
    <t>丘のまち歯科クリニック</t>
  </si>
  <si>
    <t>おざわ歯科医院</t>
  </si>
  <si>
    <t>小高歯科</t>
  </si>
  <si>
    <t>医療法人おの歯科医院</t>
  </si>
  <si>
    <t>小野歯科医院</t>
  </si>
  <si>
    <t>宍戸歯科医院</t>
  </si>
  <si>
    <t>ひだまり歯科医院</t>
  </si>
  <si>
    <t>いけだ歯科クリニック</t>
  </si>
  <si>
    <t>つつじがおか歯科・矯正歯科</t>
  </si>
  <si>
    <t>医療法人みづき会 くじ歯科</t>
  </si>
  <si>
    <t>ア歯科亀井診療所</t>
  </si>
  <si>
    <t>あいタウン歯科クリニック</t>
  </si>
  <si>
    <t>たじま歯科医院</t>
  </si>
  <si>
    <t>医療法人社団足羽会 松川歯科医院</t>
  </si>
  <si>
    <t>岩佐歯科医院</t>
  </si>
  <si>
    <t>速水歯科医院</t>
  </si>
  <si>
    <t>ひびの歯科医院</t>
  </si>
  <si>
    <t>しまだ歯科クリニック</t>
  </si>
  <si>
    <t>大手町歯科医院</t>
  </si>
  <si>
    <t>新井歯科クリニック</t>
  </si>
  <si>
    <t>医療法人社団碧心堂やすふみ歯科クリニック</t>
  </si>
  <si>
    <t>杜の歯科クリニック</t>
  </si>
  <si>
    <t>佐々木ファミリー歯科</t>
  </si>
  <si>
    <t>医療法人雄成会ねざめ歯科矯正歯科</t>
  </si>
  <si>
    <t>クロカワ歯科</t>
  </si>
  <si>
    <t>医療法人社団 はぎわら歯科医院</t>
  </si>
  <si>
    <t>盆栽町歯いしゃ</t>
  </si>
  <si>
    <t>御任歯科医院</t>
  </si>
  <si>
    <t>福地歯科医院</t>
  </si>
  <si>
    <t>ファミリー歯科</t>
  </si>
  <si>
    <t>松ケ丘歯科医院</t>
  </si>
  <si>
    <t>玉置歯科医院</t>
  </si>
  <si>
    <t>フリージア歯科クリニックオリックス本町ビル院</t>
  </si>
  <si>
    <t>若山順デンタルクリニック</t>
  </si>
  <si>
    <t>目黒歯科クリニック</t>
  </si>
  <si>
    <t>朝霞本町ファースト歯科</t>
  </si>
  <si>
    <t>たかだ歯科医院</t>
  </si>
  <si>
    <t>歯科たなかクリニック</t>
  </si>
  <si>
    <t>馬杉歯科医院</t>
  </si>
  <si>
    <t>医療法人社団幸之会 あべ歯科クリニック</t>
  </si>
  <si>
    <t>医療法人社団育成会 中央歯科クリニック</t>
  </si>
  <si>
    <t>医療法人永友会 堀内歯科</t>
  </si>
  <si>
    <t>ひぐち歯科医院</t>
  </si>
  <si>
    <t>医療法人社団尚知会いちょう通り歯科</t>
  </si>
  <si>
    <t>西の原歯科医院</t>
  </si>
  <si>
    <t>医療法人社団 岡本歯科医院</t>
  </si>
  <si>
    <t>池村歯科医院</t>
  </si>
  <si>
    <t>コスモ歯科クリニック</t>
  </si>
  <si>
    <t>藤井歯科医院新戸町診療所</t>
  </si>
  <si>
    <t>髙成田歯科医院</t>
  </si>
  <si>
    <t>もとき歯科医院</t>
  </si>
  <si>
    <t>つづき歯科クリニック</t>
  </si>
  <si>
    <t>岸歯科医院</t>
  </si>
  <si>
    <t>医療法人社団翠清会　小野歯科医院</t>
  </si>
  <si>
    <t>中江デンタルクリニック</t>
  </si>
  <si>
    <t>渋谷歯科医院</t>
  </si>
  <si>
    <t>医療法人ホワイト 大成歯科クリニック</t>
  </si>
  <si>
    <t>松原歯科医院</t>
  </si>
  <si>
    <t>医療法人陌仁会 森川歯科医院</t>
  </si>
  <si>
    <t>かえで歯科</t>
  </si>
  <si>
    <t>医療法人社団清和会 井上歯科医院</t>
  </si>
  <si>
    <t>はら歯科医院</t>
  </si>
  <si>
    <t>かこまち歯科医院</t>
  </si>
  <si>
    <t>うりゅう歯科医院</t>
  </si>
  <si>
    <t>泉歯科</t>
  </si>
  <si>
    <t>医療法人社団 奎林会 光林堂歯科医院</t>
  </si>
  <si>
    <t>ABC歯科クリニック 茅ヶ崎</t>
  </si>
  <si>
    <t>医療法人社団 新聖会 高木歯科クリニック</t>
  </si>
  <si>
    <t>医療法人ﾉﾌﾞﾚｽ・ｵﾌﾞﾘｰｼﾞｭ住井歯科・矯正歯科</t>
  </si>
  <si>
    <t>医療法人社団蒼天会しおさい歯科クリニック</t>
  </si>
  <si>
    <t>向井歯科医院</t>
  </si>
  <si>
    <t>赤松歯科医院</t>
  </si>
  <si>
    <t>ならもと歯科医院</t>
  </si>
  <si>
    <t>コンドウ歯科</t>
  </si>
  <si>
    <t>たなか歯科</t>
  </si>
  <si>
    <t>さくらい歯科クリニック</t>
  </si>
  <si>
    <t>医療法人 宮田歯科医院</t>
  </si>
  <si>
    <t>スコーネデンタルオフィス</t>
  </si>
  <si>
    <t>シラオカデンタルクリニック</t>
  </si>
  <si>
    <t>アルスデンタルクリニック</t>
  </si>
  <si>
    <t>はじめ歯科クリニック</t>
  </si>
  <si>
    <t>医療法人社団ソラフィー 安木歯科医院</t>
  </si>
  <si>
    <t>デュオ歯科医院</t>
  </si>
  <si>
    <t>しのだ歯科医院</t>
  </si>
  <si>
    <t>おおはら歯科医院</t>
  </si>
  <si>
    <t>かずさ歯科クリニック</t>
  </si>
  <si>
    <t>そのみ歯科医院</t>
  </si>
  <si>
    <t>大網ステーション歯科クリニック</t>
  </si>
  <si>
    <t>なかの歯科</t>
  </si>
  <si>
    <t>医療法人名成会　名和歯科医院</t>
  </si>
  <si>
    <t>医療法人社団 ササキデンタルクリニック</t>
  </si>
  <si>
    <t>にしぼり歯科医院</t>
  </si>
  <si>
    <t>医療法人 林歯科クリニック</t>
  </si>
  <si>
    <t>せいの歯科クリニック</t>
  </si>
  <si>
    <t>川南歯科クリニック</t>
  </si>
  <si>
    <t>セントラル歯科</t>
  </si>
  <si>
    <t>麻生歯科</t>
  </si>
  <si>
    <t>医療法人 かわい歯科クリニック</t>
  </si>
  <si>
    <t>向井田歯科医院</t>
  </si>
  <si>
    <t>医療法人 羽入田歯科医院</t>
  </si>
  <si>
    <t>栗林歯科医院</t>
  </si>
  <si>
    <t>医）飛翔会 Avenue DentalClinic</t>
  </si>
  <si>
    <t>ヌマタ歯科医院</t>
  </si>
  <si>
    <t>勝田台フルヤ歯科</t>
  </si>
  <si>
    <t>久米歯科医院</t>
  </si>
  <si>
    <t>こし歯科医院</t>
  </si>
  <si>
    <t>大西歯科医院</t>
  </si>
  <si>
    <t>医療法人社団里仁会　ファミリー歯科医院</t>
  </si>
  <si>
    <t>古川歯科医院</t>
  </si>
  <si>
    <t>医療法人 さとう歯科医院</t>
  </si>
  <si>
    <t>医療法人社団誠歯会 藤井歯科浜町診療所</t>
  </si>
  <si>
    <t>そが歯科クリニック</t>
  </si>
  <si>
    <t>黒河歯科医院</t>
  </si>
  <si>
    <t>医療法人社団志由会　マイ歯科医院</t>
  </si>
  <si>
    <t>朝倉デンタルクリニック</t>
  </si>
  <si>
    <t>医療法人大原会 大原歯科医院</t>
  </si>
  <si>
    <t>茂木歯科クリニック</t>
  </si>
  <si>
    <t>医療法人椿会　里見歯科医院</t>
  </si>
  <si>
    <t>医療法人 そめじ歯科医院</t>
  </si>
  <si>
    <t>うらた歯科医院</t>
  </si>
  <si>
    <t>こだま歯科医院</t>
  </si>
  <si>
    <t>西宮歯科医院</t>
  </si>
  <si>
    <t>医療法人恵希会　やまざき歯科医院</t>
  </si>
  <si>
    <t>天栄歯科医院</t>
  </si>
  <si>
    <t>駅前ときわ歯科</t>
  </si>
  <si>
    <t>医療法人聖美会 松丸歯科・矯正歯科蓮田椿山クリニック</t>
  </si>
  <si>
    <t>畑岡歯科医院</t>
  </si>
  <si>
    <t>医療法人IDC いぶき歯科医院</t>
  </si>
  <si>
    <t>つかさ歯科医院</t>
  </si>
  <si>
    <t>医療法人社団大協組 品川シーサイド歯科</t>
  </si>
  <si>
    <t>谷歯科医院</t>
  </si>
  <si>
    <t>なんば歯科矯正歯科</t>
  </si>
  <si>
    <t>医療法人皓雄会 北山歯科クリニック</t>
  </si>
  <si>
    <t>ナンバ歯科医院</t>
  </si>
  <si>
    <t>あらい歯科医院</t>
  </si>
  <si>
    <t>医療法人社団新風会 佐伯歯科</t>
  </si>
  <si>
    <t>あだち歯科クリニック</t>
  </si>
  <si>
    <t>竹森歯科クリニック</t>
  </si>
  <si>
    <t>いしかわ歯科・矯正歯科</t>
  </si>
  <si>
    <t>井阪歯科診療所</t>
  </si>
  <si>
    <t>山梨県歯科医師会 山梨口腔保健センター</t>
  </si>
  <si>
    <t>ほんざわ歯科医院</t>
  </si>
  <si>
    <t>せき歯科クリニック</t>
  </si>
  <si>
    <t>アーバン歯科</t>
  </si>
  <si>
    <t>古江東歯科ｸﾘﾆｯｸ</t>
  </si>
  <si>
    <t>医療法人 もりた歯科医院</t>
  </si>
  <si>
    <t>綿谷歯科クリニック</t>
  </si>
  <si>
    <t>当別駅前ｸﾘﾆｯｸ 田西歯科</t>
  </si>
  <si>
    <t>大山歯科医院</t>
  </si>
  <si>
    <t>医療法人社団大地 自由が丘かなざわ歯科医院</t>
  </si>
  <si>
    <t>医療法人社団有貴会 歌野原歯科</t>
  </si>
  <si>
    <t>かめいどファミリー歯科</t>
  </si>
  <si>
    <t>医療法人社団彩清会 いがり歯科医院</t>
  </si>
  <si>
    <t>オレンジ小児歯科</t>
  </si>
  <si>
    <t>まつなり歯科医院</t>
  </si>
  <si>
    <t>植田歯科医院</t>
  </si>
  <si>
    <t>宮原歯科医院</t>
  </si>
  <si>
    <t>デンタルオフィス聖橋</t>
  </si>
  <si>
    <t>わかば歯科医院</t>
  </si>
  <si>
    <t>ラスュレみえの歯科</t>
  </si>
  <si>
    <t>やまもと歯科</t>
  </si>
  <si>
    <t>やまざき歯科クリニック</t>
  </si>
  <si>
    <t>医療法人社団 聖護院やぎ歯科クリニック</t>
  </si>
  <si>
    <t>杉浦歯科医院</t>
  </si>
  <si>
    <t>医療法人社団剛裕会 須田外科・歯科医院</t>
  </si>
  <si>
    <t>医療法人孔永会コウ歯科クリニック</t>
  </si>
  <si>
    <t>とりごえ歯科</t>
  </si>
  <si>
    <t>あおやま歯科</t>
  </si>
  <si>
    <t>上栗歯科</t>
  </si>
  <si>
    <t>医療法人社団泉栄会 宮内歯科医院</t>
  </si>
  <si>
    <t>もりもと歯科クリニック</t>
  </si>
  <si>
    <t>うまほり西田歯科医院</t>
  </si>
  <si>
    <t>医療法人仁誠会 あっぷる歯科医院</t>
  </si>
  <si>
    <t>ドリーム鈴木歯科医院</t>
  </si>
  <si>
    <t>医療法人社団　義生会　おの歯科クリニック</t>
  </si>
  <si>
    <t>樋口歯科医院</t>
  </si>
  <si>
    <t>医療法人弓弦会 しろくま歯科医院</t>
  </si>
  <si>
    <t>医療法人社団歯英会　ひがし歯科クリニック</t>
  </si>
  <si>
    <t>医）新聖会 けやき台歯科クリニック</t>
  </si>
  <si>
    <t>さかい歯科</t>
  </si>
  <si>
    <t>あんべ歯科医院</t>
  </si>
  <si>
    <t>うつぶき歯科クリニック</t>
  </si>
  <si>
    <t>室町歯科クリニック</t>
  </si>
  <si>
    <t>さつきデンタルクリニック</t>
  </si>
  <si>
    <t>植松歯科医院</t>
  </si>
  <si>
    <t>河野歯科医院</t>
  </si>
  <si>
    <t>リップル歯科クリニック</t>
  </si>
  <si>
    <t>ひさのデンタルクリニック</t>
  </si>
  <si>
    <t>医療法人　石田おさむ歯科医院</t>
  </si>
  <si>
    <t>あすかい歯科医院</t>
  </si>
  <si>
    <t>根岸歯科医院</t>
  </si>
  <si>
    <t>やまうち歯科</t>
  </si>
  <si>
    <t>きしもと歯科</t>
  </si>
  <si>
    <t>ふじさわ歯科</t>
  </si>
  <si>
    <t>高本歯科医院</t>
  </si>
  <si>
    <t>沢田歯科医院</t>
  </si>
  <si>
    <t>村岡歯科</t>
  </si>
  <si>
    <t>医療法人怜心会 中田だいすけ歯科</t>
  </si>
  <si>
    <t>医療法人 すえなが歯科医院</t>
  </si>
  <si>
    <t>純歯科医院</t>
  </si>
  <si>
    <t>小泉歯科医院</t>
  </si>
  <si>
    <t>医療法人社団　ふたみ歯科</t>
  </si>
  <si>
    <t>さいとう歯科クリニック</t>
  </si>
  <si>
    <t>北橘歯科診療所</t>
  </si>
  <si>
    <t>河合歯科医院</t>
  </si>
  <si>
    <t>本郷四丁目歯科</t>
  </si>
  <si>
    <t>独立行政法人国立病院機構宮崎東病院</t>
  </si>
  <si>
    <t>中西歯科</t>
  </si>
  <si>
    <t>川村歯科クリニック</t>
  </si>
  <si>
    <t>宗郷町デンタルクリニック</t>
  </si>
  <si>
    <t>ひしじま歯科医院</t>
  </si>
  <si>
    <t>安藤歯科医院</t>
  </si>
  <si>
    <t>愛川歯科医院</t>
  </si>
  <si>
    <t>医療法人社団青風会 手嶋歯科医院細江歯科診療所</t>
  </si>
  <si>
    <t>かず歯科クリニック</t>
  </si>
  <si>
    <t>多賀台歯科</t>
  </si>
  <si>
    <t>外苑歯科　藤代デンタルクリニック</t>
  </si>
  <si>
    <t>森下デンタルクリニック</t>
  </si>
  <si>
    <t>医療法人社団　真弘　星野歯科クリニック</t>
  </si>
  <si>
    <t>今野歯科クリニック</t>
  </si>
  <si>
    <t>さとこデンタルクリニック</t>
  </si>
  <si>
    <t>むかい歯科</t>
  </si>
  <si>
    <t>永井歯科医院</t>
  </si>
  <si>
    <t>山田歯科医院</t>
  </si>
  <si>
    <t>浅間口歯科クリニック</t>
  </si>
  <si>
    <t>上通り緒方歯科医院</t>
  </si>
  <si>
    <t>汐入歯科クリニック</t>
  </si>
  <si>
    <t>入沢歯科医院</t>
  </si>
  <si>
    <t>山﨑歯科医院</t>
  </si>
  <si>
    <t>半田駅前歯科</t>
  </si>
  <si>
    <t>医）篠原会 甲府脳神経外科病院歯科</t>
  </si>
  <si>
    <t>よしだ歯科</t>
  </si>
  <si>
    <t>おおいわ歯科医院</t>
  </si>
  <si>
    <t>医療法人翔歯会 翔歯科クリニック</t>
  </si>
  <si>
    <t>荒井歯科医院</t>
  </si>
  <si>
    <t>医療法人白水会 白川病院歯科</t>
  </si>
  <si>
    <t>高木歯科</t>
  </si>
  <si>
    <t>浜歯科医院</t>
  </si>
  <si>
    <t>ひらの歯科医院</t>
  </si>
  <si>
    <t>緒方歯科医院</t>
  </si>
  <si>
    <t>もりやま歯科医院</t>
  </si>
  <si>
    <t>しみず歯科</t>
  </si>
  <si>
    <t>医療法人ポライト　あい歯科矯正歯科</t>
  </si>
  <si>
    <t>医療法人健和会 マリン歯科クリニック</t>
  </si>
  <si>
    <t>ベル歯科医院</t>
  </si>
  <si>
    <t>けいとく歯科</t>
  </si>
  <si>
    <t>かしま駅前歯科クリニック</t>
  </si>
  <si>
    <t>ひろた哲哉歯科</t>
  </si>
  <si>
    <t>アイデンタルオフィス</t>
  </si>
  <si>
    <t>かわばた歯科</t>
  </si>
  <si>
    <t>医療法人銭谷歯科医院</t>
  </si>
  <si>
    <t>ひとみ歯科医院</t>
  </si>
  <si>
    <t>くが歯科医院</t>
  </si>
  <si>
    <t>医療法人社団 松本歯科医院</t>
  </si>
  <si>
    <t>いわた歯科医院</t>
  </si>
  <si>
    <t>医療法人社団 イワタ歯科医院</t>
  </si>
  <si>
    <t>医療法人社団佑拓会 もりわき歯科医院</t>
  </si>
  <si>
    <t>ささき歯科</t>
  </si>
  <si>
    <t>医療法人社団艶美会宝塚ｽﾐﾚﾃﾞﾝﾀﾙｸﾘﾆｯｸ</t>
  </si>
  <si>
    <t>医療法人社団香佑会 こえだ歯科医院</t>
  </si>
  <si>
    <t>医）敬愛会 石黒歯科・矯正歯科医院</t>
  </si>
  <si>
    <t>川越歯科医院</t>
  </si>
  <si>
    <t>医療法人社団 Good Teethおぐら歯科医院</t>
  </si>
  <si>
    <t>砂原歯科医院</t>
  </si>
  <si>
    <t>やまざき歯科</t>
  </si>
  <si>
    <t>広沢歯科医院</t>
  </si>
  <si>
    <t>Ｔ’s歯科クリニック</t>
  </si>
  <si>
    <t>よねかわ歯科医院</t>
  </si>
  <si>
    <t>医療法人社団愛清 愛生歯科</t>
  </si>
  <si>
    <t>おおた歯科・小児歯科</t>
  </si>
  <si>
    <t>藤井歯科医院</t>
  </si>
  <si>
    <t>医療法人永劫会　岡﨑歯科医院</t>
  </si>
  <si>
    <t>東浦歯科クリニック</t>
  </si>
  <si>
    <t>木下歯科クリニック</t>
  </si>
  <si>
    <t>森川歯科クリニック</t>
  </si>
  <si>
    <t>中澤歯科医院</t>
  </si>
  <si>
    <t>山下歯科医院</t>
  </si>
  <si>
    <t>並木歯科医院</t>
  </si>
  <si>
    <t>あずま歯科医院</t>
  </si>
  <si>
    <t>村川歯科</t>
  </si>
  <si>
    <t>ひのきやまデンタルクリニック</t>
  </si>
  <si>
    <t>川嶋歯科医院</t>
  </si>
  <si>
    <t>土岐歯科クリニック</t>
  </si>
  <si>
    <t>医療法人早靖会 すずらん歯科クリニック</t>
  </si>
  <si>
    <t>おおえ歯科クリニック</t>
  </si>
  <si>
    <t>多治米歯科</t>
  </si>
  <si>
    <t>へいしま歯科ファミリークリニック</t>
  </si>
  <si>
    <t>秀島歯科医院</t>
  </si>
  <si>
    <t>中町歯科医院</t>
  </si>
  <si>
    <t>荻原歯科医院</t>
  </si>
  <si>
    <t>平尾歯科クリニック</t>
  </si>
  <si>
    <t>医療法人陽雄会 すずたけ歯科クリニック</t>
  </si>
  <si>
    <t>まちだ歯科医院</t>
  </si>
  <si>
    <t>医療法人社団優愛会アイ歯科クリニック</t>
  </si>
  <si>
    <t>谷川歯科医院</t>
  </si>
  <si>
    <t>医）憲優会 はーとふる歯科クリニック</t>
  </si>
  <si>
    <t>医療法人社団岩田歯科医院</t>
  </si>
  <si>
    <t>医療法人財団岩尾会 東京海道病院</t>
  </si>
  <si>
    <t>住井歯科医院</t>
  </si>
  <si>
    <t>医療法人政信会 ひかわ歯科医院</t>
  </si>
  <si>
    <t>ひらた歯科クリニック</t>
  </si>
  <si>
    <t>生協さえき歯科</t>
  </si>
  <si>
    <t>あずまや歯科</t>
  </si>
  <si>
    <t>みんなの歯医者さん</t>
  </si>
  <si>
    <t>あらき歯科クリニック</t>
  </si>
  <si>
    <t>あおばデンタルクリニック</t>
  </si>
  <si>
    <t>医療法人友和会 しげた歯科・矯正歯科医院</t>
  </si>
  <si>
    <t>やまだ歯科口腔外科クリニック</t>
  </si>
  <si>
    <t>松原歯科クリニック</t>
  </si>
  <si>
    <t>医療法人真和会　まり歯科クリニック</t>
  </si>
  <si>
    <t>医療法人社団さくら会　大橋歯科医院</t>
  </si>
  <si>
    <t>立原歯科医院</t>
  </si>
  <si>
    <t>医療法人三愛会　池田記念病院　歯科</t>
  </si>
  <si>
    <t>医療法人キープトゥース　塚口むらうち歯科・矯正歯科</t>
  </si>
  <si>
    <t>小川歯科医院</t>
  </si>
  <si>
    <t>今泉歯科診療院</t>
  </si>
  <si>
    <t>まえだファミリー歯科</t>
  </si>
  <si>
    <t>かみおか歯科</t>
  </si>
  <si>
    <t>西小岩歯科クリニック</t>
  </si>
  <si>
    <t>西谷歯科クリニック</t>
  </si>
  <si>
    <t>井芹歯科医院</t>
  </si>
  <si>
    <t>さくら矯正歯科クリニック</t>
  </si>
  <si>
    <t>にしかわ歯科</t>
  </si>
  <si>
    <t>長澤歯科</t>
  </si>
  <si>
    <t>医療法人社団 しげしたデンタルクリニック</t>
  </si>
  <si>
    <t>あーる歯科クリニック</t>
  </si>
  <si>
    <t>今村歯科医院</t>
  </si>
  <si>
    <t>青砥歯科医院</t>
  </si>
  <si>
    <t>しもふさクリニック</t>
  </si>
  <si>
    <t>大元歯科医院</t>
  </si>
  <si>
    <t>医療法人幸　秋尾歯科</t>
  </si>
  <si>
    <t>医療法人徳心会 いじり歯科</t>
  </si>
  <si>
    <t>きくち歯科医院</t>
  </si>
  <si>
    <t>奄美市住用国民健康保険診療所</t>
  </si>
  <si>
    <t>しほデンタルクリニック</t>
  </si>
  <si>
    <t>本田歯科医院</t>
  </si>
  <si>
    <t>北柏リハビリ総合病院　歯科</t>
  </si>
  <si>
    <t>医療法人青陵会 大谷歯科医院</t>
  </si>
  <si>
    <t>あらか歯科クリニック</t>
  </si>
  <si>
    <t>ひらい歯科クリニック</t>
  </si>
  <si>
    <t>医療法人　双友会　双木歯科医院</t>
  </si>
  <si>
    <t>コザコ歯科医院</t>
  </si>
  <si>
    <t>ふかざわ歯科クリニック</t>
  </si>
  <si>
    <t>タハラデンタルクリニック</t>
  </si>
  <si>
    <t>吉田歯科クリニック</t>
  </si>
  <si>
    <t>医療法人社団 竹中歯科クリニック</t>
  </si>
  <si>
    <t>東北平田歯科医院</t>
  </si>
  <si>
    <t>高花平デンタルクリニック</t>
  </si>
  <si>
    <t>かよ歯科クリニック</t>
  </si>
  <si>
    <t>医療法人社団デンタルユニオン 渡辺通歯科</t>
  </si>
  <si>
    <t>ひまわり歯科クリニック</t>
  </si>
  <si>
    <t>そのだ歯科クリニック</t>
  </si>
  <si>
    <t>医療法人社団仁永会 高円寺デンタルクリニック</t>
  </si>
  <si>
    <t>なつやま歯科クリニック</t>
  </si>
  <si>
    <t>いたや歯科医院</t>
  </si>
  <si>
    <t>医療法人　一文橋歯科</t>
  </si>
  <si>
    <t>おの歯科医院</t>
  </si>
  <si>
    <t>にしくぼ歯科医院</t>
  </si>
  <si>
    <t>医療法人佳光会ひろ歯科クリニック</t>
  </si>
  <si>
    <t>みしま歯科医院</t>
  </si>
  <si>
    <t>歯科すやま</t>
  </si>
  <si>
    <t>医療法人社団竹早会 鍋山歯科クリニック</t>
  </si>
  <si>
    <t>加藤歯科クリニック</t>
  </si>
  <si>
    <t>医療法人 川井歯科</t>
  </si>
  <si>
    <t>医療法人 片渕歯科</t>
  </si>
  <si>
    <t>紋別市立上渚滑歯科診療所</t>
  </si>
  <si>
    <t>医療法人藤朋会 川角歯科医院</t>
  </si>
  <si>
    <t>秋葉山デンタルオフィス</t>
  </si>
  <si>
    <t>あつさか歯科クリニック</t>
  </si>
  <si>
    <t>医療法人 平山デンタルクリニック</t>
  </si>
  <si>
    <t>医療法人社団 敬和会 南ときわ台歯科</t>
  </si>
  <si>
    <t>医療法人巨匠会 たくみ歯科</t>
  </si>
  <si>
    <t>医療法人森川歯科八尾本町診療所</t>
  </si>
  <si>
    <t>古賀天神歯科クリニック・えがおこども歯科</t>
  </si>
  <si>
    <t>医療法人社団　一瀬歯科医院</t>
  </si>
  <si>
    <t>野村歯科医院</t>
  </si>
  <si>
    <t>医療法人社団 happy teethﾋﾙｽﾞﾃﾞﾝﾀﾙｸﾘﾆｯｸ</t>
  </si>
  <si>
    <t>医療法人豊和会　久住加藤医院</t>
  </si>
  <si>
    <t>吉岡天皇寺歯科クリニック</t>
  </si>
  <si>
    <t>医療法人 吉田歯科クリニック</t>
  </si>
  <si>
    <t>医療法人社団きょうどうきょうどう歯科新八柱</t>
  </si>
  <si>
    <t>ふくち歯科</t>
  </si>
  <si>
    <t>医療法人賢山会 しまだ歯科クリニック</t>
  </si>
  <si>
    <t>髙木歯科</t>
  </si>
  <si>
    <t>コル歯科診療室</t>
  </si>
  <si>
    <t>みやこ歯科</t>
  </si>
  <si>
    <t>いずみ歯科医院</t>
  </si>
  <si>
    <t>医療法人朋優会Ｕデンタルオフィス</t>
  </si>
  <si>
    <t>医療法人東上会　本多まこと歯科</t>
  </si>
  <si>
    <t>医療法人社団因幡会ﾌﾟﾗﾑｼﾃｨ武蔵浦和歯科ｸﾘﾆｯｸ</t>
  </si>
  <si>
    <t>いりえ歯科口腔外科クリニック</t>
  </si>
  <si>
    <t>吉川歯科クリニック</t>
  </si>
  <si>
    <t>明本歯科医院</t>
  </si>
  <si>
    <t>医療法人竹伸会　こたけ歯科クリニック</t>
  </si>
  <si>
    <t>宮腰歯科医院</t>
  </si>
  <si>
    <t>たんの歯科クリニック</t>
  </si>
  <si>
    <t>大石歯科医院</t>
  </si>
  <si>
    <t>スマイルデンタルクリニック</t>
  </si>
  <si>
    <t>垣内歯科クリニック</t>
  </si>
  <si>
    <t>平和歯科クリニック</t>
  </si>
  <si>
    <t>谷内歯科医院</t>
  </si>
  <si>
    <t>アポロニア歯科クリニック</t>
  </si>
  <si>
    <t>おおしま歯科</t>
  </si>
  <si>
    <t>糟谷歯科医院</t>
  </si>
  <si>
    <t>冨永歯科医院</t>
  </si>
  <si>
    <t>しんやデンタルクリニック</t>
  </si>
  <si>
    <t>旭ヶ丘歯科医院</t>
  </si>
  <si>
    <t>ワイズデンタルクリニック</t>
  </si>
  <si>
    <t>いぬい歯科医院</t>
  </si>
  <si>
    <t>桑鶴歯科医院</t>
  </si>
  <si>
    <t>山下歯科クリニック</t>
  </si>
  <si>
    <t>みなも歯科医院</t>
  </si>
  <si>
    <t>カスヤ歯科医院</t>
  </si>
  <si>
    <t>マハロ歯科</t>
  </si>
  <si>
    <t>栄村国民健康保険 栄村歯科診療所</t>
  </si>
  <si>
    <t>柳町歯科医院</t>
  </si>
  <si>
    <t>医）青葉済生会　ｾﾝﾄﾏｰｸｽ歯科</t>
  </si>
  <si>
    <t>医療法人 吉田歯科医院</t>
  </si>
  <si>
    <t>掛貝歯科医院</t>
  </si>
  <si>
    <t>楢原クローバー歯科</t>
  </si>
  <si>
    <t>医療法人 まつい歯科クリニック</t>
  </si>
  <si>
    <t>タケダ歯科</t>
  </si>
  <si>
    <t>医療法人社団弘誠会 サンシャイン歯科</t>
  </si>
  <si>
    <t>桑名歯科クリニック</t>
  </si>
  <si>
    <t>にしお歯科こども歯科</t>
  </si>
  <si>
    <t>医療法人愛幸会 天仁病院</t>
  </si>
  <si>
    <t>ほほえみ歯科</t>
  </si>
  <si>
    <t>宮澤歯科医院</t>
  </si>
  <si>
    <t>たきおか歯科クリニック</t>
  </si>
  <si>
    <t>伊沢歯科医院</t>
  </si>
  <si>
    <t>一般社団法人守口市歯科医師会あおば歯科診療所</t>
  </si>
  <si>
    <t>藤本歯科医院</t>
  </si>
  <si>
    <t>医療法人社団アカシア会　タナカ歯科</t>
  </si>
  <si>
    <t>大手町野村ビルデンタルクリニック</t>
  </si>
  <si>
    <t>白石デンタルクリニック</t>
  </si>
  <si>
    <t>原歯科医院</t>
  </si>
  <si>
    <t>医療法人おぎむらおぎむら歯科・矯正歯科医院</t>
  </si>
  <si>
    <t>直江歯科医院</t>
  </si>
  <si>
    <t>高橋とも子歯科</t>
  </si>
  <si>
    <t>あしはらデンタルクリニック</t>
  </si>
  <si>
    <t>げんかい歯科医院</t>
  </si>
  <si>
    <t>医療法人社団 ユー歯科クリニック</t>
  </si>
  <si>
    <t>医療法人クオーラ じょうすい歯科クリニック</t>
  </si>
  <si>
    <t>花見ケ丘歯科</t>
  </si>
  <si>
    <t>つぐ歯科医院</t>
  </si>
  <si>
    <t>かわむら歯科</t>
  </si>
  <si>
    <t>長田歯科医院</t>
  </si>
  <si>
    <t>医療法人 優駿 ﾎﾜｲﾄｴｯｾﾝｽゆうなﾃﾞﾝﾀﾙｸﾘﾆｯｸ</t>
  </si>
  <si>
    <t>医療法人社団 宇山歯科医院</t>
  </si>
  <si>
    <t>医療法人暁星会 山本歯科医院</t>
  </si>
  <si>
    <t>医療法人社団波多野会ﾏｰﾚあきら歯科ｸﾘﾆｯｸ</t>
  </si>
  <si>
    <t>医療法人Love&amp;Beautyハピカ歯科</t>
  </si>
  <si>
    <t>岡村デンタルクリニック</t>
  </si>
  <si>
    <t>医療法人優志会 ふくだ歯科クリニック</t>
  </si>
  <si>
    <t>とみたデンタルクリニック</t>
  </si>
  <si>
    <t>医療法人　竹下歯科医院</t>
  </si>
  <si>
    <t>医療法人社団　相禮会　新屋敷山下歯科・矯正歯科</t>
  </si>
  <si>
    <t>髙田歯科クリニック</t>
  </si>
  <si>
    <t>ティーアイ歯科クリニック</t>
  </si>
  <si>
    <t>医療法人社団 むらまつ歯科</t>
  </si>
  <si>
    <t>ARA Dental Office</t>
  </si>
  <si>
    <t>しずなみ歯科</t>
  </si>
  <si>
    <t>さかい歯科口腔外科医院</t>
  </si>
  <si>
    <t>ききょう歯科クリニック</t>
  </si>
  <si>
    <t>まろ歯科クリニック</t>
  </si>
  <si>
    <t>長又歯科クリニック</t>
  </si>
  <si>
    <t>医療法人社団桜優会 あさひ歯科クリニック</t>
  </si>
  <si>
    <t>医療法人　ひじい歯科医院</t>
  </si>
  <si>
    <t>嵐山通り歯科クリニック</t>
  </si>
  <si>
    <t>わたなべ歯科クリニック</t>
  </si>
  <si>
    <t>医療法人社団ODC大津ヶ丘歯科クリニック</t>
  </si>
  <si>
    <t>医療法人社団歯星会ひまわり歯科</t>
  </si>
  <si>
    <t>フラワー歯科クリニック</t>
  </si>
  <si>
    <t>大口歯科</t>
  </si>
  <si>
    <t>友枝歯科クリニック平尾</t>
  </si>
  <si>
    <t>医療法人 維新の里 のり歯科</t>
  </si>
  <si>
    <t>仙台駅前 ささき歯科クリニック</t>
  </si>
  <si>
    <t>松野歯科医院</t>
  </si>
  <si>
    <t>医療法人社団きぶし会　吉川歯科医院</t>
  </si>
  <si>
    <t>すえのぶクローバー歯科医院</t>
  </si>
  <si>
    <t>足立歯科</t>
  </si>
  <si>
    <t>久米田歯科矯正歯科医院</t>
  </si>
  <si>
    <t>たろう歯科クリニック</t>
  </si>
  <si>
    <t>医療法人 たにいし歯科クリニック</t>
  </si>
  <si>
    <t>竹田津歯科医院</t>
  </si>
  <si>
    <t>こばやし歯科</t>
  </si>
  <si>
    <t>医療法人社団 博寿会 山下歯科クリニック</t>
  </si>
  <si>
    <t>あすか台歯科クリニック</t>
  </si>
  <si>
    <t>医療法人社団進耀会下北沢せきにし歯科医院</t>
  </si>
  <si>
    <t>えりぃ歯科クリニック</t>
  </si>
  <si>
    <t>医療法人なかすじ矯正・小児歯科ｸﾘﾆｯｸ</t>
  </si>
  <si>
    <t>はなまるデンタルクリニック</t>
  </si>
  <si>
    <t>匠デンタルクリニック</t>
  </si>
  <si>
    <t>東大和てらだ歯科クリニック</t>
  </si>
  <si>
    <t>たかなし歯科クリニック</t>
  </si>
  <si>
    <t>仁木歯科クリニック</t>
  </si>
  <si>
    <t>ゆうかデンタルクリニック</t>
  </si>
  <si>
    <t>あわたぐち歯科医院</t>
  </si>
  <si>
    <t>もろおか歯科医院</t>
  </si>
  <si>
    <t>西川デンタルクリニック</t>
  </si>
  <si>
    <t>眞武歯科医院</t>
  </si>
  <si>
    <t>あおばヒロ歯科クリニック</t>
  </si>
  <si>
    <t>かしはら歯科クリニック</t>
  </si>
  <si>
    <t>医療法人社団 河原歯科医院</t>
  </si>
  <si>
    <t>なお歯科医院</t>
  </si>
  <si>
    <t>とよざわ歯科クリニック</t>
  </si>
  <si>
    <t>大塚歯科医院</t>
  </si>
  <si>
    <t>豊デンタルクリニック</t>
  </si>
  <si>
    <t>岩田歯科クリニック</t>
  </si>
  <si>
    <t>医療法人社団彰栄会　武蔵新田まつ歯科クリニック</t>
  </si>
  <si>
    <t>くどう歯科クリニック</t>
  </si>
  <si>
    <t>田口歯科クリニック</t>
  </si>
  <si>
    <t>医療法人社団H&amp;K アリゼデンタルクリニック</t>
  </si>
  <si>
    <t>医療法人緒方会 緒方歯科医院</t>
  </si>
  <si>
    <t>ナグモ歯科医院</t>
  </si>
  <si>
    <t>しお歯科クリニック</t>
  </si>
  <si>
    <t>みかん歯科クリニック</t>
  </si>
  <si>
    <t>田川歯科クリニック</t>
  </si>
  <si>
    <t>まちの歯医者さん</t>
  </si>
  <si>
    <t>まる歯科診療所</t>
  </si>
  <si>
    <t>小北歯科クリニック</t>
  </si>
  <si>
    <t>こまつ歯科クリニック</t>
  </si>
  <si>
    <t>尾崎歯科クリニック</t>
  </si>
  <si>
    <t>医療法人ぶん歯科クリニック</t>
  </si>
  <si>
    <t>さた歯科診療所</t>
  </si>
  <si>
    <t>マリン歯科クリニック</t>
  </si>
  <si>
    <t>竹澤歯科医院</t>
  </si>
  <si>
    <t>田添歯科医院</t>
  </si>
  <si>
    <t>くさつ歯科</t>
  </si>
  <si>
    <t>美加デンタルクリニック</t>
  </si>
  <si>
    <t>かわさき歯科</t>
  </si>
  <si>
    <t>しらかば歯科</t>
  </si>
  <si>
    <t>けやき歯科・矯正歯科</t>
  </si>
  <si>
    <t>ばん歯科クリニック</t>
  </si>
  <si>
    <t>ウエノデンタルクリニック</t>
  </si>
  <si>
    <t>みなみ歯科クリニック</t>
  </si>
  <si>
    <t>溝上歯科　学研都市クリニック</t>
  </si>
  <si>
    <t>伏見リーフ歯科クリニック</t>
  </si>
  <si>
    <t>ライブヒルズ馬場歯科医院</t>
  </si>
  <si>
    <t>医療法人社団ｵｰﾗﾙｺﾐｭﾆｹｰｼｮﾝくにたち旭通り歯科</t>
  </si>
  <si>
    <t>医療法人ひらの歯科クリニック</t>
  </si>
  <si>
    <t>カズデンタルオフィス</t>
  </si>
  <si>
    <t>医療法人アサップ ひかり歯科クリニック</t>
  </si>
  <si>
    <t>医療法人社団あおば会市野歯科医院</t>
  </si>
  <si>
    <t>ひので歯科クリニック</t>
  </si>
  <si>
    <t>くり歯科クリニック</t>
  </si>
  <si>
    <t>花田歯科医院</t>
  </si>
  <si>
    <t>ノエルクリニック心臓血管外科歯科</t>
  </si>
  <si>
    <t>医療法人明和会　中島歯科医院</t>
  </si>
  <si>
    <t>鞍月デンタルクリニック</t>
  </si>
  <si>
    <t>宇美歯科医院</t>
  </si>
  <si>
    <t>仙台中央歯科医院</t>
  </si>
  <si>
    <t>医療法人慧香会 谷歯科医院</t>
  </si>
  <si>
    <t>医療法人慧香会ファミリエ歯科クリニック</t>
  </si>
  <si>
    <t>伏見歯科医院</t>
  </si>
  <si>
    <t>まつむら歯科クリニック</t>
  </si>
  <si>
    <t>戸田歯科医院</t>
  </si>
  <si>
    <t>いなぐま歯科</t>
  </si>
  <si>
    <t>医療法人社団 星美会 クローバー歯科</t>
  </si>
  <si>
    <t>あかつき歯科医院</t>
  </si>
  <si>
    <t>むらこそ歯科医院</t>
  </si>
  <si>
    <t>いのうえ歯科</t>
  </si>
  <si>
    <t>医療法人萬松会 松舘歯科医院</t>
  </si>
  <si>
    <t>ならはら歯科クリニック</t>
  </si>
  <si>
    <t>中山下歯科</t>
  </si>
  <si>
    <t>デンタルクリニック・アリス箕面</t>
  </si>
  <si>
    <t>にいつま歯科医院</t>
  </si>
  <si>
    <t>つかさ歯科クリニック</t>
  </si>
  <si>
    <t>かわい歯科クリニック</t>
  </si>
  <si>
    <t>扇が丘歯科医院</t>
  </si>
  <si>
    <t>吉武歯科クリニック</t>
  </si>
  <si>
    <t>あらた歯科</t>
  </si>
  <si>
    <t>すどう歯科医院</t>
  </si>
  <si>
    <t>いしばしまゆこ こどもDENTAL CLINIC</t>
  </si>
  <si>
    <t>ゆうだい歯科医院</t>
  </si>
  <si>
    <t>医療法人社団ｼｮｺﾗ 京成津田沼ﾊﾞﾆﾗ歯科</t>
  </si>
  <si>
    <t>オクダデンタルクリニック</t>
  </si>
  <si>
    <t>ののい歯科</t>
  </si>
  <si>
    <t>医療法人惇真会　あさの歯科クリニック</t>
  </si>
  <si>
    <t>みつ歯科クリニック</t>
  </si>
  <si>
    <t>ハートファミリー歯科 越谷</t>
  </si>
  <si>
    <t>あかつき歯科クリニック</t>
  </si>
  <si>
    <t>榊原デンタルクリニック</t>
  </si>
  <si>
    <t>宇梶歯科</t>
  </si>
  <si>
    <t>初雁歯科クリニック</t>
  </si>
  <si>
    <t>おりづ歯科</t>
  </si>
  <si>
    <t>ふきわけファミリア歯科</t>
  </si>
  <si>
    <t>たけ歯科クリニック</t>
  </si>
  <si>
    <t>明石歯科医院</t>
  </si>
  <si>
    <t>あおい歯科クリニック</t>
  </si>
  <si>
    <t>兼田歯科クリニック</t>
  </si>
  <si>
    <t>高山歯科診療所</t>
  </si>
  <si>
    <t>村松歯科診療所</t>
  </si>
  <si>
    <t>ヒカリデンタルクリニック</t>
  </si>
  <si>
    <t>八ッ田ファミリー歯科医院</t>
  </si>
  <si>
    <t>医療法人社団山優会高輪デンタルクリニック</t>
  </si>
  <si>
    <t>更新日 2021/05/20 11:05:03</t>
    <phoneticPr fontId="1"/>
  </si>
  <si>
    <t>更新日 2021/05/20 11:05:04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</si>
</sst>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#,##0_ ;[Red]\-#,##0\ "/>
  </numFmts>
  <fonts count="1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name val="メイリオ"/>
      <family val="3"/>
      <charset val="128"/>
    </font>
    <font>
      <b/>
      <sz val="11"/>
      <name val="メイリオ"/>
      <family val="3"/>
      <charset val="128"/>
    </font>
    <font>
      <b/>
      <sz val="11"/>
      <color theme="1"/>
      <name val="游ゴシック"/>
      <family val="2"/>
      <charset val="128"/>
      <scheme val="minor"/>
    </font>
    <font>
      <b/>
      <sz val="14"/>
      <color theme="1"/>
      <name val="メイリオ"/>
      <family val="3"/>
      <charset val="128"/>
    </font>
    <font>
      <sz val="6"/>
      <name val="メイリオ"/>
      <family val="2"/>
      <charset val="128"/>
    </font>
    <font>
      <sz val="10"/>
      <color theme="1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1"/>
      <color rgb="FFFF0000"/>
      <name val="メイリオ"/>
      <family val="3"/>
      <charset val="128"/>
    </font>
    <font>
      <b/>
      <sz val="11"/>
      <color rgb="FF000000"/>
      <name val="游ゴシック"/>
      <family val="3"/>
      <charset val="128"/>
    </font>
    <font>
      <b/>
      <sz val="10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2065187536243"/>
        <bgColor auto="1"/>
      </patternFill>
    </fill>
  </fills>
  <borders count="6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indexed="64"/>
      </right>
      <top style="medium">
        <color auto="1"/>
      </top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medium">
        <color indexed="64"/>
      </right>
      <top style="hair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</cellStyleXfs>
  <cellXfs count="260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4" fontId="4" fillId="0" borderId="0" xfId="0" applyNumberFormat="1" applyFont="1">
      <alignment vertical="center"/>
    </xf>
    <xf numFmtId="20" fontId="4" fillId="0" borderId="0" xfId="0" applyNumberFormat="1" applyFont="1">
      <alignment vertical="center"/>
    </xf>
    <xf numFmtId="38" fontId="4" fillId="0" borderId="0" xfId="1" applyFont="1">
      <alignment vertical="center"/>
    </xf>
    <xf numFmtId="176" fontId="4" fillId="0" borderId="0" xfId="2" applyNumberFormat="1" applyFont="1">
      <alignment vertical="center"/>
    </xf>
    <xf numFmtId="0" fontId="5" fillId="0" borderId="0" xfId="0" applyFont="1">
      <alignment vertical="center"/>
    </xf>
    <xf numFmtId="0" fontId="5" fillId="2" borderId="1" xfId="0" applyFont="1" applyFill="1" applyBorder="1">
      <alignment vertical="center"/>
    </xf>
    <xf numFmtId="0" fontId="5" fillId="2" borderId="2" xfId="0" applyFont="1" applyFill="1" applyBorder="1">
      <alignment vertical="center"/>
    </xf>
    <xf numFmtId="38" fontId="5" fillId="2" borderId="2" xfId="1" applyFont="1" applyFill="1" applyBorder="1" applyAlignment="1">
      <alignment horizontal="center" vertical="center"/>
    </xf>
    <xf numFmtId="176" fontId="5" fillId="2" borderId="2" xfId="2" applyNumberFormat="1" applyFont="1" applyFill="1" applyBorder="1" applyAlignment="1">
      <alignment horizontal="center" vertical="center"/>
    </xf>
    <xf numFmtId="38" fontId="5" fillId="2" borderId="1" xfId="1" applyFont="1" applyFill="1" applyBorder="1" applyAlignment="1">
      <alignment horizontal="center" vertical="center"/>
    </xf>
    <xf numFmtId="176" fontId="5" fillId="2" borderId="3" xfId="2" applyNumberFormat="1" applyFont="1" applyFill="1" applyBorder="1" applyAlignment="1">
      <alignment horizontal="center" vertical="center"/>
    </xf>
    <xf numFmtId="0" fontId="5" fillId="3" borderId="4" xfId="0" applyFont="1" applyFill="1" applyBorder="1">
      <alignment vertical="center"/>
    </xf>
    <xf numFmtId="0" fontId="5" fillId="3" borderId="5" xfId="0" applyFont="1" applyFill="1" applyBorder="1">
      <alignment vertical="center"/>
    </xf>
    <xf numFmtId="38" fontId="5" fillId="4" borderId="5" xfId="1" applyFont="1" applyFill="1" applyBorder="1">
      <alignment vertical="center"/>
    </xf>
    <xf numFmtId="176" fontId="5" fillId="4" borderId="5" xfId="2" applyNumberFormat="1" applyFont="1" applyFill="1" applyBorder="1">
      <alignment vertical="center"/>
    </xf>
    <xf numFmtId="38" fontId="5" fillId="4" borderId="4" xfId="1" applyFont="1" applyFill="1" applyBorder="1">
      <alignment vertical="center"/>
    </xf>
    <xf numFmtId="176" fontId="5" fillId="4" borderId="6" xfId="2" applyNumberFormat="1" applyFont="1" applyFill="1" applyBorder="1">
      <alignment vertical="center"/>
    </xf>
    <xf numFmtId="0" fontId="4" fillId="0" borderId="7" xfId="0" applyFont="1" applyBorder="1">
      <alignment vertical="center"/>
    </xf>
    <xf numFmtId="38" fontId="4" fillId="0" borderId="7" xfId="1" applyFont="1" applyBorder="1">
      <alignment vertical="center"/>
    </xf>
    <xf numFmtId="176" fontId="4" fillId="0" borderId="8" xfId="2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38" fontId="4" fillId="0" borderId="10" xfId="1" applyFont="1" applyBorder="1">
      <alignment vertical="center"/>
    </xf>
    <xf numFmtId="176" fontId="4" fillId="0" borderId="10" xfId="2" applyNumberFormat="1" applyFont="1" applyBorder="1">
      <alignment vertical="center"/>
    </xf>
    <xf numFmtId="38" fontId="4" fillId="0" borderId="9" xfId="1" applyFont="1" applyBorder="1">
      <alignment vertical="center"/>
    </xf>
    <xf numFmtId="176" fontId="4" fillId="0" borderId="11" xfId="2" applyNumberFormat="1" applyFont="1" applyBorder="1">
      <alignment vertical="center"/>
    </xf>
    <xf numFmtId="38" fontId="6" fillId="0" borderId="0" xfId="1" applyFont="1">
      <alignment vertical="center"/>
    </xf>
    <xf numFmtId="0" fontId="7" fillId="3" borderId="5" xfId="0" applyFont="1" applyFill="1" applyBorder="1">
      <alignment vertical="center"/>
    </xf>
    <xf numFmtId="0" fontId="5" fillId="5" borderId="7" xfId="0" applyFont="1" applyFill="1" applyBorder="1">
      <alignment vertical="center"/>
    </xf>
    <xf numFmtId="0" fontId="5" fillId="5" borderId="0" xfId="0" applyFont="1" applyFill="1" applyAlignment="1">
      <alignment horizontal="left" vertical="center" indent="1"/>
    </xf>
    <xf numFmtId="0" fontId="5" fillId="5" borderId="0" xfId="0" applyFont="1" applyFill="1">
      <alignment vertical="center"/>
    </xf>
    <xf numFmtId="38" fontId="5" fillId="5" borderId="0" xfId="1" applyFont="1" applyFill="1">
      <alignment vertical="center"/>
    </xf>
    <xf numFmtId="176" fontId="5" fillId="5" borderId="0" xfId="2" applyNumberFormat="1" applyFont="1" applyFill="1">
      <alignment vertical="center"/>
    </xf>
    <xf numFmtId="38" fontId="5" fillId="5" borderId="7" xfId="1" applyFont="1" applyFill="1" applyBorder="1">
      <alignment vertical="center"/>
    </xf>
    <xf numFmtId="176" fontId="5" fillId="5" borderId="8" xfId="2" applyNumberFormat="1" applyFont="1" applyFill="1" applyBorder="1">
      <alignment vertical="center"/>
    </xf>
    <xf numFmtId="0" fontId="4" fillId="0" borderId="0" xfId="0" applyFont="1" applyAlignment="1">
      <alignment horizontal="left" vertical="center" indent="1"/>
    </xf>
    <xf numFmtId="38" fontId="4" fillId="0" borderId="7" xfId="1" applyFont="1" applyBorder="1" applyAlignment="1">
      <alignment horizontal="right" vertical="center"/>
    </xf>
    <xf numFmtId="38" fontId="4" fillId="0" borderId="0" xfId="1" applyFont="1" applyAlignment="1">
      <alignment horizontal="right" vertical="center"/>
    </xf>
    <xf numFmtId="38" fontId="4" fillId="0" borderId="8" xfId="1" applyFont="1" applyBorder="1" applyAlignment="1">
      <alignment horizontal="right" vertical="center"/>
    </xf>
    <xf numFmtId="38" fontId="4" fillId="6" borderId="0" xfId="1" applyFont="1" applyFill="1">
      <alignment vertical="center"/>
    </xf>
    <xf numFmtId="176" fontId="4" fillId="6" borderId="0" xfId="2" applyNumberFormat="1" applyFont="1" applyFill="1">
      <alignment vertical="center"/>
    </xf>
    <xf numFmtId="38" fontId="4" fillId="6" borderId="7" xfId="1" applyFont="1" applyFill="1" applyBorder="1" applyAlignment="1">
      <alignment horizontal="right" vertical="center"/>
    </xf>
    <xf numFmtId="38" fontId="4" fillId="6" borderId="0" xfId="1" applyFont="1" applyFill="1" applyAlignment="1">
      <alignment horizontal="right" vertical="center"/>
    </xf>
    <xf numFmtId="176" fontId="4" fillId="6" borderId="8" xfId="2" applyNumberFormat="1" applyFont="1" applyFill="1" applyBorder="1" applyAlignment="1">
      <alignment horizontal="right" vertical="center"/>
    </xf>
    <xf numFmtId="0" fontId="4" fillId="0" borderId="10" xfId="0" applyFont="1" applyBorder="1" applyAlignment="1">
      <alignment horizontal="left" vertical="center" indent="1"/>
    </xf>
    <xf numFmtId="38" fontId="4" fillId="6" borderId="10" xfId="1" applyFont="1" applyFill="1" applyBorder="1">
      <alignment vertical="center"/>
    </xf>
    <xf numFmtId="176" fontId="4" fillId="6" borderId="10" xfId="2" applyNumberFormat="1" applyFont="1" applyFill="1" applyBorder="1">
      <alignment vertical="center"/>
    </xf>
    <xf numFmtId="38" fontId="4" fillId="6" borderId="9" xfId="1" applyFont="1" applyFill="1" applyBorder="1" applyAlignment="1">
      <alignment horizontal="right" vertical="center"/>
    </xf>
    <xf numFmtId="38" fontId="4" fillId="6" borderId="10" xfId="1" applyFont="1" applyFill="1" applyBorder="1" applyAlignment="1">
      <alignment horizontal="right" vertical="center"/>
    </xf>
    <xf numFmtId="176" fontId="4" fillId="6" borderId="11" xfId="2" applyNumberFormat="1" applyFont="1" applyFill="1" applyBorder="1" applyAlignment="1">
      <alignment horizontal="right" vertical="center"/>
    </xf>
    <xf numFmtId="0" fontId="7" fillId="3" borderId="4" xfId="0" applyFont="1" applyFill="1" applyBorder="1">
      <alignment vertical="center"/>
    </xf>
    <xf numFmtId="0" fontId="5" fillId="7" borderId="4" xfId="0" applyFont="1" applyFill="1" applyBorder="1">
      <alignment vertical="center"/>
    </xf>
    <xf numFmtId="0" fontId="5" fillId="7" borderId="5" xfId="0" applyFont="1" applyFill="1" applyBorder="1">
      <alignment vertical="center"/>
    </xf>
    <xf numFmtId="0" fontId="5" fillId="3" borderId="7" xfId="0" applyFont="1" applyFill="1" applyBorder="1">
      <alignment vertical="center"/>
    </xf>
    <xf numFmtId="0" fontId="5" fillId="3" borderId="0" xfId="0" applyFont="1" applyFill="1">
      <alignment vertical="center"/>
    </xf>
    <xf numFmtId="38" fontId="5" fillId="4" borderId="0" xfId="1" applyFont="1" applyFill="1">
      <alignment vertical="center"/>
    </xf>
    <xf numFmtId="176" fontId="5" fillId="4" borderId="0" xfId="2" applyNumberFormat="1" applyFont="1" applyFill="1">
      <alignment vertical="center"/>
    </xf>
    <xf numFmtId="0" fontId="5" fillId="4" borderId="0" xfId="0" applyFont="1" applyFill="1">
      <alignment vertical="center"/>
    </xf>
    <xf numFmtId="38" fontId="5" fillId="4" borderId="7" xfId="1" applyFont="1" applyFill="1" applyBorder="1">
      <alignment vertical="center"/>
    </xf>
    <xf numFmtId="176" fontId="5" fillId="4" borderId="8" xfId="2" applyNumberFormat="1" applyFont="1" applyFill="1" applyBorder="1">
      <alignment vertical="center"/>
    </xf>
    <xf numFmtId="0" fontId="5" fillId="8" borderId="7" xfId="0" applyFont="1" applyFill="1" applyBorder="1">
      <alignment vertical="center"/>
    </xf>
    <xf numFmtId="0" fontId="5" fillId="8" borderId="0" xfId="0" applyFont="1" applyFill="1">
      <alignment vertical="center"/>
    </xf>
    <xf numFmtId="38" fontId="5" fillId="8" borderId="0" xfId="1" applyFont="1" applyFill="1">
      <alignment vertical="center"/>
    </xf>
    <xf numFmtId="176" fontId="5" fillId="8" borderId="0" xfId="2" applyNumberFormat="1" applyFont="1" applyFill="1">
      <alignment vertical="center"/>
    </xf>
    <xf numFmtId="38" fontId="5" fillId="8" borderId="7" xfId="1" applyFont="1" applyFill="1" applyBorder="1">
      <alignment vertical="center"/>
    </xf>
    <xf numFmtId="176" fontId="5" fillId="8" borderId="8" xfId="2" applyNumberFormat="1" applyFont="1" applyFill="1" applyBorder="1">
      <alignment vertical="center"/>
    </xf>
    <xf numFmtId="0" fontId="5" fillId="4" borderId="7" xfId="0" applyFont="1" applyFill="1" applyBorder="1">
      <alignment vertical="center"/>
    </xf>
    <xf numFmtId="38" fontId="4" fillId="4" borderId="0" xfId="1" applyFont="1" applyFill="1">
      <alignment vertical="center"/>
    </xf>
    <xf numFmtId="176" fontId="4" fillId="4" borderId="0" xfId="2" applyNumberFormat="1" applyFont="1" applyFill="1">
      <alignment vertical="center"/>
    </xf>
    <xf numFmtId="38" fontId="4" fillId="4" borderId="7" xfId="1" applyFont="1" applyFill="1" applyBorder="1">
      <alignment vertical="center"/>
    </xf>
    <xf numFmtId="176" fontId="4" fillId="4" borderId="8" xfId="2" applyNumberFormat="1" applyFont="1" applyFill="1" applyBorder="1">
      <alignment vertical="center"/>
    </xf>
    <xf numFmtId="38" fontId="4" fillId="7" borderId="0" xfId="1" applyFont="1" applyFill="1">
      <alignment vertical="center"/>
    </xf>
    <xf numFmtId="176" fontId="4" fillId="7" borderId="0" xfId="2" applyNumberFormat="1" applyFont="1" applyFill="1">
      <alignment vertical="center"/>
    </xf>
    <xf numFmtId="38" fontId="5" fillId="7" borderId="0" xfId="1" applyFont="1" applyFill="1">
      <alignment vertical="center"/>
    </xf>
    <xf numFmtId="38" fontId="5" fillId="7" borderId="7" xfId="1" applyFont="1" applyFill="1" applyBorder="1">
      <alignment vertical="center"/>
    </xf>
    <xf numFmtId="0" fontId="5" fillId="8" borderId="9" xfId="0" applyFont="1" applyFill="1" applyBorder="1">
      <alignment vertical="center"/>
    </xf>
    <xf numFmtId="0" fontId="5" fillId="8" borderId="10" xfId="0" applyFont="1" applyFill="1" applyBorder="1">
      <alignment vertical="center"/>
    </xf>
    <xf numFmtId="38" fontId="5" fillId="8" borderId="10" xfId="1" applyFont="1" applyFill="1" applyBorder="1">
      <alignment vertical="center"/>
    </xf>
    <xf numFmtId="176" fontId="5" fillId="8" borderId="10" xfId="2" applyNumberFormat="1" applyFont="1" applyFill="1" applyBorder="1">
      <alignment vertical="center"/>
    </xf>
    <xf numFmtId="38" fontId="5" fillId="8" borderId="9" xfId="1" applyFont="1" applyFill="1" applyBorder="1">
      <alignment vertical="center"/>
    </xf>
    <xf numFmtId="176" fontId="5" fillId="8" borderId="11" xfId="2" applyNumberFormat="1" applyFont="1" applyFill="1" applyBorder="1">
      <alignment vertical="center"/>
    </xf>
    <xf numFmtId="177" fontId="5" fillId="4" borderId="5" xfId="1" applyNumberFormat="1" applyFont="1" applyFill="1" applyBorder="1">
      <alignment vertical="center"/>
    </xf>
    <xf numFmtId="177" fontId="4" fillId="0" borderId="0" xfId="1" applyNumberFormat="1" applyFont="1">
      <alignment vertical="center"/>
    </xf>
    <xf numFmtId="177" fontId="4" fillId="0" borderId="10" xfId="1" applyNumberFormat="1" applyFont="1" applyBorder="1">
      <alignment vertical="center"/>
    </xf>
    <xf numFmtId="177" fontId="6" fillId="0" borderId="0" xfId="1" applyNumberFormat="1" applyFont="1">
      <alignment vertical="center"/>
    </xf>
    <xf numFmtId="177" fontId="5" fillId="5" borderId="0" xfId="1" applyNumberFormat="1" applyFont="1" applyFill="1">
      <alignment vertical="center"/>
    </xf>
    <xf numFmtId="177" fontId="4" fillId="0" borderId="0" xfId="1" applyNumberFormat="1" applyFont="1" applyAlignment="1">
      <alignment horizontal="right" vertical="center"/>
    </xf>
    <xf numFmtId="177" fontId="4" fillId="6" borderId="0" xfId="1" applyNumberFormat="1" applyFont="1" applyFill="1" applyAlignment="1">
      <alignment horizontal="right" vertical="center"/>
    </xf>
    <xf numFmtId="177" fontId="4" fillId="6" borderId="10" xfId="1" applyNumberFormat="1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49" fontId="11" fillId="0" borderId="22" xfId="0" applyNumberFormat="1" applyFont="1" applyBorder="1" applyAlignment="1">
      <alignment horizontal="center" vertical="center"/>
    </xf>
    <xf numFmtId="49" fontId="12" fillId="6" borderId="27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49" fontId="12" fillId="9" borderId="30" xfId="0" applyNumberFormat="1" applyFont="1" applyFill="1" applyBorder="1" applyAlignment="1">
      <alignment horizontal="center" vertical="center"/>
    </xf>
    <xf numFmtId="49" fontId="11" fillId="0" borderId="30" xfId="0" applyNumberFormat="1" applyFont="1" applyBorder="1" applyAlignment="1">
      <alignment horizontal="center" vertical="center"/>
    </xf>
    <xf numFmtId="38" fontId="11" fillId="0" borderId="30" xfId="0" applyNumberFormat="1" applyFont="1" applyBorder="1">
      <alignment vertical="center"/>
    </xf>
    <xf numFmtId="49" fontId="11" fillId="0" borderId="32" xfId="0" applyNumberFormat="1" applyFont="1" applyBorder="1" applyAlignment="1">
      <alignment horizontal="center" vertical="center"/>
    </xf>
    <xf numFmtId="49" fontId="12" fillId="6" borderId="30" xfId="0" applyNumberFormat="1" applyFont="1" applyFill="1" applyBorder="1" applyAlignment="1">
      <alignment horizontal="center" vertical="center"/>
    </xf>
    <xf numFmtId="49" fontId="11" fillId="0" borderId="36" xfId="0" applyNumberFormat="1" applyFont="1" applyBorder="1" applyAlignment="1">
      <alignment horizontal="center" vertical="center"/>
    </xf>
    <xf numFmtId="38" fontId="11" fillId="0" borderId="42" xfId="0" applyNumberFormat="1" applyFont="1" applyBorder="1">
      <alignment vertical="center"/>
    </xf>
    <xf numFmtId="49" fontId="11" fillId="0" borderId="34" xfId="0" applyNumberFormat="1" applyFont="1" applyBorder="1" applyAlignment="1">
      <alignment horizontal="center" vertical="center"/>
    </xf>
    <xf numFmtId="49" fontId="12" fillId="6" borderId="26" xfId="0" applyNumberFormat="1" applyFont="1" applyFill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/>
    </xf>
    <xf numFmtId="38" fontId="11" fillId="0" borderId="50" xfId="0" applyNumberFormat="1" applyFont="1" applyBorder="1">
      <alignment vertical="center"/>
    </xf>
    <xf numFmtId="49" fontId="11" fillId="0" borderId="51" xfId="0" applyNumberFormat="1" applyFont="1" applyBorder="1" applyAlignment="1">
      <alignment horizontal="center" vertical="center"/>
    </xf>
    <xf numFmtId="49" fontId="11" fillId="2" borderId="59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22" fontId="13" fillId="0" borderId="0" xfId="0" applyNumberFormat="1" applyFont="1" applyBorder="1" applyAlignment="1">
      <alignment vertical="center"/>
    </xf>
    <xf numFmtId="0" fontId="0" fillId="0" borderId="0" xfId="0" applyAlignment="1">
      <alignment horizontal="right" vertical="center"/>
    </xf>
    <xf numFmtId="22" fontId="4" fillId="0" borderId="0" xfId="0" applyNumberFormat="1" applyFont="1" applyBorder="1" applyAlignment="1">
      <alignment horizontal="right" vertical="center"/>
    </xf>
    <xf numFmtId="0" fontId="11" fillId="0" borderId="0" xfId="0" applyFont="1">
      <alignment vertical="center"/>
    </xf>
    <xf numFmtId="0" fontId="15" fillId="0" borderId="0" xfId="0" applyFont="1">
      <alignment vertical="center"/>
    </xf>
    <xf numFmtId="38" fontId="11" fillId="0" borderId="22" xfId="0" applyNumberFormat="1" applyFont="1" applyBorder="1">
      <alignment vertical="center"/>
    </xf>
    <xf numFmtId="38" fontId="11" fillId="0" borderId="39" xfId="0" applyNumberFormat="1" applyFont="1" applyBorder="1">
      <alignment vertical="center"/>
    </xf>
    <xf numFmtId="38" fontId="11" fillId="0" borderId="60" xfId="0" applyNumberFormat="1" applyFont="1" applyBorder="1">
      <alignment vertical="center"/>
    </xf>
    <xf numFmtId="38" fontId="12" fillId="10" borderId="30" xfId="0" applyNumberFormat="1" applyFont="1" applyFill="1" applyBorder="1">
      <alignment vertical="center"/>
    </xf>
    <xf numFmtId="38" fontId="12" fillId="10" borderId="42" xfId="0" applyNumberFormat="1" applyFont="1" applyFill="1" applyBorder="1">
      <alignment vertical="center"/>
    </xf>
    <xf numFmtId="38" fontId="12" fillId="9" borderId="42" xfId="0" applyNumberFormat="1" applyFont="1" applyFill="1" applyBorder="1">
      <alignment vertical="center"/>
    </xf>
    <xf numFmtId="38" fontId="12" fillId="10" borderId="12" xfId="0" applyNumberFormat="1" applyFont="1" applyFill="1" applyBorder="1">
      <alignment vertical="center"/>
    </xf>
    <xf numFmtId="38" fontId="12" fillId="9" borderId="30" xfId="0" applyNumberFormat="1" applyFont="1" applyFill="1" applyBorder="1">
      <alignment vertical="center"/>
    </xf>
    <xf numFmtId="38" fontId="11" fillId="0" borderId="52" xfId="0" applyNumberFormat="1" applyFont="1" applyBorder="1">
      <alignment vertical="center"/>
    </xf>
    <xf numFmtId="38" fontId="12" fillId="9" borderId="50" xfId="0" applyNumberFormat="1" applyFont="1" applyFill="1" applyBorder="1">
      <alignment vertical="center"/>
    </xf>
    <xf numFmtId="38" fontId="11" fillId="0" borderId="34" xfId="0" applyNumberFormat="1" applyFont="1" applyBorder="1" applyAlignment="1">
      <alignment horizontal="center" vertical="center"/>
    </xf>
    <xf numFmtId="38" fontId="12" fillId="9" borderId="30" xfId="0" applyNumberFormat="1" applyFont="1" applyFill="1" applyBorder="1" applyAlignment="1">
      <alignment horizontal="center" vertical="center"/>
    </xf>
    <xf numFmtId="38" fontId="11" fillId="0" borderId="30" xfId="0" applyNumberFormat="1" applyFont="1" applyBorder="1" applyAlignment="1">
      <alignment horizontal="center" vertical="center"/>
    </xf>
    <xf numFmtId="49" fontId="11" fillId="0" borderId="26" xfId="0" applyNumberFormat="1" applyFont="1" applyBorder="1" applyAlignment="1">
      <alignment horizontal="center" vertical="center"/>
    </xf>
    <xf numFmtId="49" fontId="11" fillId="2" borderId="37" xfId="0" applyNumberFormat="1" applyFont="1" applyFill="1" applyBorder="1" applyAlignment="1">
      <alignment horizontal="center" vertical="center"/>
    </xf>
    <xf numFmtId="49" fontId="11" fillId="2" borderId="20" xfId="0" applyNumberFormat="1" applyFont="1" applyFill="1" applyBorder="1" applyAlignment="1">
      <alignment horizontal="center" vertical="center"/>
    </xf>
    <xf numFmtId="49" fontId="16" fillId="2" borderId="37" xfId="0" applyNumberFormat="1" applyFont="1" applyFill="1" applyBorder="1" applyAlignment="1">
      <alignment horizontal="center" vertical="center"/>
    </xf>
    <xf numFmtId="49" fontId="11" fillId="6" borderId="27" xfId="0" applyNumberFormat="1" applyFont="1" applyFill="1" applyBorder="1" applyAlignment="1">
      <alignment horizontal="center" vertical="center"/>
    </xf>
    <xf numFmtId="38" fontId="11" fillId="6" borderId="27" xfId="0" applyNumberFormat="1" applyFont="1" applyFill="1" applyBorder="1" applyProtection="1">
      <alignment vertical="center"/>
      <protection locked="0"/>
    </xf>
    <xf numFmtId="38" fontId="11" fillId="6" borderId="49" xfId="0" applyNumberFormat="1" applyFont="1" applyFill="1" applyBorder="1" applyProtection="1">
      <alignment vertical="center"/>
      <protection locked="0"/>
    </xf>
    <xf numFmtId="38" fontId="11" fillId="6" borderId="27" xfId="0" applyNumberFormat="1" applyFont="1" applyFill="1" applyBorder="1">
      <alignment vertical="center"/>
    </xf>
    <xf numFmtId="38" fontId="11" fillId="6" borderId="53" xfId="0" applyNumberFormat="1" applyFont="1" applyFill="1" applyBorder="1">
      <alignment vertical="center"/>
    </xf>
    <xf numFmtId="49" fontId="11" fillId="6" borderId="26" xfId="0" applyNumberFormat="1" applyFont="1" applyFill="1" applyBorder="1" applyAlignment="1">
      <alignment horizontal="center" vertical="center"/>
    </xf>
    <xf numFmtId="49" fontId="11" fillId="2" borderId="37" xfId="0" applyNumberFormat="1" applyFont="1" applyFill="1" applyBorder="1" applyAlignment="1">
      <alignment horizontal="center" vertical="center"/>
    </xf>
    <xf numFmtId="49" fontId="11" fillId="2" borderId="20" xfId="0" applyNumberFormat="1" applyFont="1" applyFill="1" applyBorder="1" applyAlignment="1">
      <alignment horizontal="center" vertical="center"/>
    </xf>
    <xf numFmtId="49" fontId="11" fillId="0" borderId="64" xfId="0" applyNumberFormat="1" applyFont="1" applyBorder="1" applyAlignment="1">
      <alignment horizontal="center" vertical="center"/>
    </xf>
    <xf numFmtId="0" fontId="11" fillId="0" borderId="64" xfId="0" applyFont="1" applyBorder="1" applyAlignment="1">
      <alignment horizontal="center" vertical="center" shrinkToFit="1"/>
    </xf>
    <xf numFmtId="38" fontId="11" fillId="0" borderId="42" xfId="0" applyNumberFormat="1" applyFont="1" applyBorder="1" applyAlignment="1">
      <alignment horizontal="right" vertical="center"/>
    </xf>
    <xf numFmtId="38" fontId="11" fillId="0" borderId="41" xfId="0" applyNumberFormat="1" applyFont="1" applyBorder="1" applyAlignment="1">
      <alignment horizontal="right" vertical="center"/>
    </xf>
    <xf numFmtId="38" fontId="11" fillId="0" borderId="50" xfId="0" applyNumberFormat="1" applyFont="1" applyBorder="1" applyAlignment="1">
      <alignment horizontal="right" vertical="center"/>
    </xf>
    <xf numFmtId="38" fontId="12" fillId="9" borderId="41" xfId="0" applyNumberFormat="1" applyFont="1" applyFill="1" applyBorder="1" applyAlignment="1">
      <alignment horizontal="right" vertical="center"/>
    </xf>
    <xf numFmtId="38" fontId="12" fillId="9" borderId="50" xfId="0" applyNumberFormat="1" applyFont="1" applyFill="1" applyBorder="1" applyAlignment="1">
      <alignment horizontal="right" vertical="center"/>
    </xf>
    <xf numFmtId="38" fontId="12" fillId="10" borderId="12" xfId="0" applyNumberFormat="1" applyFont="1" applyFill="1" applyBorder="1" applyAlignment="1">
      <alignment horizontal="right" vertical="center"/>
    </xf>
    <xf numFmtId="38" fontId="12" fillId="10" borderId="42" xfId="0" applyNumberFormat="1" applyFont="1" applyFill="1" applyBorder="1" applyAlignment="1">
      <alignment horizontal="right" vertical="center"/>
    </xf>
    <xf numFmtId="38" fontId="12" fillId="9" borderId="42" xfId="0" applyNumberFormat="1" applyFont="1" applyFill="1" applyBorder="1" applyAlignment="1">
      <alignment horizontal="right" vertical="center"/>
    </xf>
    <xf numFmtId="38" fontId="11" fillId="0" borderId="42" xfId="0" applyNumberFormat="1" applyFont="1" applyBorder="1" applyAlignment="1">
      <alignment horizontal="right" vertical="center"/>
    </xf>
    <xf numFmtId="38" fontId="11" fillId="0" borderId="50" xfId="0" applyNumberFormat="1" applyFont="1" applyBorder="1" applyAlignment="1">
      <alignment horizontal="right" vertical="center"/>
    </xf>
    <xf numFmtId="38" fontId="12" fillId="9" borderId="50" xfId="0" applyNumberFormat="1" applyFont="1" applyFill="1" applyBorder="1" applyAlignment="1">
      <alignment horizontal="right" vertical="center"/>
    </xf>
    <xf numFmtId="38" fontId="12" fillId="10" borderId="12" xfId="0" applyNumberFormat="1" applyFont="1" applyFill="1" applyBorder="1" applyAlignment="1">
      <alignment horizontal="right" vertical="center"/>
    </xf>
    <xf numFmtId="38" fontId="12" fillId="10" borderId="42" xfId="0" applyNumberFormat="1" applyFont="1" applyFill="1" applyBorder="1" applyAlignment="1">
      <alignment horizontal="right" vertical="center"/>
    </xf>
    <xf numFmtId="38" fontId="12" fillId="9" borderId="42" xfId="0" applyNumberFormat="1" applyFont="1" applyFill="1" applyBorder="1" applyAlignment="1">
      <alignment horizontal="right" vertical="center"/>
    </xf>
    <xf numFmtId="38" fontId="11" fillId="0" borderId="22" xfId="0" applyNumberFormat="1" applyFont="1" applyBorder="1" applyAlignment="1">
      <alignment horizontal="right" vertical="center"/>
    </xf>
    <xf numFmtId="38" fontId="12" fillId="6" borderId="27" xfId="0" applyNumberFormat="1" applyFont="1" applyFill="1" applyBorder="1" applyAlignment="1" applyProtection="1">
      <alignment horizontal="right" vertical="center"/>
      <protection locked="0"/>
    </xf>
    <xf numFmtId="38" fontId="12" fillId="9" borderId="30" xfId="0" applyNumberFormat="1" applyFont="1" applyFill="1" applyBorder="1" applyAlignment="1">
      <alignment horizontal="right" vertical="center"/>
    </xf>
    <xf numFmtId="38" fontId="11" fillId="0" borderId="30" xfId="0" applyNumberFormat="1" applyFont="1" applyBorder="1" applyAlignment="1">
      <alignment horizontal="right" vertical="center"/>
    </xf>
    <xf numFmtId="38" fontId="11" fillId="0" borderId="27" xfId="0" applyNumberFormat="1" applyFont="1" applyBorder="1" applyAlignment="1">
      <alignment horizontal="right" vertical="center"/>
    </xf>
    <xf numFmtId="38" fontId="12" fillId="10" borderId="30" xfId="0" applyNumberFormat="1" applyFont="1" applyFill="1" applyBorder="1" applyAlignment="1">
      <alignment horizontal="right" vertical="center"/>
    </xf>
    <xf numFmtId="38" fontId="11" fillId="0" borderId="24" xfId="0" applyNumberFormat="1" applyFont="1" applyBorder="1" applyAlignment="1">
      <alignment horizontal="right" vertical="center"/>
    </xf>
    <xf numFmtId="38" fontId="12" fillId="6" borderId="27" xfId="0" applyNumberFormat="1" applyFont="1" applyFill="1" applyBorder="1" applyAlignment="1">
      <alignment horizontal="right" vertical="center"/>
    </xf>
    <xf numFmtId="38" fontId="12" fillId="6" borderId="28" xfId="0" applyNumberFormat="1" applyFont="1" applyFill="1" applyBorder="1" applyAlignment="1">
      <alignment horizontal="right" vertical="center"/>
    </xf>
    <xf numFmtId="38" fontId="12" fillId="9" borderId="28" xfId="0" applyNumberFormat="1" applyFont="1" applyFill="1" applyBorder="1" applyAlignment="1">
      <alignment horizontal="right" vertical="center"/>
    </xf>
    <xf numFmtId="38" fontId="11" fillId="0" borderId="28" xfId="0" applyNumberFormat="1" applyFont="1" applyBorder="1" applyAlignment="1">
      <alignment horizontal="right" vertical="center"/>
    </xf>
    <xf numFmtId="38" fontId="12" fillId="6" borderId="29" xfId="0" applyNumberFormat="1" applyFont="1" applyFill="1" applyBorder="1" applyAlignment="1">
      <alignment horizontal="right" vertical="center"/>
    </xf>
    <xf numFmtId="38" fontId="11" fillId="0" borderId="38" xfId="0" applyNumberFormat="1" applyFont="1" applyBorder="1" applyAlignment="1">
      <alignment horizontal="right" vertical="center"/>
    </xf>
    <xf numFmtId="38" fontId="12" fillId="6" borderId="40" xfId="0" applyNumberFormat="1" applyFont="1" applyFill="1" applyBorder="1" applyAlignment="1" applyProtection="1">
      <alignment horizontal="right" vertical="center"/>
      <protection locked="0"/>
    </xf>
    <xf numFmtId="38" fontId="11" fillId="0" borderId="29" xfId="0" applyNumberFormat="1" applyFont="1" applyBorder="1" applyAlignment="1">
      <alignment horizontal="right" vertical="center"/>
    </xf>
    <xf numFmtId="38" fontId="11" fillId="0" borderId="60" xfId="0" applyNumberFormat="1" applyFont="1" applyBorder="1" applyAlignment="1">
      <alignment horizontal="right" vertical="center"/>
    </xf>
    <xf numFmtId="38" fontId="11" fillId="0" borderId="39" xfId="0" applyNumberFormat="1" applyFont="1" applyBorder="1" applyAlignment="1">
      <alignment horizontal="right" vertical="center"/>
    </xf>
    <xf numFmtId="38" fontId="11" fillId="0" borderId="52" xfId="0" applyNumberFormat="1" applyFont="1" applyBorder="1" applyAlignment="1">
      <alignment horizontal="right" vertical="center"/>
    </xf>
    <xf numFmtId="38" fontId="12" fillId="6" borderId="49" xfId="0" applyNumberFormat="1" applyFont="1" applyFill="1" applyBorder="1" applyAlignment="1" applyProtection="1">
      <alignment horizontal="right" vertical="center"/>
      <protection locked="0"/>
    </xf>
    <xf numFmtId="38" fontId="12" fillId="6" borderId="53" xfId="0" applyNumberFormat="1" applyFont="1" applyFill="1" applyBorder="1" applyAlignment="1">
      <alignment horizontal="right" vertical="center"/>
    </xf>
    <xf numFmtId="38" fontId="4" fillId="0" borderId="0" xfId="1" applyFont="1" applyBorder="1" applyAlignment="1">
      <alignment horizontal="right" vertical="center"/>
    </xf>
    <xf numFmtId="38" fontId="11" fillId="0" borderId="42" xfId="0" applyNumberFormat="1" applyFont="1" applyBorder="1" applyAlignment="1">
      <alignment horizontal="right" vertical="center"/>
    </xf>
    <xf numFmtId="38" fontId="11" fillId="0" borderId="50" xfId="0" applyNumberFormat="1" applyFont="1" applyBorder="1" applyAlignment="1">
      <alignment horizontal="right" vertical="center"/>
    </xf>
    <xf numFmtId="38" fontId="12" fillId="9" borderId="50" xfId="0" applyNumberFormat="1" applyFont="1" applyFill="1" applyBorder="1" applyAlignment="1">
      <alignment horizontal="right" vertical="center"/>
    </xf>
    <xf numFmtId="38" fontId="12" fillId="10" borderId="42" xfId="0" applyNumberFormat="1" applyFont="1" applyFill="1" applyBorder="1" applyAlignment="1">
      <alignment horizontal="right" vertical="center"/>
    </xf>
    <xf numFmtId="38" fontId="12" fillId="9" borderId="42" xfId="0" applyNumberFormat="1" applyFont="1" applyFill="1" applyBorder="1" applyAlignment="1">
      <alignment horizontal="right" vertical="center"/>
    </xf>
    <xf numFmtId="38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11" fillId="0" borderId="13" xfId="0" applyNumberFormat="1" applyFont="1" applyBorder="1" applyAlignment="1">
      <alignment horizontal="center" vertical="center" wrapText="1"/>
    </xf>
    <xf numFmtId="49" fontId="11" fillId="0" borderId="25" xfId="0" applyNumberFormat="1" applyFont="1" applyBorder="1" applyAlignment="1">
      <alignment horizontal="center" vertical="center" wrapText="1"/>
    </xf>
    <xf numFmtId="49" fontId="11" fillId="0" borderId="19" xfId="0" applyNumberFormat="1" applyFont="1" applyBorder="1" applyAlignment="1">
      <alignment horizontal="center" vertical="center" wrapText="1"/>
    </xf>
    <xf numFmtId="49" fontId="11" fillId="0" borderId="21" xfId="0" applyNumberFormat="1" applyFont="1" applyBorder="1" applyAlignment="1">
      <alignment horizontal="center" vertical="center"/>
    </xf>
    <xf numFmtId="49" fontId="11" fillId="0" borderId="26" xfId="0" applyNumberFormat="1" applyFont="1" applyBorder="1" applyAlignment="1">
      <alignment horizontal="center" vertical="center"/>
    </xf>
    <xf numFmtId="49" fontId="11" fillId="0" borderId="31" xfId="0" applyNumberFormat="1" applyFont="1" applyBorder="1" applyAlignment="1">
      <alignment horizontal="center" vertical="center"/>
    </xf>
    <xf numFmtId="49" fontId="11" fillId="2" borderId="15" xfId="0" applyNumberFormat="1" applyFont="1" applyFill="1" applyBorder="1" applyAlignment="1">
      <alignment horizontal="center" vertical="center"/>
    </xf>
    <xf numFmtId="49" fontId="11" fillId="2" borderId="16" xfId="0" applyNumberFormat="1" applyFont="1" applyFill="1" applyBorder="1" applyAlignment="1">
      <alignment horizontal="center" vertical="center"/>
    </xf>
    <xf numFmtId="49" fontId="11" fillId="2" borderId="18" xfId="0" applyNumberFormat="1" applyFont="1" applyFill="1" applyBorder="1" applyAlignment="1">
      <alignment horizontal="center" vertical="center"/>
    </xf>
    <xf numFmtId="49" fontId="11" fillId="2" borderId="17" xfId="0" applyNumberFormat="1" applyFont="1" applyFill="1" applyBorder="1" applyAlignment="1">
      <alignment horizontal="center" vertical="center"/>
    </xf>
    <xf numFmtId="38" fontId="11" fillId="0" borderId="12" xfId="0" applyNumberFormat="1" applyFont="1" applyBorder="1" applyAlignment="1">
      <alignment horizontal="right" vertical="center"/>
    </xf>
    <xf numFmtId="38" fontId="11" fillId="0" borderId="42" xfId="0" applyNumberFormat="1" applyFont="1" applyBorder="1" applyAlignment="1">
      <alignment horizontal="right" vertical="center"/>
    </xf>
    <xf numFmtId="0" fontId="11" fillId="0" borderId="33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49" fontId="11" fillId="2" borderId="61" xfId="0" applyNumberFormat="1" applyFont="1" applyFill="1" applyBorder="1" applyAlignment="1">
      <alignment horizontal="center" vertical="center"/>
    </xf>
    <xf numFmtId="49" fontId="11" fillId="2" borderId="23" xfId="0" applyNumberFormat="1" applyFont="1" applyFill="1" applyBorder="1" applyAlignment="1">
      <alignment horizontal="center" vertical="center"/>
    </xf>
    <xf numFmtId="49" fontId="11" fillId="2" borderId="14" xfId="0" applyNumberFormat="1" applyFont="1" applyFill="1" applyBorder="1" applyAlignment="1">
      <alignment horizontal="center" vertical="center"/>
    </xf>
    <xf numFmtId="49" fontId="11" fillId="2" borderId="62" xfId="0" applyNumberFormat="1" applyFont="1" applyFill="1" applyBorder="1" applyAlignment="1">
      <alignment horizontal="center" vertical="center"/>
    </xf>
    <xf numFmtId="49" fontId="11" fillId="2" borderId="37" xfId="0" applyNumberFormat="1" applyFont="1" applyFill="1" applyBorder="1" applyAlignment="1">
      <alignment horizontal="center" vertical="center"/>
    </xf>
    <xf numFmtId="49" fontId="11" fillId="2" borderId="20" xfId="0" applyNumberFormat="1" applyFont="1" applyFill="1" applyBorder="1" applyAlignment="1">
      <alignment horizontal="center" vertical="center"/>
    </xf>
    <xf numFmtId="176" fontId="11" fillId="0" borderId="57" xfId="2" applyNumberFormat="1" applyFont="1" applyBorder="1" applyAlignment="1">
      <alignment horizontal="right" vertical="center"/>
    </xf>
    <xf numFmtId="176" fontId="11" fillId="0" borderId="58" xfId="2" applyNumberFormat="1" applyFont="1" applyBorder="1" applyAlignment="1">
      <alignment horizontal="right" vertical="center"/>
    </xf>
    <xf numFmtId="38" fontId="11" fillId="0" borderId="63" xfId="1" applyNumberFormat="1" applyFont="1" applyBorder="1" applyAlignment="1">
      <alignment horizontal="right" vertical="center"/>
    </xf>
    <xf numFmtId="38" fontId="11" fillId="0" borderId="56" xfId="1" applyNumberFormat="1" applyFont="1" applyBorder="1" applyAlignment="1">
      <alignment horizontal="right" vertical="center"/>
    </xf>
    <xf numFmtId="38" fontId="11" fillId="6" borderId="12" xfId="1" applyNumberFormat="1" applyFont="1" applyFill="1" applyBorder="1" applyAlignment="1">
      <alignment horizontal="right" vertical="center"/>
    </xf>
    <xf numFmtId="38" fontId="11" fillId="6" borderId="50" xfId="1" applyNumberFormat="1" applyFont="1" applyFill="1" applyBorder="1" applyAlignment="1">
      <alignment horizontal="right" vertical="center"/>
    </xf>
    <xf numFmtId="38" fontId="11" fillId="0" borderId="50" xfId="0" applyNumberFormat="1" applyFont="1" applyBorder="1" applyAlignment="1">
      <alignment horizontal="right" vertical="center"/>
    </xf>
    <xf numFmtId="38" fontId="11" fillId="0" borderId="46" xfId="1" applyNumberFormat="1" applyFont="1" applyBorder="1" applyAlignment="1">
      <alignment horizontal="right" vertical="center"/>
    </xf>
    <xf numFmtId="38" fontId="11" fillId="6" borderId="42" xfId="1" applyNumberFormat="1" applyFont="1" applyFill="1" applyBorder="1" applyAlignment="1">
      <alignment horizontal="right" vertical="center"/>
    </xf>
    <xf numFmtId="176" fontId="11" fillId="0" borderId="48" xfId="2" applyNumberFormat="1" applyFont="1" applyBorder="1" applyAlignment="1">
      <alignment horizontal="right" vertical="center"/>
    </xf>
    <xf numFmtId="176" fontId="11" fillId="0" borderId="47" xfId="2" applyNumberFormat="1" applyFont="1" applyBorder="1" applyAlignment="1">
      <alignment horizontal="right" vertical="center"/>
    </xf>
    <xf numFmtId="38" fontId="11" fillId="0" borderId="45" xfId="1" applyNumberFormat="1" applyFont="1" applyBorder="1" applyAlignment="1">
      <alignment horizontal="right" vertical="center"/>
    </xf>
    <xf numFmtId="38" fontId="11" fillId="6" borderId="41" xfId="1" applyNumberFormat="1" applyFont="1" applyFill="1" applyBorder="1" applyAlignment="1">
      <alignment horizontal="right" vertical="center"/>
    </xf>
    <xf numFmtId="38" fontId="11" fillId="0" borderId="65" xfId="1" applyNumberFormat="1" applyFont="1" applyBorder="1" applyAlignment="1">
      <alignment horizontal="right" vertical="center"/>
    </xf>
    <xf numFmtId="38" fontId="11" fillId="0" borderId="66" xfId="1" applyNumberFormat="1" applyFont="1" applyBorder="1" applyAlignment="1">
      <alignment horizontal="right" vertical="center"/>
    </xf>
    <xf numFmtId="38" fontId="11" fillId="0" borderId="67" xfId="1" applyNumberFormat="1" applyFont="1" applyBorder="1" applyAlignment="1">
      <alignment horizontal="right" vertical="center"/>
    </xf>
    <xf numFmtId="38" fontId="11" fillId="0" borderId="68" xfId="1" applyNumberFormat="1" applyFont="1" applyBorder="1" applyAlignment="1">
      <alignment horizontal="right" vertical="center"/>
    </xf>
    <xf numFmtId="176" fontId="11" fillId="0" borderId="43" xfId="2" applyNumberFormat="1" applyFont="1" applyBorder="1" applyAlignment="1">
      <alignment horizontal="right" vertical="center"/>
    </xf>
    <xf numFmtId="176" fontId="11" fillId="0" borderId="54" xfId="2" applyNumberFormat="1" applyFont="1" applyBorder="1" applyAlignment="1">
      <alignment horizontal="right" vertical="center"/>
    </xf>
    <xf numFmtId="176" fontId="11" fillId="0" borderId="44" xfId="2" applyNumberFormat="1" applyFont="1" applyBorder="1" applyAlignment="1">
      <alignment horizontal="right" vertical="center"/>
    </xf>
    <xf numFmtId="176" fontId="11" fillId="0" borderId="55" xfId="2" applyNumberFormat="1" applyFont="1" applyBorder="1" applyAlignment="1">
      <alignment horizontal="right" vertical="center"/>
    </xf>
    <xf numFmtId="38" fontId="11" fillId="0" borderId="41" xfId="0" applyNumberFormat="1" applyFont="1" applyBorder="1" applyAlignment="1">
      <alignment horizontal="right" vertical="center"/>
    </xf>
    <xf numFmtId="38" fontId="12" fillId="9" borderId="41" xfId="1" applyNumberFormat="1" applyFont="1" applyFill="1" applyBorder="1" applyAlignment="1">
      <alignment horizontal="right" vertical="center"/>
    </xf>
    <xf numFmtId="38" fontId="12" fillId="9" borderId="12" xfId="1" applyNumberFormat="1" applyFont="1" applyFill="1" applyBorder="1" applyAlignment="1">
      <alignment horizontal="right" vertical="center"/>
    </xf>
    <xf numFmtId="38" fontId="12" fillId="9" borderId="42" xfId="1" applyNumberFormat="1" applyFont="1" applyFill="1" applyBorder="1" applyAlignment="1">
      <alignment horizontal="right" vertical="center"/>
    </xf>
    <xf numFmtId="38" fontId="12" fillId="9" borderId="50" xfId="1" applyNumberFormat="1" applyFont="1" applyFill="1" applyBorder="1" applyAlignment="1">
      <alignment horizontal="right" vertical="center"/>
    </xf>
    <xf numFmtId="49" fontId="11" fillId="0" borderId="25" xfId="0" applyNumberFormat="1" applyFont="1" applyBorder="1" applyAlignment="1">
      <alignment horizontal="center" vertical="center"/>
    </xf>
    <xf numFmtId="49" fontId="11" fillId="0" borderId="19" xfId="0" applyNumberFormat="1" applyFont="1" applyBorder="1" applyAlignment="1">
      <alignment horizontal="center" vertical="center"/>
    </xf>
    <xf numFmtId="38" fontId="12" fillId="6" borderId="41" xfId="1" applyNumberFormat="1" applyFont="1" applyFill="1" applyBorder="1" applyAlignment="1">
      <alignment horizontal="right" vertical="center"/>
    </xf>
    <xf numFmtId="38" fontId="12" fillId="6" borderId="12" xfId="1" applyNumberFormat="1" applyFont="1" applyFill="1" applyBorder="1" applyAlignment="1">
      <alignment horizontal="right" vertical="center"/>
    </xf>
    <xf numFmtId="38" fontId="12" fillId="6" borderId="42" xfId="1" applyNumberFormat="1" applyFont="1" applyFill="1" applyBorder="1" applyAlignment="1">
      <alignment horizontal="right" vertical="center"/>
    </xf>
    <xf numFmtId="38" fontId="12" fillId="6" borderId="50" xfId="1" applyNumberFormat="1" applyFont="1" applyFill="1" applyBorder="1" applyAlignment="1">
      <alignment horizontal="right" vertical="center"/>
    </xf>
    <xf numFmtId="38" fontId="12" fillId="9" borderId="41" xfId="0" applyNumberFormat="1" applyFont="1" applyFill="1" applyBorder="1" applyAlignment="1">
      <alignment horizontal="right" vertical="center"/>
    </xf>
    <xf numFmtId="38" fontId="12" fillId="9" borderId="12" xfId="0" applyNumberFormat="1" applyFont="1" applyFill="1" applyBorder="1" applyAlignment="1">
      <alignment horizontal="right" vertical="center"/>
    </xf>
    <xf numFmtId="38" fontId="12" fillId="9" borderId="50" xfId="0" applyNumberFormat="1" applyFont="1" applyFill="1" applyBorder="1" applyAlignment="1">
      <alignment horizontal="right" vertical="center"/>
    </xf>
    <xf numFmtId="38" fontId="12" fillId="10" borderId="41" xfId="0" applyNumberFormat="1" applyFont="1" applyFill="1" applyBorder="1" applyAlignment="1">
      <alignment horizontal="right" vertical="center"/>
    </xf>
    <xf numFmtId="38" fontId="12" fillId="10" borderId="12" xfId="0" applyNumberFormat="1" applyFont="1" applyFill="1" applyBorder="1" applyAlignment="1">
      <alignment horizontal="right" vertical="center"/>
    </xf>
    <xf numFmtId="38" fontId="12" fillId="10" borderId="42" xfId="0" applyNumberFormat="1" applyFont="1" applyFill="1" applyBorder="1" applyAlignment="1">
      <alignment horizontal="right" vertical="center"/>
    </xf>
    <xf numFmtId="38" fontId="11" fillId="0" borderId="45" xfId="1" applyFont="1" applyBorder="1" applyAlignment="1">
      <alignment horizontal="right" vertical="center"/>
    </xf>
    <xf numFmtId="38" fontId="11" fillId="0" borderId="63" xfId="1" applyFont="1" applyBorder="1" applyAlignment="1">
      <alignment horizontal="right" vertical="center"/>
    </xf>
    <xf numFmtId="38" fontId="11" fillId="0" borderId="56" xfId="1" applyFont="1" applyBorder="1" applyAlignment="1">
      <alignment horizontal="right" vertical="center"/>
    </xf>
    <xf numFmtId="38" fontId="12" fillId="6" borderId="41" xfId="1" applyFont="1" applyFill="1" applyBorder="1" applyAlignment="1">
      <alignment horizontal="right" vertical="center"/>
    </xf>
    <xf numFmtId="38" fontId="12" fillId="6" borderId="12" xfId="1" applyFont="1" applyFill="1" applyBorder="1" applyAlignment="1">
      <alignment horizontal="right" vertical="center"/>
    </xf>
    <xf numFmtId="38" fontId="12" fillId="6" borderId="50" xfId="1" applyFont="1" applyFill="1" applyBorder="1" applyAlignment="1">
      <alignment horizontal="right" vertical="center"/>
    </xf>
    <xf numFmtId="38" fontId="11" fillId="0" borderId="46" xfId="1" applyFont="1" applyBorder="1" applyAlignment="1">
      <alignment horizontal="right" vertical="center"/>
    </xf>
    <xf numFmtId="38" fontId="12" fillId="6" borderId="42" xfId="1" applyFont="1" applyFill="1" applyBorder="1" applyAlignment="1">
      <alignment horizontal="right" vertical="center"/>
    </xf>
    <xf numFmtId="38" fontId="12" fillId="9" borderId="41" xfId="1" applyFont="1" applyFill="1" applyBorder="1" applyAlignment="1">
      <alignment horizontal="right" vertical="center"/>
    </xf>
    <xf numFmtId="38" fontId="12" fillId="9" borderId="12" xfId="1" applyFont="1" applyFill="1" applyBorder="1" applyAlignment="1">
      <alignment horizontal="right" vertical="center"/>
    </xf>
    <xf numFmtId="38" fontId="12" fillId="9" borderId="42" xfId="1" applyFont="1" applyFill="1" applyBorder="1" applyAlignment="1">
      <alignment horizontal="right" vertical="center"/>
    </xf>
    <xf numFmtId="38" fontId="12" fillId="6" borderId="41" xfId="1" applyNumberFormat="1" applyFont="1" applyFill="1" applyBorder="1" applyAlignment="1" applyProtection="1">
      <alignment horizontal="right" vertical="center"/>
      <protection locked="0"/>
    </xf>
    <xf numFmtId="38" fontId="12" fillId="6" borderId="12" xfId="1" applyNumberFormat="1" applyFont="1" applyFill="1" applyBorder="1" applyAlignment="1" applyProtection="1">
      <alignment horizontal="right" vertical="center"/>
      <protection locked="0"/>
    </xf>
    <xf numFmtId="38" fontId="12" fillId="6" borderId="42" xfId="1" applyNumberFormat="1" applyFont="1" applyFill="1" applyBorder="1" applyAlignment="1" applyProtection="1">
      <alignment horizontal="right" vertical="center"/>
      <protection locked="0"/>
    </xf>
    <xf numFmtId="38" fontId="12" fillId="9" borderId="42" xfId="0" applyNumberFormat="1" applyFont="1" applyFill="1" applyBorder="1" applyAlignment="1">
      <alignment horizontal="right" vertical="center"/>
    </xf>
    <xf numFmtId="22" fontId="4" fillId="0" borderId="0" xfId="0" applyNumberFormat="1" applyFont="1" applyAlignment="1">
      <alignment horizontal="center" vertical="center"/>
    </xf>
  </cellXfs>
  <cellStyles count="5">
    <cellStyle name="パーセント" xfId="2" builtinId="5"/>
    <cellStyle name="パーセント 3" xfId="3" xr:uid="{16092760-48A8-433E-BF85-F0C114D9B9EE}"/>
    <cellStyle name="桁区切り" xfId="1" builtinId="6"/>
    <cellStyle name="桁区切り 3" xfId="4" xr:uid="{D9D4A05E-B817-44B1-99BB-0C808D04FAAA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276225</xdr:colOff>
          <xdr:row>1</xdr:row>
          <xdr:rowOff>0</xdr:rowOff>
        </xdr:from>
        <xdr:to>
          <xdr:col>21</xdr:col>
          <xdr:colOff>0</xdr:colOff>
          <xdr:row>1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予算予測実績値集計" connectionId="14" xr16:uid="{2267EFA3-6765-4A56-9978-EB5D7F323D1A}" autoFormatId="0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実績日"/>
      <queryTableField id="2" name="営業部コード"/>
      <queryTableField id="3" name="予算VP"/>
      <queryTableField id="4" name="予算ES"/>
      <queryTableField id="5" name="予算まとめ"/>
      <queryTableField id="6" name="予算売上"/>
      <queryTableField id="7" name="予算営業損益"/>
      <queryTableField id="8" name="予測VP"/>
      <queryTableField id="9" name="予測ES"/>
      <queryTableField id="10" name="予測まとめ"/>
      <queryTableField id="11" name="予測売上"/>
      <queryTableField id="12" name="予測営業損益"/>
      <queryTableField id="13" name="実績VP"/>
      <queryTableField id="14" name="実績ES"/>
      <queryTableField id="15" name="実績まとめ"/>
      <queryTableField id="16" name="実績売上"/>
      <queryTableField id="17" name="実績営業損益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S売上予想" connectionId="13" xr16:uid="{72DA397A-BF84-4D04-949F-AB046CF01F6F}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部門コード"/>
      <queryTableField id="2" name="営業部名"/>
      <queryTableField id="3" name="拠点コード"/>
      <queryTableField id="4" name="拠点名"/>
      <queryTableField id="5" name="顧客No"/>
      <queryTableField id="6" name="顧客名"/>
      <queryTableField id="7" name="受注番号"/>
      <queryTableField id="8" name="受注承認日"/>
      <queryTableField id="9" name="売上承認日"/>
      <queryTableField id="10" name="納期"/>
      <queryTableField id="11" name="売上金額"/>
      <queryTableField id="12" name="計上月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翌月売上予想" connectionId="12" xr16:uid="{46D7324C-37E6-48B5-A8FE-078EDD9F7A22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売上区分"/>
      <queryTableField id="2" name="部門コード"/>
      <queryTableField id="3" name="部門名"/>
      <queryTableField id="4" name="商品区分コード"/>
      <queryTableField id="5" name="商品区分名"/>
      <queryTableField id="6" name="金額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当月売上予想" connectionId="11" xr16:uid="{1DDE98F2-586A-4A5D-9DEE-026A7E0423DE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売上区分"/>
      <queryTableField id="2" name="部門コード"/>
      <queryTableField id="3" name="部門名"/>
      <queryTableField id="4" name="商品区分コード"/>
      <queryTableField id="5" name="商品区分名"/>
      <queryTableField id="6" name="金額"/>
    </queryTableFields>
  </queryTableRefresh>
</query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F16E8-D952-4386-82FF-DBC0B90FEEAE}">
  <dimension ref="A1:O1952"/>
  <sheetViews>
    <sheetView workbookViewId="0"/>
  </sheetViews>
  <sheetFormatPr defaultRowHeight="18.75" x14ac:dyDescent="0.4"/>
  <sheetData>
    <row r="1" spans="1:15" x14ac:dyDescent="0.4">
      <c r="A1" t="s">
        <v>824</v>
      </c>
      <c r="B1" t="s">
        <v>802</v>
      </c>
      <c r="C1" t="s">
        <v>170</v>
      </c>
      <c r="D1" t="s">
        <v>171</v>
      </c>
      <c r="E1" t="s">
        <v>172</v>
      </c>
      <c r="F1" t="s">
        <v>1461</v>
      </c>
      <c r="G1" t="s">
        <v>1462</v>
      </c>
      <c r="H1" t="s">
        <v>175</v>
      </c>
      <c r="I1" t="s">
        <v>173</v>
      </c>
      <c r="J1" t="s">
        <v>174</v>
      </c>
      <c r="K1" t="s">
        <v>1463</v>
      </c>
      <c r="L1" t="s">
        <v>1464</v>
      </c>
      <c r="M1" t="s">
        <v>1465</v>
      </c>
      <c r="N1" t="s">
        <v>1466</v>
      </c>
      <c r="O1" t="s">
        <v>146</v>
      </c>
    </row>
    <row r="2" spans="1:15" x14ac:dyDescent="0.4">
      <c r="A2" t="s">
        <v>1467</v>
      </c>
      <c r="B2">
        <v>76</v>
      </c>
      <c r="C2" t="s">
        <v>6</v>
      </c>
      <c r="D2">
        <v>61</v>
      </c>
      <c r="E2" t="s">
        <v>703</v>
      </c>
      <c r="F2">
        <v>1415</v>
      </c>
      <c r="G2" t="s">
        <v>1038</v>
      </c>
      <c r="H2">
        <v>579571</v>
      </c>
      <c r="I2">
        <v>10058820</v>
      </c>
      <c r="J2" t="s">
        <v>1468</v>
      </c>
      <c r="K2">
        <v>800157</v>
      </c>
      <c r="L2">
        <v>1</v>
      </c>
      <c r="M2" t="s">
        <v>1469</v>
      </c>
      <c r="N2" t="s">
        <v>197</v>
      </c>
      <c r="O2">
        <v>784000</v>
      </c>
    </row>
    <row r="3" spans="1:15" x14ac:dyDescent="0.4">
      <c r="A3" t="s">
        <v>1470</v>
      </c>
      <c r="B3">
        <v>70</v>
      </c>
      <c r="C3" t="s">
        <v>2</v>
      </c>
      <c r="D3">
        <v>41</v>
      </c>
      <c r="E3" t="s">
        <v>306</v>
      </c>
      <c r="F3">
        <v>1118</v>
      </c>
      <c r="G3" t="s">
        <v>1471</v>
      </c>
      <c r="H3">
        <v>579636</v>
      </c>
      <c r="I3">
        <v>10039576</v>
      </c>
      <c r="J3" t="s">
        <v>1472</v>
      </c>
      <c r="K3">
        <v>800157</v>
      </c>
      <c r="L3">
        <v>1</v>
      </c>
      <c r="M3" t="s">
        <v>1469</v>
      </c>
      <c r="N3" t="s">
        <v>197</v>
      </c>
      <c r="O3">
        <v>446400</v>
      </c>
    </row>
    <row r="4" spans="1:15" x14ac:dyDescent="0.4">
      <c r="A4" t="s">
        <v>1470</v>
      </c>
      <c r="B4">
        <v>80</v>
      </c>
      <c r="C4" t="s">
        <v>4</v>
      </c>
      <c r="D4">
        <v>81</v>
      </c>
      <c r="E4" t="s">
        <v>550</v>
      </c>
      <c r="F4">
        <v>1296</v>
      </c>
      <c r="G4" t="s">
        <v>964</v>
      </c>
      <c r="H4">
        <v>579799</v>
      </c>
      <c r="I4">
        <v>10058166</v>
      </c>
      <c r="J4" t="s">
        <v>1473</v>
      </c>
      <c r="K4">
        <v>800157</v>
      </c>
      <c r="L4">
        <v>1</v>
      </c>
      <c r="M4" t="s">
        <v>1470</v>
      </c>
      <c r="N4" t="s">
        <v>211</v>
      </c>
      <c r="O4">
        <v>709200</v>
      </c>
    </row>
    <row r="5" spans="1:15" x14ac:dyDescent="0.4">
      <c r="A5" t="s">
        <v>1469</v>
      </c>
      <c r="B5">
        <v>60</v>
      </c>
      <c r="C5" t="s">
        <v>3</v>
      </c>
      <c r="D5">
        <v>31</v>
      </c>
      <c r="E5" t="s">
        <v>447</v>
      </c>
      <c r="F5">
        <v>1367</v>
      </c>
      <c r="G5" t="s">
        <v>977</v>
      </c>
      <c r="H5">
        <v>579807</v>
      </c>
      <c r="I5">
        <v>20006508</v>
      </c>
      <c r="J5" t="s">
        <v>1474</v>
      </c>
      <c r="K5">
        <v>800157</v>
      </c>
      <c r="L5">
        <v>1</v>
      </c>
      <c r="M5" t="s">
        <v>1469</v>
      </c>
      <c r="N5" t="s">
        <v>197</v>
      </c>
      <c r="O5">
        <v>796800</v>
      </c>
    </row>
    <row r="6" spans="1:15" x14ac:dyDescent="0.4">
      <c r="A6" t="s">
        <v>1470</v>
      </c>
      <c r="B6">
        <v>70</v>
      </c>
      <c r="C6" t="s">
        <v>2</v>
      </c>
      <c r="D6">
        <v>41</v>
      </c>
      <c r="E6" t="s">
        <v>306</v>
      </c>
      <c r="F6">
        <v>1552</v>
      </c>
      <c r="G6" t="s">
        <v>929</v>
      </c>
      <c r="H6">
        <v>579825</v>
      </c>
      <c r="I6">
        <v>20005123</v>
      </c>
      <c r="J6" t="s">
        <v>209</v>
      </c>
      <c r="K6">
        <v>800155</v>
      </c>
      <c r="L6">
        <v>1</v>
      </c>
      <c r="M6" t="s">
        <v>1469</v>
      </c>
      <c r="N6" t="s">
        <v>268</v>
      </c>
      <c r="O6">
        <v>188400</v>
      </c>
    </row>
    <row r="7" spans="1:15" x14ac:dyDescent="0.4">
      <c r="A7" t="s">
        <v>1475</v>
      </c>
      <c r="B7">
        <v>70</v>
      </c>
      <c r="C7" t="s">
        <v>2</v>
      </c>
      <c r="D7">
        <v>41</v>
      </c>
      <c r="E7" t="s">
        <v>306</v>
      </c>
      <c r="F7">
        <v>1383</v>
      </c>
      <c r="G7" t="s">
        <v>957</v>
      </c>
      <c r="H7">
        <v>579926</v>
      </c>
      <c r="I7">
        <v>10003890</v>
      </c>
      <c r="J7" t="s">
        <v>1476</v>
      </c>
      <c r="K7">
        <v>800157</v>
      </c>
      <c r="L7">
        <v>1</v>
      </c>
      <c r="M7" t="s">
        <v>1475</v>
      </c>
      <c r="N7" t="s">
        <v>187</v>
      </c>
      <c r="O7">
        <v>594000</v>
      </c>
    </row>
    <row r="8" spans="1:15" x14ac:dyDescent="0.4">
      <c r="A8" t="s">
        <v>1470</v>
      </c>
      <c r="B8">
        <v>60</v>
      </c>
      <c r="C8" t="s">
        <v>3</v>
      </c>
      <c r="D8">
        <v>33</v>
      </c>
      <c r="E8" t="s">
        <v>451</v>
      </c>
      <c r="F8">
        <v>1220</v>
      </c>
      <c r="G8" t="s">
        <v>1343</v>
      </c>
      <c r="H8">
        <v>580055</v>
      </c>
      <c r="I8">
        <v>20007684</v>
      </c>
      <c r="J8" t="s">
        <v>1477</v>
      </c>
      <c r="K8">
        <v>800157</v>
      </c>
      <c r="L8">
        <v>1</v>
      </c>
      <c r="M8" t="s">
        <v>1475</v>
      </c>
      <c r="N8" t="s">
        <v>187</v>
      </c>
      <c r="O8">
        <v>824400</v>
      </c>
    </row>
    <row r="9" spans="1:15" x14ac:dyDescent="0.4">
      <c r="A9" t="s">
        <v>1470</v>
      </c>
      <c r="B9">
        <v>60</v>
      </c>
      <c r="C9" t="s">
        <v>3</v>
      </c>
      <c r="D9">
        <v>33</v>
      </c>
      <c r="E9" t="s">
        <v>451</v>
      </c>
      <c r="F9">
        <v>1220</v>
      </c>
      <c r="G9" t="s">
        <v>1343</v>
      </c>
      <c r="H9">
        <v>580171</v>
      </c>
      <c r="I9">
        <v>10050973</v>
      </c>
      <c r="J9" t="s">
        <v>1478</v>
      </c>
      <c r="K9">
        <v>800157</v>
      </c>
      <c r="L9">
        <v>1</v>
      </c>
      <c r="M9" t="s">
        <v>1479</v>
      </c>
      <c r="N9" t="s">
        <v>231</v>
      </c>
      <c r="O9">
        <v>439200</v>
      </c>
    </row>
    <row r="10" spans="1:15" x14ac:dyDescent="0.4">
      <c r="A10" t="s">
        <v>1470</v>
      </c>
      <c r="B10">
        <v>60</v>
      </c>
      <c r="C10" t="s">
        <v>3</v>
      </c>
      <c r="D10">
        <v>33</v>
      </c>
      <c r="E10" t="s">
        <v>451</v>
      </c>
      <c r="F10">
        <v>1273</v>
      </c>
      <c r="G10" t="s">
        <v>1084</v>
      </c>
      <c r="H10">
        <v>580334</v>
      </c>
      <c r="I10">
        <v>10019852</v>
      </c>
      <c r="J10" t="s">
        <v>1480</v>
      </c>
      <c r="K10">
        <v>800157</v>
      </c>
      <c r="L10">
        <v>1</v>
      </c>
      <c r="M10" t="s">
        <v>1469</v>
      </c>
      <c r="N10" t="s">
        <v>197</v>
      </c>
      <c r="O10">
        <v>784000</v>
      </c>
    </row>
    <row r="11" spans="1:15" x14ac:dyDescent="0.4">
      <c r="A11" t="s">
        <v>1470</v>
      </c>
      <c r="B11">
        <v>50</v>
      </c>
      <c r="C11" t="s">
        <v>1</v>
      </c>
      <c r="D11">
        <v>11</v>
      </c>
      <c r="E11" t="s">
        <v>192</v>
      </c>
      <c r="F11">
        <v>1085</v>
      </c>
      <c r="G11" t="s">
        <v>854</v>
      </c>
      <c r="H11">
        <v>580350</v>
      </c>
      <c r="I11">
        <v>20015073</v>
      </c>
      <c r="J11" t="s">
        <v>1481</v>
      </c>
      <c r="K11">
        <v>800157</v>
      </c>
      <c r="L11">
        <v>1</v>
      </c>
      <c r="M11" t="s">
        <v>1469</v>
      </c>
      <c r="N11" t="s">
        <v>197</v>
      </c>
      <c r="O11">
        <v>899200</v>
      </c>
    </row>
    <row r="12" spans="1:15" x14ac:dyDescent="0.4">
      <c r="A12" t="s">
        <v>1470</v>
      </c>
      <c r="B12">
        <v>70</v>
      </c>
      <c r="C12" t="s">
        <v>2</v>
      </c>
      <c r="D12">
        <v>41</v>
      </c>
      <c r="E12" t="s">
        <v>306</v>
      </c>
      <c r="F12">
        <v>1298</v>
      </c>
      <c r="G12" t="s">
        <v>1277</v>
      </c>
      <c r="H12">
        <v>580438</v>
      </c>
      <c r="I12">
        <v>10025629</v>
      </c>
      <c r="J12" t="s">
        <v>1482</v>
      </c>
      <c r="K12">
        <v>800157</v>
      </c>
      <c r="L12">
        <v>1</v>
      </c>
      <c r="M12" t="s">
        <v>1475</v>
      </c>
      <c r="N12" t="s">
        <v>187</v>
      </c>
      <c r="O12">
        <v>784000</v>
      </c>
    </row>
    <row r="13" spans="1:15" x14ac:dyDescent="0.4">
      <c r="A13" t="s">
        <v>1470</v>
      </c>
      <c r="B13">
        <v>80</v>
      </c>
      <c r="C13" t="s">
        <v>4</v>
      </c>
      <c r="D13">
        <v>81</v>
      </c>
      <c r="E13" t="s">
        <v>550</v>
      </c>
      <c r="F13">
        <v>1378</v>
      </c>
      <c r="G13" t="s">
        <v>881</v>
      </c>
      <c r="H13">
        <v>580463</v>
      </c>
      <c r="I13">
        <v>10044366</v>
      </c>
      <c r="J13" t="s">
        <v>1483</v>
      </c>
      <c r="K13">
        <v>800157</v>
      </c>
      <c r="L13">
        <v>1</v>
      </c>
      <c r="M13" t="s">
        <v>1479</v>
      </c>
      <c r="N13" t="s">
        <v>231</v>
      </c>
      <c r="O13">
        <v>790400</v>
      </c>
    </row>
    <row r="14" spans="1:15" x14ac:dyDescent="0.4">
      <c r="A14" t="s">
        <v>1469</v>
      </c>
      <c r="B14">
        <v>60</v>
      </c>
      <c r="C14" t="s">
        <v>3</v>
      </c>
      <c r="D14">
        <v>33</v>
      </c>
      <c r="E14" t="s">
        <v>451</v>
      </c>
      <c r="F14">
        <v>1220</v>
      </c>
      <c r="G14" t="s">
        <v>1343</v>
      </c>
      <c r="H14">
        <v>580478</v>
      </c>
      <c r="I14">
        <v>20005939</v>
      </c>
      <c r="J14" t="s">
        <v>1484</v>
      </c>
      <c r="K14">
        <v>800157</v>
      </c>
      <c r="L14">
        <v>1</v>
      </c>
      <c r="M14" t="s">
        <v>1479</v>
      </c>
      <c r="N14" t="s">
        <v>231</v>
      </c>
      <c r="O14">
        <v>385200</v>
      </c>
    </row>
    <row r="15" spans="1:15" x14ac:dyDescent="0.4">
      <c r="A15" t="s">
        <v>1470</v>
      </c>
      <c r="B15">
        <v>50</v>
      </c>
      <c r="C15" t="s">
        <v>1</v>
      </c>
      <c r="D15">
        <v>21</v>
      </c>
      <c r="E15" t="s">
        <v>182</v>
      </c>
      <c r="F15">
        <v>1166</v>
      </c>
      <c r="G15" t="s">
        <v>1082</v>
      </c>
      <c r="H15">
        <v>580532</v>
      </c>
      <c r="I15">
        <v>10029302</v>
      </c>
      <c r="J15" t="s">
        <v>1485</v>
      </c>
      <c r="K15">
        <v>800157</v>
      </c>
      <c r="L15">
        <v>1</v>
      </c>
      <c r="M15" t="s">
        <v>1475</v>
      </c>
      <c r="N15" t="s">
        <v>187</v>
      </c>
      <c r="O15">
        <v>468000</v>
      </c>
    </row>
    <row r="16" spans="1:15" x14ac:dyDescent="0.4">
      <c r="A16" t="s">
        <v>1475</v>
      </c>
      <c r="B16">
        <v>70</v>
      </c>
      <c r="C16" t="s">
        <v>2</v>
      </c>
      <c r="D16">
        <v>41</v>
      </c>
      <c r="E16" t="s">
        <v>306</v>
      </c>
      <c r="F16">
        <v>1552</v>
      </c>
      <c r="G16" t="s">
        <v>929</v>
      </c>
      <c r="H16">
        <v>580610</v>
      </c>
      <c r="I16">
        <v>10059731</v>
      </c>
      <c r="J16" t="s">
        <v>1486</v>
      </c>
      <c r="K16">
        <v>800157</v>
      </c>
      <c r="L16">
        <v>1</v>
      </c>
      <c r="M16" t="s">
        <v>1487</v>
      </c>
      <c r="N16" t="s">
        <v>243</v>
      </c>
      <c r="O16">
        <v>784000</v>
      </c>
    </row>
    <row r="17" spans="1:15" x14ac:dyDescent="0.4">
      <c r="A17" t="s">
        <v>1469</v>
      </c>
      <c r="B17">
        <v>50</v>
      </c>
      <c r="C17" t="s">
        <v>1</v>
      </c>
      <c r="D17">
        <v>11</v>
      </c>
      <c r="E17" t="s">
        <v>192</v>
      </c>
      <c r="F17">
        <v>1353</v>
      </c>
      <c r="G17" t="s">
        <v>1017</v>
      </c>
      <c r="H17">
        <v>580622</v>
      </c>
      <c r="I17">
        <v>10003097</v>
      </c>
      <c r="J17" t="s">
        <v>1488</v>
      </c>
      <c r="K17">
        <v>800155</v>
      </c>
      <c r="L17">
        <v>1</v>
      </c>
      <c r="M17" t="s">
        <v>1475</v>
      </c>
      <c r="N17" t="s">
        <v>195</v>
      </c>
      <c r="O17">
        <v>170400</v>
      </c>
    </row>
    <row r="18" spans="1:15" x14ac:dyDescent="0.4">
      <c r="A18" t="s">
        <v>1469</v>
      </c>
      <c r="B18">
        <v>50</v>
      </c>
      <c r="C18" t="s">
        <v>1</v>
      </c>
      <c r="D18">
        <v>11</v>
      </c>
      <c r="E18" t="s">
        <v>192</v>
      </c>
      <c r="F18">
        <v>1398</v>
      </c>
      <c r="G18" t="s">
        <v>1489</v>
      </c>
      <c r="H18">
        <v>580623</v>
      </c>
      <c r="I18">
        <v>10031290</v>
      </c>
      <c r="J18" t="s">
        <v>1490</v>
      </c>
      <c r="K18">
        <v>800157</v>
      </c>
      <c r="L18">
        <v>1</v>
      </c>
      <c r="M18" t="s">
        <v>1475</v>
      </c>
      <c r="N18" t="s">
        <v>187</v>
      </c>
      <c r="O18">
        <v>784000</v>
      </c>
    </row>
    <row r="19" spans="1:15" x14ac:dyDescent="0.4">
      <c r="A19" t="s">
        <v>1469</v>
      </c>
      <c r="B19">
        <v>70</v>
      </c>
      <c r="C19" t="s">
        <v>2</v>
      </c>
      <c r="D19">
        <v>41</v>
      </c>
      <c r="E19" t="s">
        <v>306</v>
      </c>
      <c r="F19">
        <v>1421</v>
      </c>
      <c r="G19" t="s">
        <v>936</v>
      </c>
      <c r="H19">
        <v>580635</v>
      </c>
      <c r="I19">
        <v>10066776</v>
      </c>
      <c r="J19" t="s">
        <v>1491</v>
      </c>
      <c r="K19">
        <v>800157</v>
      </c>
      <c r="L19">
        <v>1</v>
      </c>
      <c r="M19" t="s">
        <v>1475</v>
      </c>
      <c r="N19" t="s">
        <v>187</v>
      </c>
      <c r="O19">
        <v>784000</v>
      </c>
    </row>
    <row r="20" spans="1:15" x14ac:dyDescent="0.4">
      <c r="A20" t="s">
        <v>1469</v>
      </c>
      <c r="B20">
        <v>80</v>
      </c>
      <c r="C20" t="s">
        <v>4</v>
      </c>
      <c r="D20">
        <v>81</v>
      </c>
      <c r="E20" t="s">
        <v>550</v>
      </c>
      <c r="F20">
        <v>1378</v>
      </c>
      <c r="G20" t="s">
        <v>881</v>
      </c>
      <c r="H20">
        <v>580663</v>
      </c>
      <c r="I20">
        <v>10003045</v>
      </c>
      <c r="J20" t="s">
        <v>1492</v>
      </c>
      <c r="K20">
        <v>800157</v>
      </c>
      <c r="L20">
        <v>1</v>
      </c>
      <c r="M20" t="s">
        <v>1475</v>
      </c>
      <c r="N20" t="s">
        <v>187</v>
      </c>
      <c r="O20">
        <v>784000</v>
      </c>
    </row>
    <row r="21" spans="1:15" x14ac:dyDescent="0.4">
      <c r="A21" t="s">
        <v>1469</v>
      </c>
      <c r="B21">
        <v>60</v>
      </c>
      <c r="C21" t="s">
        <v>3</v>
      </c>
      <c r="D21">
        <v>31</v>
      </c>
      <c r="E21" t="s">
        <v>447</v>
      </c>
      <c r="F21">
        <v>1367</v>
      </c>
      <c r="G21" t="s">
        <v>977</v>
      </c>
      <c r="H21">
        <v>580683</v>
      </c>
      <c r="I21">
        <v>20005352</v>
      </c>
      <c r="J21" t="s">
        <v>1493</v>
      </c>
      <c r="K21">
        <v>800157</v>
      </c>
      <c r="L21">
        <v>1</v>
      </c>
      <c r="M21" t="s">
        <v>1475</v>
      </c>
      <c r="N21" t="s">
        <v>187</v>
      </c>
      <c r="O21">
        <v>921600</v>
      </c>
    </row>
    <row r="22" spans="1:15" x14ac:dyDescent="0.4">
      <c r="A22" t="s">
        <v>1475</v>
      </c>
      <c r="B22">
        <v>70</v>
      </c>
      <c r="C22" t="s">
        <v>2</v>
      </c>
      <c r="D22">
        <v>41</v>
      </c>
      <c r="E22" t="s">
        <v>306</v>
      </c>
      <c r="F22">
        <v>1383</v>
      </c>
      <c r="G22" t="s">
        <v>957</v>
      </c>
      <c r="H22">
        <v>580715</v>
      </c>
      <c r="I22">
        <v>10076435</v>
      </c>
      <c r="J22" t="s">
        <v>1494</v>
      </c>
      <c r="K22">
        <v>800157</v>
      </c>
      <c r="L22">
        <v>1</v>
      </c>
      <c r="M22" t="s">
        <v>1475</v>
      </c>
      <c r="N22" t="s">
        <v>187</v>
      </c>
      <c r="O22">
        <v>806400</v>
      </c>
    </row>
    <row r="23" spans="1:15" x14ac:dyDescent="0.4">
      <c r="A23" t="s">
        <v>1469</v>
      </c>
      <c r="B23">
        <v>70</v>
      </c>
      <c r="C23" t="s">
        <v>2</v>
      </c>
      <c r="D23">
        <v>41</v>
      </c>
      <c r="E23" t="s">
        <v>306</v>
      </c>
      <c r="F23">
        <v>1421</v>
      </c>
      <c r="G23" t="s">
        <v>936</v>
      </c>
      <c r="H23">
        <v>580774</v>
      </c>
      <c r="I23">
        <v>10044912</v>
      </c>
      <c r="J23" t="s">
        <v>1495</v>
      </c>
      <c r="K23">
        <v>800157</v>
      </c>
      <c r="L23">
        <v>1</v>
      </c>
      <c r="M23" t="s">
        <v>1475</v>
      </c>
      <c r="N23" t="s">
        <v>187</v>
      </c>
      <c r="O23">
        <v>597600</v>
      </c>
    </row>
    <row r="24" spans="1:15" x14ac:dyDescent="0.4">
      <c r="A24" t="s">
        <v>1469</v>
      </c>
      <c r="B24">
        <v>80</v>
      </c>
      <c r="C24" t="s">
        <v>4</v>
      </c>
      <c r="D24">
        <v>81</v>
      </c>
      <c r="E24" t="s">
        <v>550</v>
      </c>
      <c r="F24">
        <v>1361</v>
      </c>
      <c r="G24" t="s">
        <v>892</v>
      </c>
      <c r="H24">
        <v>580797</v>
      </c>
      <c r="I24">
        <v>20008802</v>
      </c>
      <c r="J24" t="s">
        <v>1496</v>
      </c>
      <c r="K24">
        <v>800157</v>
      </c>
      <c r="L24">
        <v>1</v>
      </c>
      <c r="M24" t="s">
        <v>1475</v>
      </c>
      <c r="N24" t="s">
        <v>187</v>
      </c>
      <c r="O24">
        <v>787200</v>
      </c>
    </row>
    <row r="25" spans="1:15" x14ac:dyDescent="0.4">
      <c r="A25" t="s">
        <v>1469</v>
      </c>
      <c r="B25">
        <v>70</v>
      </c>
      <c r="C25" t="s">
        <v>2</v>
      </c>
      <c r="D25">
        <v>41</v>
      </c>
      <c r="E25" t="s">
        <v>306</v>
      </c>
      <c r="F25">
        <v>1445</v>
      </c>
      <c r="G25" t="s">
        <v>886</v>
      </c>
      <c r="H25">
        <v>580804</v>
      </c>
      <c r="I25">
        <v>20016230</v>
      </c>
      <c r="J25" t="s">
        <v>1497</v>
      </c>
      <c r="K25">
        <v>800157</v>
      </c>
      <c r="L25">
        <v>1</v>
      </c>
      <c r="M25" t="s">
        <v>1479</v>
      </c>
      <c r="N25" t="s">
        <v>231</v>
      </c>
      <c r="O25">
        <v>784800</v>
      </c>
    </row>
    <row r="26" spans="1:15" x14ac:dyDescent="0.4">
      <c r="A26" t="s">
        <v>1475</v>
      </c>
      <c r="B26">
        <v>80</v>
      </c>
      <c r="C26" t="s">
        <v>4</v>
      </c>
      <c r="D26">
        <v>81</v>
      </c>
      <c r="E26" t="s">
        <v>550</v>
      </c>
      <c r="F26">
        <v>1378</v>
      </c>
      <c r="G26" t="s">
        <v>881</v>
      </c>
      <c r="H26">
        <v>580821</v>
      </c>
      <c r="I26">
        <v>20008627</v>
      </c>
      <c r="J26" t="s">
        <v>1498</v>
      </c>
      <c r="K26">
        <v>800157</v>
      </c>
      <c r="L26">
        <v>1</v>
      </c>
      <c r="M26" t="s">
        <v>1479</v>
      </c>
      <c r="N26" t="s">
        <v>231</v>
      </c>
      <c r="O26">
        <v>784000</v>
      </c>
    </row>
    <row r="27" spans="1:15" x14ac:dyDescent="0.4">
      <c r="A27" t="s">
        <v>1475</v>
      </c>
      <c r="B27">
        <v>70</v>
      </c>
      <c r="C27" t="s">
        <v>2</v>
      </c>
      <c r="D27">
        <v>41</v>
      </c>
      <c r="E27" t="s">
        <v>306</v>
      </c>
      <c r="F27">
        <v>1445</v>
      </c>
      <c r="G27" t="s">
        <v>886</v>
      </c>
      <c r="H27">
        <v>580825</v>
      </c>
      <c r="I27">
        <v>10059034</v>
      </c>
      <c r="J27" t="s">
        <v>1499</v>
      </c>
      <c r="K27">
        <v>800157</v>
      </c>
      <c r="L27">
        <v>1</v>
      </c>
      <c r="M27" t="s">
        <v>1487</v>
      </c>
      <c r="N27" t="s">
        <v>243</v>
      </c>
      <c r="O27">
        <v>730800</v>
      </c>
    </row>
    <row r="28" spans="1:15" x14ac:dyDescent="0.4">
      <c r="A28" t="s">
        <v>1469</v>
      </c>
      <c r="B28">
        <v>50</v>
      </c>
      <c r="C28" t="s">
        <v>1</v>
      </c>
      <c r="D28">
        <v>11</v>
      </c>
      <c r="E28" t="s">
        <v>192</v>
      </c>
      <c r="F28">
        <v>1494</v>
      </c>
      <c r="G28" t="s">
        <v>1500</v>
      </c>
      <c r="H28">
        <v>580858</v>
      </c>
      <c r="I28">
        <v>10011857</v>
      </c>
      <c r="J28" t="s">
        <v>1501</v>
      </c>
      <c r="K28">
        <v>800157</v>
      </c>
      <c r="L28">
        <v>1</v>
      </c>
      <c r="M28" t="s">
        <v>1475</v>
      </c>
      <c r="N28" t="s">
        <v>187</v>
      </c>
      <c r="O28">
        <v>796800</v>
      </c>
    </row>
    <row r="29" spans="1:15" x14ac:dyDescent="0.4">
      <c r="A29" t="s">
        <v>1469</v>
      </c>
      <c r="B29">
        <v>50</v>
      </c>
      <c r="C29" t="s">
        <v>1</v>
      </c>
      <c r="D29">
        <v>11</v>
      </c>
      <c r="E29" t="s">
        <v>192</v>
      </c>
      <c r="F29">
        <v>1494</v>
      </c>
      <c r="G29" t="s">
        <v>1500</v>
      </c>
      <c r="H29">
        <v>580860</v>
      </c>
      <c r="I29">
        <v>10004055</v>
      </c>
      <c r="J29" t="s">
        <v>1502</v>
      </c>
      <c r="K29">
        <v>800157</v>
      </c>
      <c r="L29">
        <v>1</v>
      </c>
      <c r="M29" t="s">
        <v>1475</v>
      </c>
      <c r="N29" t="s">
        <v>187</v>
      </c>
      <c r="O29">
        <v>784000</v>
      </c>
    </row>
    <row r="30" spans="1:15" x14ac:dyDescent="0.4">
      <c r="A30" t="s">
        <v>1475</v>
      </c>
      <c r="B30">
        <v>60</v>
      </c>
      <c r="C30" t="s">
        <v>3</v>
      </c>
      <c r="D30">
        <v>31</v>
      </c>
      <c r="E30" t="s">
        <v>447</v>
      </c>
      <c r="F30">
        <v>1116</v>
      </c>
      <c r="G30" t="s">
        <v>1075</v>
      </c>
      <c r="H30">
        <v>580866</v>
      </c>
      <c r="I30">
        <v>20008772</v>
      </c>
      <c r="J30" t="s">
        <v>1503</v>
      </c>
      <c r="K30">
        <v>800157</v>
      </c>
      <c r="L30">
        <v>1</v>
      </c>
      <c r="M30" t="s">
        <v>1479</v>
      </c>
      <c r="N30" t="s">
        <v>231</v>
      </c>
      <c r="O30">
        <v>748800</v>
      </c>
    </row>
    <row r="31" spans="1:15" x14ac:dyDescent="0.4">
      <c r="A31" t="s">
        <v>1469</v>
      </c>
      <c r="B31">
        <v>80</v>
      </c>
      <c r="C31" t="s">
        <v>4</v>
      </c>
      <c r="D31">
        <v>81</v>
      </c>
      <c r="E31" t="s">
        <v>550</v>
      </c>
      <c r="F31">
        <v>1361</v>
      </c>
      <c r="G31" t="s">
        <v>892</v>
      </c>
      <c r="H31">
        <v>580875</v>
      </c>
      <c r="I31">
        <v>10028614</v>
      </c>
      <c r="J31" t="s">
        <v>1504</v>
      </c>
      <c r="K31">
        <v>800157</v>
      </c>
      <c r="L31">
        <v>1</v>
      </c>
      <c r="M31" t="s">
        <v>1475</v>
      </c>
      <c r="N31" t="s">
        <v>187</v>
      </c>
      <c r="O31">
        <v>784000</v>
      </c>
    </row>
    <row r="32" spans="1:15" x14ac:dyDescent="0.4">
      <c r="A32" t="s">
        <v>1469</v>
      </c>
      <c r="B32">
        <v>50</v>
      </c>
      <c r="C32" t="s">
        <v>1</v>
      </c>
      <c r="D32">
        <v>11</v>
      </c>
      <c r="E32" t="s">
        <v>192</v>
      </c>
      <c r="F32">
        <v>1085</v>
      </c>
      <c r="G32" t="s">
        <v>854</v>
      </c>
      <c r="H32">
        <v>580883</v>
      </c>
      <c r="I32">
        <v>20015709</v>
      </c>
      <c r="J32" t="s">
        <v>1505</v>
      </c>
      <c r="K32">
        <v>800157</v>
      </c>
      <c r="L32">
        <v>1</v>
      </c>
      <c r="M32" t="s">
        <v>1475</v>
      </c>
      <c r="N32" t="s">
        <v>187</v>
      </c>
      <c r="O32">
        <v>822400</v>
      </c>
    </row>
    <row r="33" spans="1:15" x14ac:dyDescent="0.4">
      <c r="A33" t="s">
        <v>1469</v>
      </c>
      <c r="B33">
        <v>50</v>
      </c>
      <c r="C33" t="s">
        <v>1</v>
      </c>
      <c r="D33">
        <v>11</v>
      </c>
      <c r="E33" t="s">
        <v>192</v>
      </c>
      <c r="F33">
        <v>1353</v>
      </c>
      <c r="G33" t="s">
        <v>1017</v>
      </c>
      <c r="H33">
        <v>580895</v>
      </c>
      <c r="I33">
        <v>10032580</v>
      </c>
      <c r="J33" t="s">
        <v>1506</v>
      </c>
      <c r="K33">
        <v>800155</v>
      </c>
      <c r="L33">
        <v>1</v>
      </c>
      <c r="M33" t="s">
        <v>1475</v>
      </c>
      <c r="N33" t="s">
        <v>195</v>
      </c>
      <c r="O33">
        <v>148800</v>
      </c>
    </row>
    <row r="34" spans="1:15" x14ac:dyDescent="0.4">
      <c r="A34" t="s">
        <v>1469</v>
      </c>
      <c r="B34">
        <v>50</v>
      </c>
      <c r="C34" t="s">
        <v>1</v>
      </c>
      <c r="D34">
        <v>21</v>
      </c>
      <c r="E34" t="s">
        <v>182</v>
      </c>
      <c r="F34">
        <v>1264</v>
      </c>
      <c r="G34" t="s">
        <v>1023</v>
      </c>
      <c r="H34">
        <v>580908</v>
      </c>
      <c r="I34">
        <v>10024196</v>
      </c>
      <c r="J34" t="s">
        <v>1507</v>
      </c>
      <c r="K34">
        <v>800157</v>
      </c>
      <c r="L34">
        <v>1</v>
      </c>
      <c r="M34" t="s">
        <v>1475</v>
      </c>
      <c r="N34" t="s">
        <v>187</v>
      </c>
      <c r="O34">
        <v>784000</v>
      </c>
    </row>
    <row r="35" spans="1:15" x14ac:dyDescent="0.4">
      <c r="A35" t="s">
        <v>1469</v>
      </c>
      <c r="B35">
        <v>60</v>
      </c>
      <c r="C35" t="s">
        <v>3</v>
      </c>
      <c r="D35">
        <v>33</v>
      </c>
      <c r="E35" t="s">
        <v>451</v>
      </c>
      <c r="F35">
        <v>1273</v>
      </c>
      <c r="G35" t="s">
        <v>1084</v>
      </c>
      <c r="H35">
        <v>580921</v>
      </c>
      <c r="I35">
        <v>20005823</v>
      </c>
      <c r="J35" t="s">
        <v>1508</v>
      </c>
      <c r="K35">
        <v>800157</v>
      </c>
      <c r="L35">
        <v>1</v>
      </c>
      <c r="M35" t="s">
        <v>1475</v>
      </c>
      <c r="N35" t="s">
        <v>187</v>
      </c>
      <c r="O35">
        <v>802800</v>
      </c>
    </row>
    <row r="36" spans="1:15" x14ac:dyDescent="0.4">
      <c r="A36" t="s">
        <v>1475</v>
      </c>
      <c r="B36">
        <v>75</v>
      </c>
      <c r="C36" t="s">
        <v>5</v>
      </c>
      <c r="D36">
        <v>51</v>
      </c>
      <c r="E36" t="s">
        <v>657</v>
      </c>
      <c r="F36">
        <v>1435</v>
      </c>
      <c r="G36" t="s">
        <v>860</v>
      </c>
      <c r="H36">
        <v>580931</v>
      </c>
      <c r="I36">
        <v>10079406</v>
      </c>
      <c r="J36" t="s">
        <v>1509</v>
      </c>
      <c r="K36">
        <v>800157</v>
      </c>
      <c r="L36">
        <v>1</v>
      </c>
      <c r="M36" t="s">
        <v>1475</v>
      </c>
      <c r="N36" t="s">
        <v>187</v>
      </c>
      <c r="O36">
        <v>784000</v>
      </c>
    </row>
    <row r="37" spans="1:15" x14ac:dyDescent="0.4">
      <c r="A37" t="s">
        <v>1469</v>
      </c>
      <c r="B37">
        <v>50</v>
      </c>
      <c r="C37" t="s">
        <v>1</v>
      </c>
      <c r="D37">
        <v>21</v>
      </c>
      <c r="E37" t="s">
        <v>182</v>
      </c>
      <c r="F37">
        <v>1345</v>
      </c>
      <c r="G37" t="s">
        <v>874</v>
      </c>
      <c r="H37">
        <v>580952</v>
      </c>
      <c r="I37">
        <v>10021269</v>
      </c>
      <c r="J37" t="s">
        <v>1510</v>
      </c>
      <c r="K37">
        <v>800157</v>
      </c>
      <c r="L37">
        <v>1</v>
      </c>
      <c r="M37" t="s">
        <v>1475</v>
      </c>
      <c r="N37" t="s">
        <v>187</v>
      </c>
      <c r="O37">
        <v>766800</v>
      </c>
    </row>
    <row r="38" spans="1:15" x14ac:dyDescent="0.4">
      <c r="A38" t="s">
        <v>1469</v>
      </c>
      <c r="B38">
        <v>50</v>
      </c>
      <c r="C38" t="s">
        <v>1</v>
      </c>
      <c r="D38">
        <v>21</v>
      </c>
      <c r="E38" t="s">
        <v>182</v>
      </c>
      <c r="F38">
        <v>1197</v>
      </c>
      <c r="G38" t="s">
        <v>1511</v>
      </c>
      <c r="H38">
        <v>580977</v>
      </c>
      <c r="I38">
        <v>10001455</v>
      </c>
      <c r="J38" t="s">
        <v>1512</v>
      </c>
      <c r="K38">
        <v>800157</v>
      </c>
      <c r="L38">
        <v>1</v>
      </c>
      <c r="M38" t="s">
        <v>1475</v>
      </c>
      <c r="N38" t="s">
        <v>187</v>
      </c>
      <c r="O38">
        <v>787200</v>
      </c>
    </row>
    <row r="39" spans="1:15" x14ac:dyDescent="0.4">
      <c r="A39" t="s">
        <v>1479</v>
      </c>
      <c r="B39">
        <v>70</v>
      </c>
      <c r="C39" t="s">
        <v>2</v>
      </c>
      <c r="D39">
        <v>41</v>
      </c>
      <c r="E39" t="s">
        <v>306</v>
      </c>
      <c r="F39">
        <v>1421</v>
      </c>
      <c r="G39" t="s">
        <v>936</v>
      </c>
      <c r="H39">
        <v>580985</v>
      </c>
      <c r="I39">
        <v>20005712</v>
      </c>
      <c r="J39" t="s">
        <v>1513</v>
      </c>
      <c r="K39">
        <v>800157</v>
      </c>
      <c r="L39">
        <v>1</v>
      </c>
      <c r="M39" t="s">
        <v>1479</v>
      </c>
      <c r="N39" t="s">
        <v>231</v>
      </c>
      <c r="O39">
        <v>464400</v>
      </c>
    </row>
    <row r="40" spans="1:15" x14ac:dyDescent="0.4">
      <c r="A40" t="s">
        <v>1469</v>
      </c>
      <c r="B40">
        <v>76</v>
      </c>
      <c r="C40" t="s">
        <v>6</v>
      </c>
      <c r="D40">
        <v>61</v>
      </c>
      <c r="E40" t="s">
        <v>703</v>
      </c>
      <c r="F40">
        <v>1415</v>
      </c>
      <c r="G40" t="s">
        <v>1038</v>
      </c>
      <c r="H40">
        <v>581004</v>
      </c>
      <c r="I40">
        <v>20008638</v>
      </c>
      <c r="J40" t="s">
        <v>1514</v>
      </c>
      <c r="K40">
        <v>800157</v>
      </c>
      <c r="L40">
        <v>1</v>
      </c>
      <c r="M40" t="s">
        <v>1479</v>
      </c>
      <c r="N40" t="s">
        <v>231</v>
      </c>
      <c r="O40">
        <v>806400</v>
      </c>
    </row>
    <row r="41" spans="1:15" x14ac:dyDescent="0.4">
      <c r="A41" t="s">
        <v>1475</v>
      </c>
      <c r="B41">
        <v>60</v>
      </c>
      <c r="C41" t="s">
        <v>3</v>
      </c>
      <c r="D41">
        <v>31</v>
      </c>
      <c r="E41" t="s">
        <v>447</v>
      </c>
      <c r="F41">
        <v>1116</v>
      </c>
      <c r="G41" t="s">
        <v>1075</v>
      </c>
      <c r="H41">
        <v>581031</v>
      </c>
      <c r="I41">
        <v>10003364</v>
      </c>
      <c r="J41" t="s">
        <v>1515</v>
      </c>
      <c r="K41">
        <v>800157</v>
      </c>
      <c r="L41">
        <v>1</v>
      </c>
      <c r="M41" t="s">
        <v>1487</v>
      </c>
      <c r="N41" t="s">
        <v>243</v>
      </c>
      <c r="O41">
        <v>759600</v>
      </c>
    </row>
    <row r="42" spans="1:15" x14ac:dyDescent="0.4">
      <c r="A42" t="s">
        <v>1469</v>
      </c>
      <c r="B42">
        <v>50</v>
      </c>
      <c r="C42" t="s">
        <v>1</v>
      </c>
      <c r="D42">
        <v>11</v>
      </c>
      <c r="E42" t="s">
        <v>192</v>
      </c>
      <c r="F42">
        <v>1353</v>
      </c>
      <c r="G42" t="s">
        <v>1017</v>
      </c>
      <c r="H42">
        <v>581051</v>
      </c>
      <c r="I42">
        <v>10047986</v>
      </c>
      <c r="J42" t="s">
        <v>1516</v>
      </c>
      <c r="K42">
        <v>800157</v>
      </c>
      <c r="L42">
        <v>1</v>
      </c>
      <c r="M42" t="s">
        <v>1475</v>
      </c>
      <c r="N42" t="s">
        <v>187</v>
      </c>
      <c r="O42">
        <v>784000</v>
      </c>
    </row>
    <row r="43" spans="1:15" x14ac:dyDescent="0.4">
      <c r="A43" t="s">
        <v>1475</v>
      </c>
      <c r="B43">
        <v>70</v>
      </c>
      <c r="C43" t="s">
        <v>2</v>
      </c>
      <c r="D43">
        <v>41</v>
      </c>
      <c r="E43" t="s">
        <v>306</v>
      </c>
      <c r="F43">
        <v>1552</v>
      </c>
      <c r="G43" t="s">
        <v>929</v>
      </c>
      <c r="H43">
        <v>581068</v>
      </c>
      <c r="I43">
        <v>10028073</v>
      </c>
      <c r="J43" t="s">
        <v>713</v>
      </c>
      <c r="K43">
        <v>800157</v>
      </c>
      <c r="L43">
        <v>1</v>
      </c>
      <c r="M43" t="s">
        <v>1479</v>
      </c>
      <c r="N43" t="s">
        <v>231</v>
      </c>
      <c r="O43">
        <v>748800</v>
      </c>
    </row>
    <row r="44" spans="1:15" x14ac:dyDescent="0.4">
      <c r="A44" t="s">
        <v>1475</v>
      </c>
      <c r="B44">
        <v>76</v>
      </c>
      <c r="C44" t="s">
        <v>6</v>
      </c>
      <c r="D44">
        <v>61</v>
      </c>
      <c r="E44" t="s">
        <v>703</v>
      </c>
      <c r="F44">
        <v>1415</v>
      </c>
      <c r="G44" t="s">
        <v>1038</v>
      </c>
      <c r="H44">
        <v>581108</v>
      </c>
      <c r="I44">
        <v>20006623</v>
      </c>
      <c r="J44" t="s">
        <v>1517</v>
      </c>
      <c r="K44">
        <v>800157</v>
      </c>
      <c r="L44">
        <v>1</v>
      </c>
      <c r="M44" t="s">
        <v>1479</v>
      </c>
      <c r="N44" t="s">
        <v>231</v>
      </c>
      <c r="O44">
        <v>784000</v>
      </c>
    </row>
    <row r="45" spans="1:15" x14ac:dyDescent="0.4">
      <c r="A45" t="s">
        <v>1469</v>
      </c>
      <c r="B45">
        <v>76</v>
      </c>
      <c r="C45" t="s">
        <v>6</v>
      </c>
      <c r="D45">
        <v>61</v>
      </c>
      <c r="E45" t="s">
        <v>703</v>
      </c>
      <c r="F45">
        <v>1415</v>
      </c>
      <c r="G45" t="s">
        <v>1038</v>
      </c>
      <c r="H45">
        <v>581110</v>
      </c>
      <c r="I45">
        <v>20006406</v>
      </c>
      <c r="J45" t="s">
        <v>1518</v>
      </c>
      <c r="K45">
        <v>800157</v>
      </c>
      <c r="L45">
        <v>1</v>
      </c>
      <c r="M45" t="s">
        <v>1479</v>
      </c>
      <c r="N45" t="s">
        <v>231</v>
      </c>
      <c r="O45">
        <v>796800</v>
      </c>
    </row>
    <row r="46" spans="1:15" x14ac:dyDescent="0.4">
      <c r="A46" t="s">
        <v>1475</v>
      </c>
      <c r="B46">
        <v>60</v>
      </c>
      <c r="C46" t="s">
        <v>3</v>
      </c>
      <c r="D46">
        <v>31</v>
      </c>
      <c r="E46" t="s">
        <v>447</v>
      </c>
      <c r="F46">
        <v>1299</v>
      </c>
      <c r="G46" t="s">
        <v>947</v>
      </c>
      <c r="H46">
        <v>581125</v>
      </c>
      <c r="I46">
        <v>10039946</v>
      </c>
      <c r="J46" t="s">
        <v>1519</v>
      </c>
      <c r="K46">
        <v>800155</v>
      </c>
      <c r="L46">
        <v>1</v>
      </c>
      <c r="M46" t="s">
        <v>1479</v>
      </c>
      <c r="N46" t="s">
        <v>185</v>
      </c>
      <c r="O46">
        <v>286800</v>
      </c>
    </row>
    <row r="47" spans="1:15" x14ac:dyDescent="0.4">
      <c r="A47" t="s">
        <v>1475</v>
      </c>
      <c r="B47">
        <v>76</v>
      </c>
      <c r="C47" t="s">
        <v>6</v>
      </c>
      <c r="D47">
        <v>61</v>
      </c>
      <c r="E47" t="s">
        <v>703</v>
      </c>
      <c r="F47">
        <v>1389</v>
      </c>
      <c r="G47" t="s">
        <v>1197</v>
      </c>
      <c r="H47">
        <v>581173</v>
      </c>
      <c r="I47">
        <v>10000463</v>
      </c>
      <c r="J47" t="s">
        <v>1520</v>
      </c>
      <c r="K47">
        <v>800157</v>
      </c>
      <c r="L47">
        <v>1</v>
      </c>
      <c r="M47" t="s">
        <v>1479</v>
      </c>
      <c r="N47" t="s">
        <v>231</v>
      </c>
      <c r="O47">
        <v>784000</v>
      </c>
    </row>
    <row r="48" spans="1:15" x14ac:dyDescent="0.4">
      <c r="A48" t="s">
        <v>1475</v>
      </c>
      <c r="B48">
        <v>50</v>
      </c>
      <c r="C48" t="s">
        <v>1</v>
      </c>
      <c r="D48">
        <v>11</v>
      </c>
      <c r="E48" t="s">
        <v>192</v>
      </c>
      <c r="F48">
        <v>1353</v>
      </c>
      <c r="G48" t="s">
        <v>1017</v>
      </c>
      <c r="H48">
        <v>581188</v>
      </c>
      <c r="I48">
        <v>10000830</v>
      </c>
      <c r="J48" t="s">
        <v>1521</v>
      </c>
      <c r="K48">
        <v>800155</v>
      </c>
      <c r="L48">
        <v>1</v>
      </c>
      <c r="M48" t="s">
        <v>1479</v>
      </c>
      <c r="N48" t="s">
        <v>185</v>
      </c>
      <c r="O48">
        <v>148800</v>
      </c>
    </row>
    <row r="49" spans="1:15" x14ac:dyDescent="0.4">
      <c r="A49" t="s">
        <v>1479</v>
      </c>
      <c r="B49">
        <v>70</v>
      </c>
      <c r="C49" t="s">
        <v>2</v>
      </c>
      <c r="D49">
        <v>41</v>
      </c>
      <c r="E49" t="s">
        <v>306</v>
      </c>
      <c r="F49">
        <v>1445</v>
      </c>
      <c r="G49" t="s">
        <v>886</v>
      </c>
      <c r="H49">
        <v>581199</v>
      </c>
      <c r="I49">
        <v>10028524</v>
      </c>
      <c r="J49" t="s">
        <v>1522</v>
      </c>
      <c r="K49">
        <v>800157</v>
      </c>
      <c r="L49">
        <v>1</v>
      </c>
      <c r="M49" t="s">
        <v>1523</v>
      </c>
      <c r="N49" t="s">
        <v>312</v>
      </c>
      <c r="O49">
        <v>468000</v>
      </c>
    </row>
    <row r="50" spans="1:15" x14ac:dyDescent="0.4">
      <c r="A50" t="s">
        <v>1475</v>
      </c>
      <c r="B50">
        <v>60</v>
      </c>
      <c r="C50" t="s">
        <v>3</v>
      </c>
      <c r="D50">
        <v>31</v>
      </c>
      <c r="E50" t="s">
        <v>447</v>
      </c>
      <c r="F50">
        <v>1543</v>
      </c>
      <c r="G50" t="s">
        <v>1183</v>
      </c>
      <c r="H50">
        <v>581212</v>
      </c>
      <c r="I50">
        <v>10014151</v>
      </c>
      <c r="J50" t="s">
        <v>1524</v>
      </c>
      <c r="K50">
        <v>800157</v>
      </c>
      <c r="L50">
        <v>1</v>
      </c>
      <c r="M50" t="s">
        <v>1479</v>
      </c>
      <c r="N50" t="s">
        <v>231</v>
      </c>
      <c r="O50">
        <v>838400</v>
      </c>
    </row>
    <row r="51" spans="1:15" x14ac:dyDescent="0.4">
      <c r="A51" t="s">
        <v>1475</v>
      </c>
      <c r="B51">
        <v>60</v>
      </c>
      <c r="C51" t="s">
        <v>3</v>
      </c>
      <c r="D51">
        <v>31</v>
      </c>
      <c r="E51" t="s">
        <v>447</v>
      </c>
      <c r="F51">
        <v>1543</v>
      </c>
      <c r="G51" t="s">
        <v>1183</v>
      </c>
      <c r="H51">
        <v>581228</v>
      </c>
      <c r="I51">
        <v>10003572</v>
      </c>
      <c r="J51" t="s">
        <v>1525</v>
      </c>
      <c r="K51">
        <v>800157</v>
      </c>
      <c r="L51">
        <v>1</v>
      </c>
      <c r="M51" t="s">
        <v>1479</v>
      </c>
      <c r="N51" t="s">
        <v>231</v>
      </c>
      <c r="O51">
        <v>784000</v>
      </c>
    </row>
    <row r="52" spans="1:15" x14ac:dyDescent="0.4">
      <c r="A52" t="s">
        <v>1475</v>
      </c>
      <c r="B52">
        <v>60</v>
      </c>
      <c r="C52" t="s">
        <v>3</v>
      </c>
      <c r="D52">
        <v>31</v>
      </c>
      <c r="E52" t="s">
        <v>447</v>
      </c>
      <c r="F52">
        <v>1543</v>
      </c>
      <c r="G52" t="s">
        <v>1183</v>
      </c>
      <c r="H52">
        <v>581252</v>
      </c>
      <c r="I52">
        <v>10002049</v>
      </c>
      <c r="J52" t="s">
        <v>1526</v>
      </c>
      <c r="K52">
        <v>800157</v>
      </c>
      <c r="L52">
        <v>1</v>
      </c>
      <c r="M52" t="s">
        <v>1479</v>
      </c>
      <c r="N52" t="s">
        <v>231</v>
      </c>
      <c r="O52">
        <v>806400</v>
      </c>
    </row>
    <row r="53" spans="1:15" x14ac:dyDescent="0.4">
      <c r="A53" t="s">
        <v>1475</v>
      </c>
      <c r="B53">
        <v>60</v>
      </c>
      <c r="C53" t="s">
        <v>3</v>
      </c>
      <c r="D53">
        <v>33</v>
      </c>
      <c r="E53" t="s">
        <v>451</v>
      </c>
      <c r="F53">
        <v>1273</v>
      </c>
      <c r="G53" t="s">
        <v>1084</v>
      </c>
      <c r="H53">
        <v>581275</v>
      </c>
      <c r="I53">
        <v>10060708</v>
      </c>
      <c r="J53" t="s">
        <v>1527</v>
      </c>
      <c r="K53">
        <v>800157</v>
      </c>
      <c r="L53">
        <v>1</v>
      </c>
      <c r="M53" t="s">
        <v>1487</v>
      </c>
      <c r="N53" t="s">
        <v>243</v>
      </c>
      <c r="O53">
        <v>637200</v>
      </c>
    </row>
    <row r="54" spans="1:15" x14ac:dyDescent="0.4">
      <c r="A54" t="s">
        <v>1475</v>
      </c>
      <c r="B54">
        <v>60</v>
      </c>
      <c r="C54" t="s">
        <v>3</v>
      </c>
      <c r="D54">
        <v>33</v>
      </c>
      <c r="E54" t="s">
        <v>451</v>
      </c>
      <c r="F54">
        <v>1273</v>
      </c>
      <c r="G54" t="s">
        <v>1084</v>
      </c>
      <c r="H54">
        <v>581277</v>
      </c>
      <c r="I54">
        <v>20008282</v>
      </c>
      <c r="J54" t="s">
        <v>1528</v>
      </c>
      <c r="K54">
        <v>800157</v>
      </c>
      <c r="L54">
        <v>1</v>
      </c>
      <c r="M54" t="s">
        <v>1487</v>
      </c>
      <c r="N54" t="s">
        <v>243</v>
      </c>
      <c r="O54">
        <v>784000</v>
      </c>
    </row>
    <row r="55" spans="1:15" x14ac:dyDescent="0.4">
      <c r="A55" t="s">
        <v>1475</v>
      </c>
      <c r="B55">
        <v>70</v>
      </c>
      <c r="C55" t="s">
        <v>2</v>
      </c>
      <c r="D55">
        <v>41</v>
      </c>
      <c r="E55" t="s">
        <v>306</v>
      </c>
      <c r="F55">
        <v>1510</v>
      </c>
      <c r="G55" t="s">
        <v>870</v>
      </c>
      <c r="H55">
        <v>581284</v>
      </c>
      <c r="I55">
        <v>10067451</v>
      </c>
      <c r="J55" t="s">
        <v>1529</v>
      </c>
      <c r="K55">
        <v>800157</v>
      </c>
      <c r="L55">
        <v>1</v>
      </c>
      <c r="M55" t="s">
        <v>1479</v>
      </c>
      <c r="N55" t="s">
        <v>231</v>
      </c>
      <c r="O55">
        <v>838400</v>
      </c>
    </row>
    <row r="56" spans="1:15" x14ac:dyDescent="0.4">
      <c r="A56" t="s">
        <v>1475</v>
      </c>
      <c r="B56">
        <v>80</v>
      </c>
      <c r="C56" t="s">
        <v>4</v>
      </c>
      <c r="D56">
        <v>81</v>
      </c>
      <c r="E56" t="s">
        <v>550</v>
      </c>
      <c r="F56">
        <v>1361</v>
      </c>
      <c r="G56" t="s">
        <v>892</v>
      </c>
      <c r="H56">
        <v>581288</v>
      </c>
      <c r="I56">
        <v>10000609</v>
      </c>
      <c r="J56" t="s">
        <v>1530</v>
      </c>
      <c r="K56">
        <v>800157</v>
      </c>
      <c r="L56">
        <v>1</v>
      </c>
      <c r="M56" t="s">
        <v>1479</v>
      </c>
      <c r="N56" t="s">
        <v>231</v>
      </c>
      <c r="O56">
        <v>803200</v>
      </c>
    </row>
    <row r="57" spans="1:15" x14ac:dyDescent="0.4">
      <c r="A57" t="s">
        <v>1475</v>
      </c>
      <c r="B57">
        <v>70</v>
      </c>
      <c r="C57" t="s">
        <v>2</v>
      </c>
      <c r="D57">
        <v>41</v>
      </c>
      <c r="E57" t="s">
        <v>306</v>
      </c>
      <c r="F57">
        <v>1510</v>
      </c>
      <c r="G57" t="s">
        <v>870</v>
      </c>
      <c r="H57">
        <v>581299</v>
      </c>
      <c r="I57">
        <v>10001373</v>
      </c>
      <c r="J57" t="s">
        <v>1531</v>
      </c>
      <c r="K57">
        <v>800157</v>
      </c>
      <c r="L57">
        <v>1</v>
      </c>
      <c r="M57" t="s">
        <v>1479</v>
      </c>
      <c r="N57" t="s">
        <v>231</v>
      </c>
      <c r="O57">
        <v>784000</v>
      </c>
    </row>
    <row r="58" spans="1:15" x14ac:dyDescent="0.4">
      <c r="A58" t="s">
        <v>1475</v>
      </c>
      <c r="B58">
        <v>75</v>
      </c>
      <c r="C58" t="s">
        <v>5</v>
      </c>
      <c r="D58">
        <v>51</v>
      </c>
      <c r="E58" t="s">
        <v>657</v>
      </c>
      <c r="F58">
        <v>1435</v>
      </c>
      <c r="G58" t="s">
        <v>860</v>
      </c>
      <c r="H58">
        <v>581300</v>
      </c>
      <c r="I58">
        <v>10048741</v>
      </c>
      <c r="J58" t="s">
        <v>1532</v>
      </c>
      <c r="K58">
        <v>800157</v>
      </c>
      <c r="L58">
        <v>1</v>
      </c>
      <c r="M58" t="s">
        <v>1487</v>
      </c>
      <c r="N58" t="s">
        <v>243</v>
      </c>
      <c r="O58">
        <v>784000</v>
      </c>
    </row>
    <row r="59" spans="1:15" x14ac:dyDescent="0.4">
      <c r="A59" t="s">
        <v>1475</v>
      </c>
      <c r="B59">
        <v>70</v>
      </c>
      <c r="C59" t="s">
        <v>2</v>
      </c>
      <c r="D59">
        <v>41</v>
      </c>
      <c r="E59" t="s">
        <v>306</v>
      </c>
      <c r="F59">
        <v>1552</v>
      </c>
      <c r="G59" t="s">
        <v>929</v>
      </c>
      <c r="H59">
        <v>581304</v>
      </c>
      <c r="I59">
        <v>20006614</v>
      </c>
      <c r="J59" t="s">
        <v>1533</v>
      </c>
      <c r="K59">
        <v>800157</v>
      </c>
      <c r="L59">
        <v>1</v>
      </c>
      <c r="M59" t="s">
        <v>1479</v>
      </c>
      <c r="N59" t="s">
        <v>231</v>
      </c>
      <c r="O59">
        <v>784000</v>
      </c>
    </row>
    <row r="60" spans="1:15" x14ac:dyDescent="0.4">
      <c r="A60" t="s">
        <v>1475</v>
      </c>
      <c r="B60">
        <v>70</v>
      </c>
      <c r="C60" t="s">
        <v>2</v>
      </c>
      <c r="D60">
        <v>41</v>
      </c>
      <c r="E60" t="s">
        <v>306</v>
      </c>
      <c r="F60">
        <v>1421</v>
      </c>
      <c r="G60" t="s">
        <v>936</v>
      </c>
      <c r="H60">
        <v>581305</v>
      </c>
      <c r="I60">
        <v>10014679</v>
      </c>
      <c r="J60" t="s">
        <v>1534</v>
      </c>
      <c r="K60">
        <v>800157</v>
      </c>
      <c r="L60">
        <v>1</v>
      </c>
      <c r="M60" t="s">
        <v>1479</v>
      </c>
      <c r="N60" t="s">
        <v>231</v>
      </c>
      <c r="O60">
        <v>784000</v>
      </c>
    </row>
    <row r="61" spans="1:15" x14ac:dyDescent="0.4">
      <c r="A61" t="s">
        <v>1475</v>
      </c>
      <c r="B61">
        <v>80</v>
      </c>
      <c r="C61" t="s">
        <v>4</v>
      </c>
      <c r="D61">
        <v>81</v>
      </c>
      <c r="E61" t="s">
        <v>550</v>
      </c>
      <c r="F61">
        <v>1361</v>
      </c>
      <c r="G61" t="s">
        <v>892</v>
      </c>
      <c r="H61">
        <v>581315</v>
      </c>
      <c r="I61">
        <v>10003042</v>
      </c>
      <c r="J61" t="s">
        <v>1535</v>
      </c>
      <c r="K61">
        <v>800157</v>
      </c>
      <c r="L61">
        <v>1</v>
      </c>
      <c r="M61" t="s">
        <v>1479</v>
      </c>
      <c r="N61" t="s">
        <v>231</v>
      </c>
      <c r="O61">
        <v>838400</v>
      </c>
    </row>
    <row r="62" spans="1:15" x14ac:dyDescent="0.4">
      <c r="A62" t="s">
        <v>1475</v>
      </c>
      <c r="B62">
        <v>76</v>
      </c>
      <c r="C62" t="s">
        <v>6</v>
      </c>
      <c r="D62">
        <v>61</v>
      </c>
      <c r="E62" t="s">
        <v>703</v>
      </c>
      <c r="F62">
        <v>1415</v>
      </c>
      <c r="G62" t="s">
        <v>1038</v>
      </c>
      <c r="H62">
        <v>581317</v>
      </c>
      <c r="I62">
        <v>20006407</v>
      </c>
      <c r="J62" t="s">
        <v>1536</v>
      </c>
      <c r="K62">
        <v>800157</v>
      </c>
      <c r="L62">
        <v>1</v>
      </c>
      <c r="M62" t="s">
        <v>1487</v>
      </c>
      <c r="N62" t="s">
        <v>243</v>
      </c>
      <c r="O62">
        <v>784000</v>
      </c>
    </row>
    <row r="63" spans="1:15" x14ac:dyDescent="0.4">
      <c r="A63" t="s">
        <v>1475</v>
      </c>
      <c r="B63">
        <v>80</v>
      </c>
      <c r="C63" t="s">
        <v>4</v>
      </c>
      <c r="D63">
        <v>71</v>
      </c>
      <c r="E63" t="s">
        <v>556</v>
      </c>
      <c r="F63">
        <v>1296</v>
      </c>
      <c r="G63" t="s">
        <v>964</v>
      </c>
      <c r="H63">
        <v>581334</v>
      </c>
      <c r="I63">
        <v>20008197</v>
      </c>
      <c r="J63" t="s">
        <v>1537</v>
      </c>
      <c r="K63">
        <v>800157</v>
      </c>
      <c r="L63">
        <v>1</v>
      </c>
      <c r="M63" t="s">
        <v>1475</v>
      </c>
      <c r="N63" t="s">
        <v>187</v>
      </c>
      <c r="O63">
        <v>880000</v>
      </c>
    </row>
    <row r="64" spans="1:15" x14ac:dyDescent="0.4">
      <c r="A64" t="s">
        <v>1475</v>
      </c>
      <c r="B64">
        <v>50</v>
      </c>
      <c r="C64" t="s">
        <v>1</v>
      </c>
      <c r="D64">
        <v>21</v>
      </c>
      <c r="E64" t="s">
        <v>182</v>
      </c>
      <c r="F64">
        <v>1345</v>
      </c>
      <c r="G64" t="s">
        <v>874</v>
      </c>
      <c r="H64">
        <v>581349</v>
      </c>
      <c r="I64">
        <v>10022516</v>
      </c>
      <c r="J64" t="s">
        <v>1538</v>
      </c>
      <c r="K64">
        <v>800157</v>
      </c>
      <c r="L64">
        <v>1</v>
      </c>
      <c r="M64" t="s">
        <v>1479</v>
      </c>
      <c r="N64" t="s">
        <v>231</v>
      </c>
      <c r="O64">
        <v>812800</v>
      </c>
    </row>
    <row r="65" spans="1:15" x14ac:dyDescent="0.4">
      <c r="A65" t="s">
        <v>1475</v>
      </c>
      <c r="B65">
        <v>50</v>
      </c>
      <c r="C65" t="s">
        <v>1</v>
      </c>
      <c r="D65">
        <v>21</v>
      </c>
      <c r="E65" t="s">
        <v>182</v>
      </c>
      <c r="F65">
        <v>1345</v>
      </c>
      <c r="G65" t="s">
        <v>874</v>
      </c>
      <c r="H65">
        <v>581384</v>
      </c>
      <c r="I65">
        <v>10024555</v>
      </c>
      <c r="J65" t="s">
        <v>1539</v>
      </c>
      <c r="K65">
        <v>800157</v>
      </c>
      <c r="L65">
        <v>1</v>
      </c>
      <c r="M65" t="s">
        <v>1479</v>
      </c>
      <c r="N65" t="s">
        <v>231</v>
      </c>
      <c r="O65">
        <v>784800</v>
      </c>
    </row>
    <row r="66" spans="1:15" x14ac:dyDescent="0.4">
      <c r="A66" t="s">
        <v>1479</v>
      </c>
      <c r="B66">
        <v>70</v>
      </c>
      <c r="C66" t="s">
        <v>2</v>
      </c>
      <c r="D66">
        <v>41</v>
      </c>
      <c r="E66" t="s">
        <v>306</v>
      </c>
      <c r="F66">
        <v>1298</v>
      </c>
      <c r="G66" t="s">
        <v>1277</v>
      </c>
      <c r="H66">
        <v>581445</v>
      </c>
      <c r="I66">
        <v>10000447</v>
      </c>
      <c r="J66" t="s">
        <v>1540</v>
      </c>
      <c r="K66">
        <v>800157</v>
      </c>
      <c r="L66">
        <v>1</v>
      </c>
      <c r="M66" t="s">
        <v>1523</v>
      </c>
      <c r="N66" t="s">
        <v>312</v>
      </c>
      <c r="O66">
        <v>651600</v>
      </c>
    </row>
    <row r="67" spans="1:15" x14ac:dyDescent="0.4">
      <c r="A67" t="s">
        <v>1479</v>
      </c>
      <c r="B67">
        <v>60</v>
      </c>
      <c r="C67" t="s">
        <v>3</v>
      </c>
      <c r="D67">
        <v>31</v>
      </c>
      <c r="E67" t="s">
        <v>447</v>
      </c>
      <c r="F67">
        <v>1116</v>
      </c>
      <c r="G67" t="s">
        <v>1075</v>
      </c>
      <c r="H67">
        <v>581462</v>
      </c>
      <c r="I67">
        <v>20006916</v>
      </c>
      <c r="J67" t="s">
        <v>1541</v>
      </c>
      <c r="K67">
        <v>800157</v>
      </c>
      <c r="L67">
        <v>1</v>
      </c>
      <c r="M67" t="s">
        <v>1523</v>
      </c>
      <c r="N67" t="s">
        <v>312</v>
      </c>
      <c r="O67">
        <v>723600</v>
      </c>
    </row>
    <row r="68" spans="1:15" x14ac:dyDescent="0.4">
      <c r="A68" t="s">
        <v>1479</v>
      </c>
      <c r="B68">
        <v>70</v>
      </c>
      <c r="C68" t="s">
        <v>2</v>
      </c>
      <c r="D68">
        <v>41</v>
      </c>
      <c r="E68" t="s">
        <v>306</v>
      </c>
      <c r="F68">
        <v>1561</v>
      </c>
      <c r="G68" t="s">
        <v>1070</v>
      </c>
      <c r="H68">
        <v>581471</v>
      </c>
      <c r="I68">
        <v>10002372</v>
      </c>
      <c r="J68" t="s">
        <v>1542</v>
      </c>
      <c r="K68">
        <v>800157</v>
      </c>
      <c r="L68">
        <v>1</v>
      </c>
      <c r="M68" t="s">
        <v>1487</v>
      </c>
      <c r="N68" t="s">
        <v>243</v>
      </c>
      <c r="O68">
        <v>730800</v>
      </c>
    </row>
    <row r="69" spans="1:15" x14ac:dyDescent="0.4">
      <c r="A69" t="s">
        <v>1475</v>
      </c>
      <c r="B69">
        <v>50</v>
      </c>
      <c r="C69" t="s">
        <v>1</v>
      </c>
      <c r="D69">
        <v>21</v>
      </c>
      <c r="E69" t="s">
        <v>182</v>
      </c>
      <c r="F69">
        <v>1345</v>
      </c>
      <c r="G69" t="s">
        <v>874</v>
      </c>
      <c r="H69">
        <v>581503</v>
      </c>
      <c r="I69">
        <v>10001727</v>
      </c>
      <c r="J69" t="s">
        <v>1543</v>
      </c>
      <c r="K69">
        <v>800157</v>
      </c>
      <c r="L69">
        <v>1</v>
      </c>
      <c r="M69" t="s">
        <v>1479</v>
      </c>
      <c r="N69" t="s">
        <v>231</v>
      </c>
      <c r="O69">
        <v>819200</v>
      </c>
    </row>
    <row r="70" spans="1:15" x14ac:dyDescent="0.4">
      <c r="A70" t="s">
        <v>1475</v>
      </c>
      <c r="B70">
        <v>60</v>
      </c>
      <c r="C70" t="s">
        <v>3</v>
      </c>
      <c r="D70">
        <v>33</v>
      </c>
      <c r="E70" t="s">
        <v>451</v>
      </c>
      <c r="F70">
        <v>1273</v>
      </c>
      <c r="G70" t="s">
        <v>1084</v>
      </c>
      <c r="H70">
        <v>581513</v>
      </c>
      <c r="I70">
        <v>20004186</v>
      </c>
      <c r="J70" t="s">
        <v>1544</v>
      </c>
      <c r="K70">
        <v>800157</v>
      </c>
      <c r="L70">
        <v>1</v>
      </c>
      <c r="M70" t="s">
        <v>1523</v>
      </c>
      <c r="N70" t="s">
        <v>312</v>
      </c>
      <c r="O70">
        <v>784000</v>
      </c>
    </row>
    <row r="71" spans="1:15" x14ac:dyDescent="0.4">
      <c r="A71" t="s">
        <v>1487</v>
      </c>
      <c r="B71">
        <v>70</v>
      </c>
      <c r="C71" t="s">
        <v>2</v>
      </c>
      <c r="D71">
        <v>41</v>
      </c>
      <c r="E71" t="s">
        <v>306</v>
      </c>
      <c r="F71">
        <v>1118</v>
      </c>
      <c r="G71" t="s">
        <v>1471</v>
      </c>
      <c r="H71">
        <v>581586</v>
      </c>
      <c r="I71">
        <v>10002894</v>
      </c>
      <c r="J71" t="s">
        <v>1545</v>
      </c>
      <c r="K71">
        <v>800157</v>
      </c>
      <c r="L71">
        <v>1</v>
      </c>
      <c r="M71" t="s">
        <v>1523</v>
      </c>
      <c r="N71" t="s">
        <v>312</v>
      </c>
      <c r="O71">
        <v>432000</v>
      </c>
    </row>
    <row r="72" spans="1:15" x14ac:dyDescent="0.4">
      <c r="A72" t="s">
        <v>1475</v>
      </c>
      <c r="B72">
        <v>76</v>
      </c>
      <c r="C72" t="s">
        <v>6</v>
      </c>
      <c r="D72">
        <v>61</v>
      </c>
      <c r="E72" t="s">
        <v>703</v>
      </c>
      <c r="F72">
        <v>1389</v>
      </c>
      <c r="G72" t="s">
        <v>1197</v>
      </c>
      <c r="H72">
        <v>581601</v>
      </c>
      <c r="I72">
        <v>10030472</v>
      </c>
      <c r="J72" t="s">
        <v>1546</v>
      </c>
      <c r="K72">
        <v>800157</v>
      </c>
      <c r="L72">
        <v>1</v>
      </c>
      <c r="M72" t="s">
        <v>1479</v>
      </c>
      <c r="N72" t="s">
        <v>231</v>
      </c>
      <c r="O72">
        <v>784000</v>
      </c>
    </row>
    <row r="73" spans="1:15" x14ac:dyDescent="0.4">
      <c r="A73" t="s">
        <v>1523</v>
      </c>
      <c r="B73">
        <v>70</v>
      </c>
      <c r="C73" t="s">
        <v>2</v>
      </c>
      <c r="D73">
        <v>41</v>
      </c>
      <c r="E73" t="s">
        <v>306</v>
      </c>
      <c r="F73">
        <v>1298</v>
      </c>
      <c r="G73" t="s">
        <v>1277</v>
      </c>
      <c r="H73">
        <v>581640</v>
      </c>
      <c r="I73">
        <v>20007480</v>
      </c>
      <c r="J73" t="s">
        <v>1547</v>
      </c>
      <c r="K73">
        <v>800157</v>
      </c>
      <c r="L73">
        <v>1</v>
      </c>
      <c r="M73" t="s">
        <v>1548</v>
      </c>
      <c r="N73" t="s">
        <v>327</v>
      </c>
      <c r="O73">
        <v>784000</v>
      </c>
    </row>
    <row r="74" spans="1:15" x14ac:dyDescent="0.4">
      <c r="A74" t="s">
        <v>1479</v>
      </c>
      <c r="B74">
        <v>70</v>
      </c>
      <c r="C74" t="s">
        <v>2</v>
      </c>
      <c r="D74">
        <v>41</v>
      </c>
      <c r="E74" t="s">
        <v>306</v>
      </c>
      <c r="F74">
        <v>1118</v>
      </c>
      <c r="G74" t="s">
        <v>1471</v>
      </c>
      <c r="H74">
        <v>581744</v>
      </c>
      <c r="I74">
        <v>10034563</v>
      </c>
      <c r="J74" t="s">
        <v>1549</v>
      </c>
      <c r="K74">
        <v>800157</v>
      </c>
      <c r="L74">
        <v>1</v>
      </c>
      <c r="M74" t="s">
        <v>1487</v>
      </c>
      <c r="N74" t="s">
        <v>243</v>
      </c>
      <c r="O74">
        <v>787200</v>
      </c>
    </row>
    <row r="75" spans="1:15" x14ac:dyDescent="0.4">
      <c r="A75" t="s">
        <v>1479</v>
      </c>
      <c r="B75">
        <v>80</v>
      </c>
      <c r="C75" t="s">
        <v>4</v>
      </c>
      <c r="D75">
        <v>81</v>
      </c>
      <c r="E75" t="s">
        <v>550</v>
      </c>
      <c r="F75">
        <v>1436</v>
      </c>
      <c r="G75" t="s">
        <v>918</v>
      </c>
      <c r="H75">
        <v>581757</v>
      </c>
      <c r="I75">
        <v>20016382</v>
      </c>
      <c r="J75" t="s">
        <v>1550</v>
      </c>
      <c r="K75">
        <v>800157</v>
      </c>
      <c r="L75">
        <v>1</v>
      </c>
      <c r="M75" t="s">
        <v>1487</v>
      </c>
      <c r="N75" t="s">
        <v>243</v>
      </c>
      <c r="O75">
        <v>784000</v>
      </c>
    </row>
    <row r="76" spans="1:15" x14ac:dyDescent="0.4">
      <c r="A76" t="s">
        <v>1475</v>
      </c>
      <c r="B76">
        <v>80</v>
      </c>
      <c r="C76" t="s">
        <v>4</v>
      </c>
      <c r="D76">
        <v>81</v>
      </c>
      <c r="E76" t="s">
        <v>550</v>
      </c>
      <c r="F76">
        <v>1361</v>
      </c>
      <c r="G76" t="s">
        <v>892</v>
      </c>
      <c r="H76">
        <v>581766</v>
      </c>
      <c r="I76">
        <v>20008624</v>
      </c>
      <c r="J76" t="s">
        <v>1551</v>
      </c>
      <c r="K76">
        <v>800157</v>
      </c>
      <c r="L76">
        <v>1</v>
      </c>
      <c r="M76" t="s">
        <v>1479</v>
      </c>
      <c r="N76" t="s">
        <v>231</v>
      </c>
      <c r="O76">
        <v>752400</v>
      </c>
    </row>
    <row r="77" spans="1:15" x14ac:dyDescent="0.4">
      <c r="A77" t="s">
        <v>1487</v>
      </c>
      <c r="B77">
        <v>60</v>
      </c>
      <c r="C77" t="s">
        <v>3</v>
      </c>
      <c r="D77">
        <v>31</v>
      </c>
      <c r="E77" t="s">
        <v>447</v>
      </c>
      <c r="F77">
        <v>1543</v>
      </c>
      <c r="G77" t="s">
        <v>1183</v>
      </c>
      <c r="H77">
        <v>581797</v>
      </c>
      <c r="I77">
        <v>10002131</v>
      </c>
      <c r="J77" t="s">
        <v>1552</v>
      </c>
      <c r="K77">
        <v>800157</v>
      </c>
      <c r="L77">
        <v>1</v>
      </c>
      <c r="M77" t="s">
        <v>1487</v>
      </c>
      <c r="N77" t="s">
        <v>243</v>
      </c>
      <c r="O77">
        <v>806400</v>
      </c>
    </row>
    <row r="78" spans="1:15" x14ac:dyDescent="0.4">
      <c r="A78" t="s">
        <v>1479</v>
      </c>
      <c r="B78">
        <v>60</v>
      </c>
      <c r="C78" t="s">
        <v>3</v>
      </c>
      <c r="D78">
        <v>31</v>
      </c>
      <c r="E78" t="s">
        <v>447</v>
      </c>
      <c r="F78">
        <v>1116</v>
      </c>
      <c r="G78" t="s">
        <v>1075</v>
      </c>
      <c r="H78">
        <v>581916</v>
      </c>
      <c r="I78">
        <v>20008702</v>
      </c>
      <c r="J78" t="s">
        <v>1553</v>
      </c>
      <c r="K78">
        <v>800157</v>
      </c>
      <c r="L78">
        <v>1</v>
      </c>
      <c r="M78" t="s">
        <v>1487</v>
      </c>
      <c r="N78" t="s">
        <v>243</v>
      </c>
      <c r="O78">
        <v>841600</v>
      </c>
    </row>
    <row r="79" spans="1:15" x14ac:dyDescent="0.4">
      <c r="A79" t="s">
        <v>1479</v>
      </c>
      <c r="B79">
        <v>60</v>
      </c>
      <c r="C79" t="s">
        <v>3</v>
      </c>
      <c r="D79">
        <v>31</v>
      </c>
      <c r="E79" t="s">
        <v>447</v>
      </c>
      <c r="F79">
        <v>1367</v>
      </c>
      <c r="G79" t="s">
        <v>977</v>
      </c>
      <c r="H79">
        <v>581935</v>
      </c>
      <c r="I79">
        <v>10010357</v>
      </c>
      <c r="J79" t="s">
        <v>1554</v>
      </c>
      <c r="K79">
        <v>800157</v>
      </c>
      <c r="L79">
        <v>1</v>
      </c>
      <c r="M79" t="s">
        <v>1487</v>
      </c>
      <c r="N79" t="s">
        <v>243</v>
      </c>
      <c r="O79">
        <v>942000</v>
      </c>
    </row>
    <row r="80" spans="1:15" x14ac:dyDescent="0.4">
      <c r="A80" t="s">
        <v>1479</v>
      </c>
      <c r="B80">
        <v>70</v>
      </c>
      <c r="C80" t="s">
        <v>2</v>
      </c>
      <c r="D80">
        <v>41</v>
      </c>
      <c r="E80" t="s">
        <v>306</v>
      </c>
      <c r="F80">
        <v>1552</v>
      </c>
      <c r="G80" t="s">
        <v>929</v>
      </c>
      <c r="H80">
        <v>581959</v>
      </c>
      <c r="I80">
        <v>10062224</v>
      </c>
      <c r="J80" t="s">
        <v>1555</v>
      </c>
      <c r="K80">
        <v>800157</v>
      </c>
      <c r="L80">
        <v>1</v>
      </c>
      <c r="M80" t="s">
        <v>1487</v>
      </c>
      <c r="N80" t="s">
        <v>243</v>
      </c>
      <c r="O80">
        <v>446400</v>
      </c>
    </row>
    <row r="81" spans="1:15" x14ac:dyDescent="0.4">
      <c r="A81" t="s">
        <v>1479</v>
      </c>
      <c r="B81">
        <v>60</v>
      </c>
      <c r="C81" t="s">
        <v>3</v>
      </c>
      <c r="D81">
        <v>33</v>
      </c>
      <c r="E81" t="s">
        <v>451</v>
      </c>
      <c r="F81">
        <v>1273</v>
      </c>
      <c r="G81" t="s">
        <v>1084</v>
      </c>
      <c r="H81">
        <v>581962</v>
      </c>
      <c r="I81">
        <v>20005845</v>
      </c>
      <c r="J81" t="s">
        <v>1556</v>
      </c>
      <c r="K81">
        <v>800157</v>
      </c>
      <c r="L81">
        <v>1</v>
      </c>
      <c r="M81" t="s">
        <v>1479</v>
      </c>
      <c r="N81" t="s">
        <v>231</v>
      </c>
      <c r="O81">
        <v>709200</v>
      </c>
    </row>
    <row r="82" spans="1:15" x14ac:dyDescent="0.4">
      <c r="A82" t="s">
        <v>1523</v>
      </c>
      <c r="B82">
        <v>80</v>
      </c>
      <c r="C82" t="s">
        <v>4</v>
      </c>
      <c r="D82">
        <v>71</v>
      </c>
      <c r="E82" t="s">
        <v>556</v>
      </c>
      <c r="F82">
        <v>1296</v>
      </c>
      <c r="G82" t="s">
        <v>964</v>
      </c>
      <c r="H82">
        <v>581993</v>
      </c>
      <c r="I82">
        <v>20016674</v>
      </c>
      <c r="J82" t="s">
        <v>1557</v>
      </c>
      <c r="K82">
        <v>800159</v>
      </c>
      <c r="L82">
        <v>1</v>
      </c>
      <c r="M82" t="s">
        <v>1523</v>
      </c>
      <c r="N82" t="s">
        <v>314</v>
      </c>
      <c r="O82">
        <v>1296000</v>
      </c>
    </row>
    <row r="83" spans="1:15" x14ac:dyDescent="0.4">
      <c r="A83" t="s">
        <v>1479</v>
      </c>
      <c r="B83">
        <v>60</v>
      </c>
      <c r="C83" t="s">
        <v>3</v>
      </c>
      <c r="D83">
        <v>33</v>
      </c>
      <c r="E83" t="s">
        <v>451</v>
      </c>
      <c r="F83">
        <v>1273</v>
      </c>
      <c r="G83" t="s">
        <v>1084</v>
      </c>
      <c r="H83">
        <v>582000</v>
      </c>
      <c r="I83">
        <v>10001853</v>
      </c>
      <c r="J83" t="s">
        <v>1558</v>
      </c>
      <c r="K83">
        <v>800157</v>
      </c>
      <c r="L83">
        <v>1</v>
      </c>
      <c r="M83" t="s">
        <v>1487</v>
      </c>
      <c r="N83" t="s">
        <v>243</v>
      </c>
      <c r="O83">
        <v>770400</v>
      </c>
    </row>
    <row r="84" spans="1:15" x14ac:dyDescent="0.4">
      <c r="A84" t="s">
        <v>1479</v>
      </c>
      <c r="B84">
        <v>60</v>
      </c>
      <c r="C84" t="s">
        <v>3</v>
      </c>
      <c r="D84">
        <v>33</v>
      </c>
      <c r="E84" t="s">
        <v>451</v>
      </c>
      <c r="F84">
        <v>1273</v>
      </c>
      <c r="G84" t="s">
        <v>1084</v>
      </c>
      <c r="H84">
        <v>582018</v>
      </c>
      <c r="I84">
        <v>10000874</v>
      </c>
      <c r="J84" t="s">
        <v>1559</v>
      </c>
      <c r="K84">
        <v>800157</v>
      </c>
      <c r="L84">
        <v>1</v>
      </c>
      <c r="M84" t="s">
        <v>1487</v>
      </c>
      <c r="N84" t="s">
        <v>243</v>
      </c>
      <c r="O84">
        <v>716400</v>
      </c>
    </row>
    <row r="85" spans="1:15" x14ac:dyDescent="0.4">
      <c r="A85" t="s">
        <v>1479</v>
      </c>
      <c r="B85">
        <v>75</v>
      </c>
      <c r="C85" t="s">
        <v>5</v>
      </c>
      <c r="D85">
        <v>51</v>
      </c>
      <c r="E85" t="s">
        <v>657</v>
      </c>
      <c r="F85">
        <v>1343</v>
      </c>
      <c r="G85" t="s">
        <v>1560</v>
      </c>
      <c r="H85">
        <v>582028</v>
      </c>
      <c r="I85">
        <v>20006196</v>
      </c>
      <c r="J85" t="s">
        <v>1561</v>
      </c>
      <c r="K85">
        <v>800157</v>
      </c>
      <c r="L85">
        <v>1</v>
      </c>
      <c r="M85" t="s">
        <v>1487</v>
      </c>
      <c r="N85" t="s">
        <v>243</v>
      </c>
      <c r="O85">
        <v>795600</v>
      </c>
    </row>
    <row r="86" spans="1:15" x14ac:dyDescent="0.4">
      <c r="A86" t="s">
        <v>1487</v>
      </c>
      <c r="B86">
        <v>75</v>
      </c>
      <c r="C86" t="s">
        <v>5</v>
      </c>
      <c r="D86">
        <v>51</v>
      </c>
      <c r="E86" t="s">
        <v>657</v>
      </c>
      <c r="F86">
        <v>1343</v>
      </c>
      <c r="G86" t="s">
        <v>1560</v>
      </c>
      <c r="H86">
        <v>582032</v>
      </c>
      <c r="I86">
        <v>20002138</v>
      </c>
      <c r="J86" t="s">
        <v>1562</v>
      </c>
      <c r="K86">
        <v>800157</v>
      </c>
      <c r="L86">
        <v>1</v>
      </c>
      <c r="M86" t="s">
        <v>1523</v>
      </c>
      <c r="N86" t="s">
        <v>312</v>
      </c>
      <c r="O86">
        <v>723600</v>
      </c>
    </row>
    <row r="87" spans="1:15" x14ac:dyDescent="0.4">
      <c r="A87" t="s">
        <v>1487</v>
      </c>
      <c r="B87">
        <v>70</v>
      </c>
      <c r="C87" t="s">
        <v>2</v>
      </c>
      <c r="D87">
        <v>41</v>
      </c>
      <c r="E87" t="s">
        <v>306</v>
      </c>
      <c r="F87">
        <v>1445</v>
      </c>
      <c r="G87" t="s">
        <v>886</v>
      </c>
      <c r="H87">
        <v>582079</v>
      </c>
      <c r="I87">
        <v>10024429</v>
      </c>
      <c r="J87" t="s">
        <v>1563</v>
      </c>
      <c r="K87">
        <v>800155</v>
      </c>
      <c r="L87">
        <v>1</v>
      </c>
      <c r="M87" t="s">
        <v>1487</v>
      </c>
      <c r="N87" t="s">
        <v>275</v>
      </c>
      <c r="O87">
        <v>151200</v>
      </c>
    </row>
    <row r="88" spans="1:15" x14ac:dyDescent="0.4">
      <c r="A88" t="s">
        <v>1487</v>
      </c>
      <c r="B88">
        <v>70</v>
      </c>
      <c r="C88" t="s">
        <v>2</v>
      </c>
      <c r="D88">
        <v>41</v>
      </c>
      <c r="E88" t="s">
        <v>306</v>
      </c>
      <c r="F88">
        <v>1118</v>
      </c>
      <c r="G88" t="s">
        <v>1471</v>
      </c>
      <c r="H88">
        <v>582128</v>
      </c>
      <c r="I88">
        <v>10019545</v>
      </c>
      <c r="J88" t="s">
        <v>1564</v>
      </c>
      <c r="K88">
        <v>800155</v>
      </c>
      <c r="L88">
        <v>1</v>
      </c>
      <c r="M88" t="s">
        <v>1523</v>
      </c>
      <c r="N88" t="s">
        <v>281</v>
      </c>
      <c r="O88">
        <v>213600</v>
      </c>
    </row>
    <row r="89" spans="1:15" x14ac:dyDescent="0.4">
      <c r="A89" t="s">
        <v>1487</v>
      </c>
      <c r="B89">
        <v>60</v>
      </c>
      <c r="C89" t="s">
        <v>3</v>
      </c>
      <c r="D89">
        <v>31</v>
      </c>
      <c r="E89" t="s">
        <v>447</v>
      </c>
      <c r="F89">
        <v>1116</v>
      </c>
      <c r="G89" t="s">
        <v>1075</v>
      </c>
      <c r="H89">
        <v>582172</v>
      </c>
      <c r="I89">
        <v>10001054</v>
      </c>
      <c r="J89" t="s">
        <v>1565</v>
      </c>
      <c r="K89">
        <v>800157</v>
      </c>
      <c r="L89">
        <v>1</v>
      </c>
      <c r="M89" t="s">
        <v>1523</v>
      </c>
      <c r="N89" t="s">
        <v>312</v>
      </c>
      <c r="O89">
        <v>738000</v>
      </c>
    </row>
    <row r="90" spans="1:15" x14ac:dyDescent="0.4">
      <c r="A90" t="s">
        <v>1487</v>
      </c>
      <c r="B90">
        <v>60</v>
      </c>
      <c r="C90" t="s">
        <v>3</v>
      </c>
      <c r="D90">
        <v>33</v>
      </c>
      <c r="E90" t="s">
        <v>451</v>
      </c>
      <c r="F90">
        <v>1220</v>
      </c>
      <c r="G90" t="s">
        <v>1343</v>
      </c>
      <c r="H90">
        <v>582237</v>
      </c>
      <c r="I90">
        <v>10025251</v>
      </c>
      <c r="J90" t="s">
        <v>1566</v>
      </c>
      <c r="K90">
        <v>800157</v>
      </c>
      <c r="L90">
        <v>1</v>
      </c>
      <c r="M90" t="s">
        <v>1548</v>
      </c>
      <c r="N90" t="s">
        <v>327</v>
      </c>
      <c r="O90">
        <v>777600</v>
      </c>
    </row>
    <row r="91" spans="1:15" x14ac:dyDescent="0.4">
      <c r="A91" t="s">
        <v>1487</v>
      </c>
      <c r="B91">
        <v>60</v>
      </c>
      <c r="C91" t="s">
        <v>3</v>
      </c>
      <c r="D91">
        <v>33</v>
      </c>
      <c r="E91" t="s">
        <v>451</v>
      </c>
      <c r="F91">
        <v>1273</v>
      </c>
      <c r="G91" t="s">
        <v>1084</v>
      </c>
      <c r="H91">
        <v>582277</v>
      </c>
      <c r="I91">
        <v>10003989</v>
      </c>
      <c r="J91" t="s">
        <v>1567</v>
      </c>
      <c r="K91">
        <v>800157</v>
      </c>
      <c r="L91">
        <v>1</v>
      </c>
      <c r="M91" t="s">
        <v>1487</v>
      </c>
      <c r="N91" t="s">
        <v>243</v>
      </c>
      <c r="O91">
        <v>684000</v>
      </c>
    </row>
    <row r="92" spans="1:15" x14ac:dyDescent="0.4">
      <c r="A92" t="s">
        <v>1479</v>
      </c>
      <c r="B92">
        <v>80</v>
      </c>
      <c r="C92" t="s">
        <v>4</v>
      </c>
      <c r="D92">
        <v>81</v>
      </c>
      <c r="E92" t="s">
        <v>550</v>
      </c>
      <c r="F92">
        <v>1361</v>
      </c>
      <c r="G92" t="s">
        <v>892</v>
      </c>
      <c r="H92">
        <v>582372</v>
      </c>
      <c r="I92">
        <v>10032178</v>
      </c>
      <c r="J92" t="s">
        <v>1568</v>
      </c>
      <c r="K92">
        <v>800157</v>
      </c>
      <c r="L92">
        <v>1</v>
      </c>
      <c r="M92" t="s">
        <v>1487</v>
      </c>
      <c r="N92" t="s">
        <v>243</v>
      </c>
      <c r="O92">
        <v>816000</v>
      </c>
    </row>
    <row r="93" spans="1:15" x14ac:dyDescent="0.4">
      <c r="A93" t="s">
        <v>1487</v>
      </c>
      <c r="B93">
        <v>60</v>
      </c>
      <c r="C93" t="s">
        <v>3</v>
      </c>
      <c r="D93">
        <v>33</v>
      </c>
      <c r="E93" t="s">
        <v>451</v>
      </c>
      <c r="F93">
        <v>1273</v>
      </c>
      <c r="G93" t="s">
        <v>1084</v>
      </c>
      <c r="H93">
        <v>582456</v>
      </c>
      <c r="I93">
        <v>20002093</v>
      </c>
      <c r="J93" t="s">
        <v>1569</v>
      </c>
      <c r="K93">
        <v>800157</v>
      </c>
      <c r="L93">
        <v>1</v>
      </c>
      <c r="M93" t="s">
        <v>1487</v>
      </c>
      <c r="N93" t="s">
        <v>243</v>
      </c>
      <c r="O93">
        <v>784000</v>
      </c>
    </row>
    <row r="94" spans="1:15" x14ac:dyDescent="0.4">
      <c r="A94" t="s">
        <v>1523</v>
      </c>
      <c r="B94">
        <v>80</v>
      </c>
      <c r="C94" t="s">
        <v>4</v>
      </c>
      <c r="D94">
        <v>81</v>
      </c>
      <c r="E94" t="s">
        <v>550</v>
      </c>
      <c r="F94">
        <v>1436</v>
      </c>
      <c r="G94" t="s">
        <v>918</v>
      </c>
      <c r="H94">
        <v>582491</v>
      </c>
      <c r="I94">
        <v>20016650</v>
      </c>
      <c r="J94" t="s">
        <v>1570</v>
      </c>
      <c r="K94">
        <v>800157</v>
      </c>
      <c r="L94">
        <v>1</v>
      </c>
      <c r="M94" t="s">
        <v>1523</v>
      </c>
      <c r="N94" t="s">
        <v>312</v>
      </c>
      <c r="O94">
        <v>784000</v>
      </c>
    </row>
    <row r="95" spans="1:15" x14ac:dyDescent="0.4">
      <c r="A95" t="s">
        <v>1487</v>
      </c>
      <c r="B95">
        <v>60</v>
      </c>
      <c r="C95" t="s">
        <v>3</v>
      </c>
      <c r="D95">
        <v>33</v>
      </c>
      <c r="E95" t="s">
        <v>451</v>
      </c>
      <c r="F95">
        <v>1273</v>
      </c>
      <c r="G95" t="s">
        <v>1084</v>
      </c>
      <c r="H95">
        <v>582559</v>
      </c>
      <c r="I95">
        <v>20002710</v>
      </c>
      <c r="J95" t="s">
        <v>1571</v>
      </c>
      <c r="K95">
        <v>800159</v>
      </c>
      <c r="L95">
        <v>1</v>
      </c>
      <c r="M95" t="s">
        <v>1548</v>
      </c>
      <c r="N95" t="s">
        <v>329</v>
      </c>
      <c r="O95">
        <v>1272000</v>
      </c>
    </row>
    <row r="96" spans="1:15" x14ac:dyDescent="0.4">
      <c r="A96" t="s">
        <v>1487</v>
      </c>
      <c r="B96">
        <v>80</v>
      </c>
      <c r="C96" t="s">
        <v>4</v>
      </c>
      <c r="D96">
        <v>81</v>
      </c>
      <c r="E96" t="s">
        <v>550</v>
      </c>
      <c r="F96">
        <v>1378</v>
      </c>
      <c r="G96" t="s">
        <v>881</v>
      </c>
      <c r="H96">
        <v>582685</v>
      </c>
      <c r="I96">
        <v>10024826</v>
      </c>
      <c r="J96" t="s">
        <v>1572</v>
      </c>
      <c r="K96">
        <v>800157</v>
      </c>
      <c r="L96">
        <v>1</v>
      </c>
      <c r="M96" t="s">
        <v>1523</v>
      </c>
      <c r="N96" t="s">
        <v>312</v>
      </c>
      <c r="O96">
        <v>720000</v>
      </c>
    </row>
    <row r="97" spans="1:15" x14ac:dyDescent="0.4">
      <c r="A97" t="s">
        <v>1487</v>
      </c>
      <c r="B97">
        <v>70</v>
      </c>
      <c r="C97" t="s">
        <v>2</v>
      </c>
      <c r="D97">
        <v>41</v>
      </c>
      <c r="E97" t="s">
        <v>306</v>
      </c>
      <c r="F97">
        <v>1510</v>
      </c>
      <c r="G97" t="s">
        <v>870</v>
      </c>
      <c r="H97">
        <v>582724</v>
      </c>
      <c r="I97">
        <v>20005539</v>
      </c>
      <c r="J97" t="s">
        <v>1573</v>
      </c>
      <c r="K97">
        <v>800157</v>
      </c>
      <c r="L97">
        <v>1</v>
      </c>
      <c r="M97" t="s">
        <v>1523</v>
      </c>
      <c r="N97" t="s">
        <v>312</v>
      </c>
      <c r="O97">
        <v>784000</v>
      </c>
    </row>
    <row r="98" spans="1:15" x14ac:dyDescent="0.4">
      <c r="A98" t="s">
        <v>1487</v>
      </c>
      <c r="B98">
        <v>70</v>
      </c>
      <c r="C98" t="s">
        <v>2</v>
      </c>
      <c r="D98">
        <v>41</v>
      </c>
      <c r="E98" t="s">
        <v>306</v>
      </c>
      <c r="F98">
        <v>1118</v>
      </c>
      <c r="G98" t="s">
        <v>1471</v>
      </c>
      <c r="H98">
        <v>582831</v>
      </c>
      <c r="I98">
        <v>20006291</v>
      </c>
      <c r="J98" t="s">
        <v>1574</v>
      </c>
      <c r="K98">
        <v>800157</v>
      </c>
      <c r="L98">
        <v>1</v>
      </c>
      <c r="M98" t="s">
        <v>1523</v>
      </c>
      <c r="N98" t="s">
        <v>312</v>
      </c>
      <c r="O98">
        <v>500400</v>
      </c>
    </row>
    <row r="99" spans="1:15" x14ac:dyDescent="0.4">
      <c r="A99" t="s">
        <v>1487</v>
      </c>
      <c r="B99">
        <v>70</v>
      </c>
      <c r="C99" t="s">
        <v>2</v>
      </c>
      <c r="D99">
        <v>41</v>
      </c>
      <c r="E99" t="s">
        <v>306</v>
      </c>
      <c r="F99">
        <v>1561</v>
      </c>
      <c r="G99" t="s">
        <v>1070</v>
      </c>
      <c r="H99">
        <v>582876</v>
      </c>
      <c r="I99">
        <v>20007142</v>
      </c>
      <c r="J99" t="s">
        <v>1575</v>
      </c>
      <c r="K99">
        <v>800157</v>
      </c>
      <c r="L99">
        <v>1</v>
      </c>
      <c r="M99" t="s">
        <v>1523</v>
      </c>
      <c r="N99" t="s">
        <v>312</v>
      </c>
      <c r="O99">
        <v>787200</v>
      </c>
    </row>
    <row r="100" spans="1:15" x14ac:dyDescent="0.4">
      <c r="A100" t="s">
        <v>1487</v>
      </c>
      <c r="B100">
        <v>60</v>
      </c>
      <c r="C100" t="s">
        <v>3</v>
      </c>
      <c r="D100">
        <v>33</v>
      </c>
      <c r="E100" t="s">
        <v>451</v>
      </c>
      <c r="F100">
        <v>1505</v>
      </c>
      <c r="G100" t="s">
        <v>900</v>
      </c>
      <c r="H100">
        <v>582891</v>
      </c>
      <c r="I100">
        <v>20007706</v>
      </c>
      <c r="J100" t="s">
        <v>1576</v>
      </c>
      <c r="K100">
        <v>800157</v>
      </c>
      <c r="L100">
        <v>1</v>
      </c>
      <c r="M100" t="s">
        <v>1523</v>
      </c>
      <c r="N100" t="s">
        <v>312</v>
      </c>
      <c r="O100">
        <v>820800</v>
      </c>
    </row>
    <row r="101" spans="1:15" x14ac:dyDescent="0.4">
      <c r="A101" t="s">
        <v>1523</v>
      </c>
      <c r="B101">
        <v>60</v>
      </c>
      <c r="C101" t="s">
        <v>3</v>
      </c>
      <c r="D101">
        <v>33</v>
      </c>
      <c r="E101" t="s">
        <v>451</v>
      </c>
      <c r="F101">
        <v>1220</v>
      </c>
      <c r="G101" t="s">
        <v>1343</v>
      </c>
      <c r="H101">
        <v>582929</v>
      </c>
      <c r="I101">
        <v>10001813</v>
      </c>
      <c r="J101" t="s">
        <v>1577</v>
      </c>
      <c r="K101">
        <v>800157</v>
      </c>
      <c r="L101">
        <v>1</v>
      </c>
      <c r="M101" t="s">
        <v>1548</v>
      </c>
      <c r="N101" t="s">
        <v>327</v>
      </c>
      <c r="O101">
        <v>781200</v>
      </c>
    </row>
    <row r="102" spans="1:15" x14ac:dyDescent="0.4">
      <c r="A102" t="s">
        <v>1487</v>
      </c>
      <c r="B102">
        <v>80</v>
      </c>
      <c r="C102" t="s">
        <v>4</v>
      </c>
      <c r="D102">
        <v>81</v>
      </c>
      <c r="E102" t="s">
        <v>550</v>
      </c>
      <c r="F102">
        <v>1436</v>
      </c>
      <c r="G102" t="s">
        <v>918</v>
      </c>
      <c r="H102">
        <v>583016</v>
      </c>
      <c r="I102">
        <v>20007465</v>
      </c>
      <c r="J102" t="s">
        <v>1578</v>
      </c>
      <c r="K102">
        <v>800157</v>
      </c>
      <c r="L102">
        <v>1</v>
      </c>
      <c r="M102" t="s">
        <v>1523</v>
      </c>
      <c r="N102" t="s">
        <v>312</v>
      </c>
      <c r="O102">
        <v>793600</v>
      </c>
    </row>
    <row r="103" spans="1:15" x14ac:dyDescent="0.4">
      <c r="A103" t="s">
        <v>1487</v>
      </c>
      <c r="B103">
        <v>75</v>
      </c>
      <c r="C103" t="s">
        <v>5</v>
      </c>
      <c r="D103">
        <v>51</v>
      </c>
      <c r="E103" t="s">
        <v>657</v>
      </c>
      <c r="F103">
        <v>1365</v>
      </c>
      <c r="G103" t="s">
        <v>1148</v>
      </c>
      <c r="H103">
        <v>583034</v>
      </c>
      <c r="I103">
        <v>10060362</v>
      </c>
      <c r="J103" t="s">
        <v>1579</v>
      </c>
      <c r="K103">
        <v>800155</v>
      </c>
      <c r="L103">
        <v>1</v>
      </c>
      <c r="M103" t="s">
        <v>1523</v>
      </c>
      <c r="N103" t="s">
        <v>281</v>
      </c>
      <c r="O103">
        <v>216000</v>
      </c>
    </row>
    <row r="104" spans="1:15" x14ac:dyDescent="0.4">
      <c r="A104" t="s">
        <v>1523</v>
      </c>
      <c r="B104">
        <v>60</v>
      </c>
      <c r="C104" t="s">
        <v>3</v>
      </c>
      <c r="D104">
        <v>31</v>
      </c>
      <c r="E104" t="s">
        <v>447</v>
      </c>
      <c r="F104">
        <v>1299</v>
      </c>
      <c r="G104" t="s">
        <v>947</v>
      </c>
      <c r="H104">
        <v>583067</v>
      </c>
      <c r="I104">
        <v>10034909</v>
      </c>
      <c r="J104" t="s">
        <v>1580</v>
      </c>
      <c r="K104">
        <v>800159</v>
      </c>
      <c r="L104">
        <v>1</v>
      </c>
      <c r="M104" t="s">
        <v>1523</v>
      </c>
      <c r="N104" t="s">
        <v>314</v>
      </c>
      <c r="O104">
        <v>720000</v>
      </c>
    </row>
    <row r="105" spans="1:15" x14ac:dyDescent="0.4">
      <c r="A105" t="s">
        <v>1487</v>
      </c>
      <c r="B105">
        <v>50</v>
      </c>
      <c r="C105" t="s">
        <v>1</v>
      </c>
      <c r="D105">
        <v>21</v>
      </c>
      <c r="E105" t="s">
        <v>182</v>
      </c>
      <c r="F105">
        <v>1263</v>
      </c>
      <c r="G105" t="s">
        <v>1581</v>
      </c>
      <c r="H105">
        <v>583068</v>
      </c>
      <c r="I105">
        <v>10029787</v>
      </c>
      <c r="J105" t="s">
        <v>1582</v>
      </c>
      <c r="K105">
        <v>800157</v>
      </c>
      <c r="L105">
        <v>1</v>
      </c>
      <c r="M105" t="s">
        <v>1487</v>
      </c>
      <c r="N105" t="s">
        <v>243</v>
      </c>
      <c r="O105">
        <v>500400</v>
      </c>
    </row>
    <row r="106" spans="1:15" x14ac:dyDescent="0.4">
      <c r="A106" t="s">
        <v>1487</v>
      </c>
      <c r="B106">
        <v>60</v>
      </c>
      <c r="C106" t="s">
        <v>3</v>
      </c>
      <c r="D106">
        <v>31</v>
      </c>
      <c r="E106" t="s">
        <v>447</v>
      </c>
      <c r="F106">
        <v>1116</v>
      </c>
      <c r="G106" t="s">
        <v>1075</v>
      </c>
      <c r="H106">
        <v>583106</v>
      </c>
      <c r="I106">
        <v>20005995</v>
      </c>
      <c r="J106" t="s">
        <v>1583</v>
      </c>
      <c r="K106">
        <v>800157</v>
      </c>
      <c r="L106">
        <v>1</v>
      </c>
      <c r="M106" t="s">
        <v>1523</v>
      </c>
      <c r="N106" t="s">
        <v>312</v>
      </c>
      <c r="O106">
        <v>812800</v>
      </c>
    </row>
    <row r="107" spans="1:15" x14ac:dyDescent="0.4">
      <c r="A107" t="s">
        <v>1487</v>
      </c>
      <c r="B107">
        <v>50</v>
      </c>
      <c r="C107" t="s">
        <v>1</v>
      </c>
      <c r="D107">
        <v>21</v>
      </c>
      <c r="E107" t="s">
        <v>182</v>
      </c>
      <c r="F107">
        <v>1264</v>
      </c>
      <c r="G107" t="s">
        <v>1023</v>
      </c>
      <c r="H107">
        <v>583142</v>
      </c>
      <c r="I107">
        <v>10002132</v>
      </c>
      <c r="J107" t="s">
        <v>1584</v>
      </c>
      <c r="K107">
        <v>800155</v>
      </c>
      <c r="L107">
        <v>1</v>
      </c>
      <c r="M107" t="s">
        <v>1523</v>
      </c>
      <c r="N107" t="s">
        <v>281</v>
      </c>
      <c r="O107">
        <v>351600</v>
      </c>
    </row>
    <row r="108" spans="1:15" x14ac:dyDescent="0.4">
      <c r="A108" t="s">
        <v>1523</v>
      </c>
      <c r="B108">
        <v>70</v>
      </c>
      <c r="C108" t="s">
        <v>2</v>
      </c>
      <c r="D108">
        <v>41</v>
      </c>
      <c r="E108" t="s">
        <v>306</v>
      </c>
      <c r="F108">
        <v>1118</v>
      </c>
      <c r="G108" t="s">
        <v>1471</v>
      </c>
      <c r="H108">
        <v>583143</v>
      </c>
      <c r="I108">
        <v>10010260</v>
      </c>
      <c r="J108" t="s">
        <v>1585</v>
      </c>
      <c r="K108">
        <v>800157</v>
      </c>
      <c r="L108">
        <v>1</v>
      </c>
      <c r="M108" t="s">
        <v>1586</v>
      </c>
      <c r="N108" t="s">
        <v>222</v>
      </c>
      <c r="O108">
        <v>698400</v>
      </c>
    </row>
    <row r="109" spans="1:15" x14ac:dyDescent="0.4">
      <c r="A109" t="s">
        <v>1587</v>
      </c>
      <c r="B109">
        <v>60</v>
      </c>
      <c r="C109" t="s">
        <v>3</v>
      </c>
      <c r="D109">
        <v>33</v>
      </c>
      <c r="E109" t="s">
        <v>451</v>
      </c>
      <c r="F109">
        <v>1273</v>
      </c>
      <c r="G109" t="s">
        <v>1084</v>
      </c>
      <c r="H109">
        <v>583538</v>
      </c>
      <c r="I109">
        <v>20016948</v>
      </c>
      <c r="J109" t="s">
        <v>1588</v>
      </c>
      <c r="K109">
        <v>800159</v>
      </c>
      <c r="L109">
        <v>1</v>
      </c>
      <c r="M109" t="s">
        <v>1589</v>
      </c>
      <c r="N109" t="s">
        <v>207</v>
      </c>
      <c r="O109">
        <v>1374000</v>
      </c>
    </row>
    <row r="110" spans="1:15" x14ac:dyDescent="0.4">
      <c r="A110" t="s">
        <v>1587</v>
      </c>
      <c r="B110">
        <v>80</v>
      </c>
      <c r="C110" t="s">
        <v>4</v>
      </c>
      <c r="D110">
        <v>81</v>
      </c>
      <c r="E110" t="s">
        <v>550</v>
      </c>
      <c r="F110">
        <v>1436</v>
      </c>
      <c r="G110" t="s">
        <v>918</v>
      </c>
      <c r="H110">
        <v>584081</v>
      </c>
      <c r="I110">
        <v>10087875</v>
      </c>
      <c r="J110" t="s">
        <v>1590</v>
      </c>
      <c r="K110">
        <v>800159</v>
      </c>
      <c r="L110">
        <v>1</v>
      </c>
      <c r="M110" t="s">
        <v>1548</v>
      </c>
      <c r="N110" t="s">
        <v>329</v>
      </c>
      <c r="O110">
        <v>1449600</v>
      </c>
    </row>
    <row r="111" spans="1:15" x14ac:dyDescent="0.4">
      <c r="A111" t="s">
        <v>1548</v>
      </c>
      <c r="B111">
        <v>70</v>
      </c>
      <c r="C111" t="s">
        <v>2</v>
      </c>
      <c r="D111">
        <v>41</v>
      </c>
      <c r="E111" t="s">
        <v>306</v>
      </c>
      <c r="F111">
        <v>1383</v>
      </c>
      <c r="G111" t="s">
        <v>957</v>
      </c>
      <c r="H111">
        <v>584102</v>
      </c>
      <c r="I111">
        <v>10014889</v>
      </c>
      <c r="J111" t="s">
        <v>1591</v>
      </c>
      <c r="K111">
        <v>800155</v>
      </c>
      <c r="L111">
        <v>1</v>
      </c>
      <c r="M111" t="s">
        <v>1548</v>
      </c>
      <c r="N111" t="s">
        <v>376</v>
      </c>
      <c r="O111">
        <v>144000</v>
      </c>
    </row>
    <row r="112" spans="1:15" x14ac:dyDescent="0.4">
      <c r="A112" t="s">
        <v>1548</v>
      </c>
      <c r="B112">
        <v>70</v>
      </c>
      <c r="C112" t="s">
        <v>2</v>
      </c>
      <c r="D112">
        <v>41</v>
      </c>
      <c r="E112" t="s">
        <v>306</v>
      </c>
      <c r="F112">
        <v>1383</v>
      </c>
      <c r="G112" t="s">
        <v>957</v>
      </c>
      <c r="H112">
        <v>584258</v>
      </c>
      <c r="I112">
        <v>20017153</v>
      </c>
      <c r="J112" t="s">
        <v>1592</v>
      </c>
      <c r="K112">
        <v>800155</v>
      </c>
      <c r="L112">
        <v>1</v>
      </c>
      <c r="M112" t="s">
        <v>1586</v>
      </c>
      <c r="N112" t="s">
        <v>353</v>
      </c>
      <c r="O112">
        <v>310800</v>
      </c>
    </row>
    <row r="113" spans="1:15" x14ac:dyDescent="0.4">
      <c r="A113" t="s">
        <v>1589</v>
      </c>
      <c r="B113">
        <v>70</v>
      </c>
      <c r="C113" t="s">
        <v>2</v>
      </c>
      <c r="D113">
        <v>41</v>
      </c>
      <c r="E113" t="s">
        <v>306</v>
      </c>
      <c r="F113">
        <v>1510</v>
      </c>
      <c r="G113" t="s">
        <v>870</v>
      </c>
      <c r="H113">
        <v>584835</v>
      </c>
      <c r="I113">
        <v>10078177</v>
      </c>
      <c r="J113" t="s">
        <v>1593</v>
      </c>
      <c r="K113">
        <v>800155</v>
      </c>
      <c r="L113">
        <v>1</v>
      </c>
      <c r="M113" t="s">
        <v>1594</v>
      </c>
      <c r="N113" t="s">
        <v>203</v>
      </c>
      <c r="O113">
        <v>208800</v>
      </c>
    </row>
    <row r="114" spans="1:15" x14ac:dyDescent="0.4">
      <c r="A114" t="s">
        <v>1589</v>
      </c>
      <c r="B114">
        <v>70</v>
      </c>
      <c r="C114" t="s">
        <v>2</v>
      </c>
      <c r="D114">
        <v>41</v>
      </c>
      <c r="E114" t="s">
        <v>306</v>
      </c>
      <c r="F114">
        <v>1298</v>
      </c>
      <c r="G114" t="s">
        <v>1277</v>
      </c>
      <c r="H114">
        <v>585014</v>
      </c>
      <c r="I114">
        <v>10065969</v>
      </c>
      <c r="J114" t="s">
        <v>1595</v>
      </c>
      <c r="K114">
        <v>800157</v>
      </c>
      <c r="L114">
        <v>1</v>
      </c>
      <c r="M114" t="s">
        <v>1596</v>
      </c>
      <c r="N114" t="s">
        <v>252</v>
      </c>
      <c r="O114">
        <v>550800</v>
      </c>
    </row>
    <row r="115" spans="1:15" x14ac:dyDescent="0.4">
      <c r="A115" t="s">
        <v>1589</v>
      </c>
      <c r="B115">
        <v>70</v>
      </c>
      <c r="C115" t="s">
        <v>2</v>
      </c>
      <c r="D115">
        <v>41</v>
      </c>
      <c r="E115" t="s">
        <v>306</v>
      </c>
      <c r="F115">
        <v>1383</v>
      </c>
      <c r="G115" t="s">
        <v>957</v>
      </c>
      <c r="H115">
        <v>585187</v>
      </c>
      <c r="I115">
        <v>20017312</v>
      </c>
      <c r="J115" t="s">
        <v>1597</v>
      </c>
      <c r="K115">
        <v>800159</v>
      </c>
      <c r="L115">
        <v>1</v>
      </c>
      <c r="M115" t="s">
        <v>1594</v>
      </c>
      <c r="N115" t="s">
        <v>294</v>
      </c>
      <c r="O115">
        <v>1374000</v>
      </c>
    </row>
    <row r="116" spans="1:15" x14ac:dyDescent="0.4">
      <c r="A116" t="s">
        <v>1586</v>
      </c>
      <c r="B116">
        <v>80</v>
      </c>
      <c r="C116" t="s">
        <v>4</v>
      </c>
      <c r="D116">
        <v>81</v>
      </c>
      <c r="E116" t="s">
        <v>550</v>
      </c>
      <c r="F116">
        <v>1322</v>
      </c>
      <c r="G116" t="s">
        <v>961</v>
      </c>
      <c r="H116">
        <v>585686</v>
      </c>
      <c r="I116">
        <v>10018723</v>
      </c>
      <c r="J116" t="s">
        <v>1598</v>
      </c>
      <c r="K116">
        <v>800159</v>
      </c>
      <c r="L116">
        <v>1</v>
      </c>
      <c r="M116" t="s">
        <v>1589</v>
      </c>
      <c r="N116" t="s">
        <v>207</v>
      </c>
      <c r="O116">
        <v>1460400</v>
      </c>
    </row>
    <row r="117" spans="1:15" x14ac:dyDescent="0.4">
      <c r="A117" t="s">
        <v>1586</v>
      </c>
      <c r="B117">
        <v>80</v>
      </c>
      <c r="C117" t="s">
        <v>4</v>
      </c>
      <c r="D117">
        <v>81</v>
      </c>
      <c r="E117" t="s">
        <v>550</v>
      </c>
      <c r="F117">
        <v>1322</v>
      </c>
      <c r="G117" t="s">
        <v>961</v>
      </c>
      <c r="H117">
        <v>585691</v>
      </c>
      <c r="I117">
        <v>10010229</v>
      </c>
      <c r="J117" t="s">
        <v>1599</v>
      </c>
      <c r="K117">
        <v>800159</v>
      </c>
      <c r="L117">
        <v>1</v>
      </c>
      <c r="M117" t="s">
        <v>1589</v>
      </c>
      <c r="N117" t="s">
        <v>207</v>
      </c>
      <c r="O117">
        <v>1460400</v>
      </c>
    </row>
    <row r="118" spans="1:15" x14ac:dyDescent="0.4">
      <c r="A118" t="s">
        <v>1589</v>
      </c>
      <c r="B118">
        <v>80</v>
      </c>
      <c r="C118" t="s">
        <v>4</v>
      </c>
      <c r="D118">
        <v>81</v>
      </c>
      <c r="E118" t="s">
        <v>550</v>
      </c>
      <c r="F118">
        <v>1322</v>
      </c>
      <c r="G118" t="s">
        <v>961</v>
      </c>
      <c r="H118">
        <v>585693</v>
      </c>
      <c r="I118">
        <v>10016333</v>
      </c>
      <c r="J118" t="s">
        <v>1600</v>
      </c>
      <c r="K118">
        <v>800159</v>
      </c>
      <c r="L118">
        <v>1</v>
      </c>
      <c r="M118" t="s">
        <v>1594</v>
      </c>
      <c r="N118" t="s">
        <v>294</v>
      </c>
      <c r="O118">
        <v>1460400</v>
      </c>
    </row>
    <row r="119" spans="1:15" x14ac:dyDescent="0.4">
      <c r="A119" t="s">
        <v>195</v>
      </c>
      <c r="B119">
        <v>70</v>
      </c>
      <c r="C119" t="s">
        <v>2</v>
      </c>
      <c r="D119">
        <v>41</v>
      </c>
      <c r="E119" t="s">
        <v>306</v>
      </c>
      <c r="F119">
        <v>1552</v>
      </c>
      <c r="G119" t="s">
        <v>929</v>
      </c>
      <c r="H119">
        <v>585744</v>
      </c>
      <c r="I119">
        <v>10051204</v>
      </c>
      <c r="J119" t="s">
        <v>1601</v>
      </c>
      <c r="K119">
        <v>800159</v>
      </c>
      <c r="L119">
        <v>1</v>
      </c>
      <c r="M119" t="s">
        <v>185</v>
      </c>
      <c r="N119" t="s">
        <v>190</v>
      </c>
      <c r="O119">
        <v>1320000</v>
      </c>
    </row>
    <row r="120" spans="1:15" x14ac:dyDescent="0.4">
      <c r="A120" t="s">
        <v>1594</v>
      </c>
      <c r="B120">
        <v>80</v>
      </c>
      <c r="C120" t="s">
        <v>4</v>
      </c>
      <c r="D120">
        <v>81</v>
      </c>
      <c r="E120" t="s">
        <v>550</v>
      </c>
      <c r="F120">
        <v>1436</v>
      </c>
      <c r="G120" t="s">
        <v>918</v>
      </c>
      <c r="H120">
        <v>586601</v>
      </c>
      <c r="I120">
        <v>10034857</v>
      </c>
      <c r="J120" t="s">
        <v>1602</v>
      </c>
      <c r="K120">
        <v>800157</v>
      </c>
      <c r="L120">
        <v>1</v>
      </c>
      <c r="M120" t="s">
        <v>1594</v>
      </c>
      <c r="N120" t="s">
        <v>292</v>
      </c>
      <c r="O120">
        <v>446400</v>
      </c>
    </row>
    <row r="121" spans="1:15" x14ac:dyDescent="0.4">
      <c r="A121" t="s">
        <v>268</v>
      </c>
      <c r="B121">
        <v>60</v>
      </c>
      <c r="C121" t="s">
        <v>3</v>
      </c>
      <c r="D121">
        <v>31</v>
      </c>
      <c r="E121" t="s">
        <v>447</v>
      </c>
      <c r="F121">
        <v>1367</v>
      </c>
      <c r="G121" t="s">
        <v>977</v>
      </c>
      <c r="H121">
        <v>586779</v>
      </c>
      <c r="I121">
        <v>20016684</v>
      </c>
      <c r="J121" t="s">
        <v>1603</v>
      </c>
      <c r="K121">
        <v>800159</v>
      </c>
      <c r="L121">
        <v>1</v>
      </c>
      <c r="M121" t="s">
        <v>195</v>
      </c>
      <c r="N121" t="s">
        <v>200</v>
      </c>
      <c r="O121">
        <v>1498200</v>
      </c>
    </row>
    <row r="122" spans="1:15" x14ac:dyDescent="0.4">
      <c r="A122" t="s">
        <v>1596</v>
      </c>
      <c r="B122">
        <v>80</v>
      </c>
      <c r="C122" t="s">
        <v>4</v>
      </c>
      <c r="D122">
        <v>81</v>
      </c>
      <c r="E122" t="s">
        <v>550</v>
      </c>
      <c r="F122">
        <v>1322</v>
      </c>
      <c r="G122" t="s">
        <v>961</v>
      </c>
      <c r="H122">
        <v>587511</v>
      </c>
      <c r="I122">
        <v>10029614</v>
      </c>
      <c r="J122" t="s">
        <v>1604</v>
      </c>
      <c r="K122">
        <v>800159</v>
      </c>
      <c r="L122">
        <v>1</v>
      </c>
      <c r="M122" t="s">
        <v>268</v>
      </c>
      <c r="N122" t="s">
        <v>214</v>
      </c>
      <c r="O122">
        <v>1336200</v>
      </c>
    </row>
    <row r="123" spans="1:15" x14ac:dyDescent="0.4">
      <c r="A123" t="s">
        <v>1596</v>
      </c>
      <c r="B123">
        <v>70</v>
      </c>
      <c r="C123" t="s">
        <v>2</v>
      </c>
      <c r="D123">
        <v>41</v>
      </c>
      <c r="E123" t="s">
        <v>306</v>
      </c>
      <c r="F123">
        <v>1298</v>
      </c>
      <c r="G123" t="s">
        <v>1277</v>
      </c>
      <c r="H123">
        <v>587646</v>
      </c>
      <c r="I123">
        <v>20017849</v>
      </c>
      <c r="J123" t="s">
        <v>1605</v>
      </c>
      <c r="K123">
        <v>800159</v>
      </c>
      <c r="L123">
        <v>1</v>
      </c>
      <c r="M123" t="s">
        <v>185</v>
      </c>
      <c r="N123" t="s">
        <v>190</v>
      </c>
      <c r="O123">
        <v>1568400</v>
      </c>
    </row>
    <row r="124" spans="1:15" x14ac:dyDescent="0.4">
      <c r="A124" t="s">
        <v>268</v>
      </c>
      <c r="B124">
        <v>70</v>
      </c>
      <c r="C124" t="s">
        <v>2</v>
      </c>
      <c r="D124">
        <v>41</v>
      </c>
      <c r="E124" t="s">
        <v>306</v>
      </c>
      <c r="F124">
        <v>1118</v>
      </c>
      <c r="G124" t="s">
        <v>1471</v>
      </c>
      <c r="H124">
        <v>587932</v>
      </c>
      <c r="I124">
        <v>20016390</v>
      </c>
      <c r="J124" t="s">
        <v>1606</v>
      </c>
      <c r="K124">
        <v>800159</v>
      </c>
      <c r="L124">
        <v>1</v>
      </c>
      <c r="M124" t="s">
        <v>185</v>
      </c>
      <c r="N124" t="s">
        <v>190</v>
      </c>
      <c r="O124">
        <v>1541400</v>
      </c>
    </row>
    <row r="125" spans="1:15" x14ac:dyDescent="0.4">
      <c r="A125" t="s">
        <v>268</v>
      </c>
      <c r="B125">
        <v>70</v>
      </c>
      <c r="C125" t="s">
        <v>2</v>
      </c>
      <c r="D125">
        <v>41</v>
      </c>
      <c r="E125" t="s">
        <v>306</v>
      </c>
      <c r="F125">
        <v>1552</v>
      </c>
      <c r="G125" t="s">
        <v>929</v>
      </c>
      <c r="H125">
        <v>587979</v>
      </c>
      <c r="I125">
        <v>10036161</v>
      </c>
      <c r="J125" t="s">
        <v>1607</v>
      </c>
      <c r="K125">
        <v>800159</v>
      </c>
      <c r="L125">
        <v>1</v>
      </c>
      <c r="M125" t="s">
        <v>195</v>
      </c>
      <c r="N125" t="s">
        <v>200</v>
      </c>
      <c r="O125">
        <v>1325400</v>
      </c>
    </row>
    <row r="126" spans="1:15" x14ac:dyDescent="0.4">
      <c r="A126" t="s">
        <v>1596</v>
      </c>
      <c r="B126">
        <v>80</v>
      </c>
      <c r="C126" t="s">
        <v>4</v>
      </c>
      <c r="D126">
        <v>81</v>
      </c>
      <c r="E126" t="s">
        <v>550</v>
      </c>
      <c r="F126">
        <v>1436</v>
      </c>
      <c r="G126" t="s">
        <v>918</v>
      </c>
      <c r="H126">
        <v>588225</v>
      </c>
      <c r="I126">
        <v>20017956</v>
      </c>
      <c r="J126" t="s">
        <v>1608</v>
      </c>
      <c r="K126">
        <v>800159</v>
      </c>
      <c r="L126">
        <v>1</v>
      </c>
      <c r="M126" t="s">
        <v>268</v>
      </c>
      <c r="N126" t="s">
        <v>214</v>
      </c>
      <c r="O126">
        <v>1815600</v>
      </c>
    </row>
    <row r="127" spans="1:15" x14ac:dyDescent="0.4">
      <c r="A127" t="s">
        <v>195</v>
      </c>
      <c r="B127">
        <v>70</v>
      </c>
      <c r="C127" t="s">
        <v>2</v>
      </c>
      <c r="D127">
        <v>41</v>
      </c>
      <c r="E127" t="s">
        <v>306</v>
      </c>
      <c r="F127">
        <v>1510</v>
      </c>
      <c r="G127" t="s">
        <v>870</v>
      </c>
      <c r="H127">
        <v>588888</v>
      </c>
      <c r="I127">
        <v>20017969</v>
      </c>
      <c r="J127" t="s">
        <v>1609</v>
      </c>
      <c r="K127">
        <v>800159</v>
      </c>
      <c r="L127">
        <v>1</v>
      </c>
      <c r="M127" t="s">
        <v>195</v>
      </c>
      <c r="N127" t="s">
        <v>200</v>
      </c>
      <c r="O127">
        <v>1482000</v>
      </c>
    </row>
    <row r="128" spans="1:15" x14ac:dyDescent="0.4">
      <c r="A128" t="s">
        <v>195</v>
      </c>
      <c r="B128">
        <v>50</v>
      </c>
      <c r="C128" t="s">
        <v>1</v>
      </c>
      <c r="D128">
        <v>21</v>
      </c>
      <c r="E128" t="s">
        <v>182</v>
      </c>
      <c r="F128">
        <v>1166</v>
      </c>
      <c r="G128" t="s">
        <v>1082</v>
      </c>
      <c r="H128">
        <v>589482</v>
      </c>
      <c r="I128">
        <v>20018103</v>
      </c>
      <c r="J128" t="s">
        <v>1610</v>
      </c>
      <c r="K128">
        <v>800159</v>
      </c>
      <c r="L128">
        <v>1</v>
      </c>
      <c r="M128" t="s">
        <v>275</v>
      </c>
      <c r="N128" t="s">
        <v>234</v>
      </c>
      <c r="O128">
        <v>894000</v>
      </c>
    </row>
    <row r="129" spans="1:15" x14ac:dyDescent="0.4">
      <c r="A129" t="s">
        <v>195</v>
      </c>
      <c r="B129">
        <v>60</v>
      </c>
      <c r="C129" t="s">
        <v>3</v>
      </c>
      <c r="D129">
        <v>33</v>
      </c>
      <c r="E129" t="s">
        <v>451</v>
      </c>
      <c r="F129">
        <v>1505</v>
      </c>
      <c r="G129" t="s">
        <v>900</v>
      </c>
      <c r="H129">
        <v>589669</v>
      </c>
      <c r="I129">
        <v>20018135</v>
      </c>
      <c r="J129" t="s">
        <v>1611</v>
      </c>
      <c r="K129">
        <v>800159</v>
      </c>
      <c r="L129">
        <v>1</v>
      </c>
      <c r="M129" t="s">
        <v>275</v>
      </c>
      <c r="N129" t="s">
        <v>234</v>
      </c>
      <c r="O129">
        <v>1623200</v>
      </c>
    </row>
    <row r="130" spans="1:15" x14ac:dyDescent="0.4">
      <c r="A130" t="s">
        <v>275</v>
      </c>
      <c r="B130">
        <v>76</v>
      </c>
      <c r="C130" t="s">
        <v>6</v>
      </c>
      <c r="D130">
        <v>61</v>
      </c>
      <c r="E130" t="s">
        <v>703</v>
      </c>
      <c r="F130">
        <v>1475</v>
      </c>
      <c r="G130" t="s">
        <v>909</v>
      </c>
      <c r="H130">
        <v>591318</v>
      </c>
      <c r="I130">
        <v>10024158</v>
      </c>
      <c r="J130" t="s">
        <v>1507</v>
      </c>
      <c r="K130">
        <v>800159</v>
      </c>
      <c r="L130">
        <v>1</v>
      </c>
      <c r="M130" t="s">
        <v>363</v>
      </c>
      <c r="N130" t="s">
        <v>315</v>
      </c>
      <c r="O130">
        <v>744000</v>
      </c>
    </row>
    <row r="131" spans="1:15" x14ac:dyDescent="0.4">
      <c r="A131" t="s">
        <v>376</v>
      </c>
      <c r="B131">
        <v>50</v>
      </c>
      <c r="C131" t="s">
        <v>1</v>
      </c>
      <c r="D131">
        <v>21</v>
      </c>
      <c r="E131" t="s">
        <v>182</v>
      </c>
      <c r="F131">
        <v>1345</v>
      </c>
      <c r="G131" t="s">
        <v>874</v>
      </c>
      <c r="H131">
        <v>593131</v>
      </c>
      <c r="I131">
        <v>20018714</v>
      </c>
      <c r="J131" t="s">
        <v>1612</v>
      </c>
      <c r="K131">
        <v>800159</v>
      </c>
      <c r="L131">
        <v>1</v>
      </c>
      <c r="M131" t="s">
        <v>353</v>
      </c>
      <c r="N131" t="s">
        <v>330</v>
      </c>
      <c r="O131">
        <v>1266000</v>
      </c>
    </row>
    <row r="132" spans="1:15" x14ac:dyDescent="0.4">
      <c r="A132" t="s">
        <v>353</v>
      </c>
      <c r="B132">
        <v>50</v>
      </c>
      <c r="C132" t="s">
        <v>1</v>
      </c>
      <c r="D132">
        <v>21</v>
      </c>
      <c r="E132" t="s">
        <v>182</v>
      </c>
      <c r="F132">
        <v>1197</v>
      </c>
      <c r="G132" t="s">
        <v>1511</v>
      </c>
      <c r="H132">
        <v>593860</v>
      </c>
      <c r="I132">
        <v>20018880</v>
      </c>
      <c r="J132" t="s">
        <v>1613</v>
      </c>
      <c r="K132">
        <v>800157</v>
      </c>
      <c r="L132">
        <v>1</v>
      </c>
      <c r="M132" t="s">
        <v>220</v>
      </c>
      <c r="N132" t="s">
        <v>223</v>
      </c>
      <c r="O132">
        <v>800000</v>
      </c>
    </row>
    <row r="133" spans="1:15" x14ac:dyDescent="0.4">
      <c r="A133" t="s">
        <v>203</v>
      </c>
      <c r="B133">
        <v>50</v>
      </c>
      <c r="C133" t="s">
        <v>1</v>
      </c>
      <c r="D133">
        <v>21</v>
      </c>
      <c r="E133" t="s">
        <v>182</v>
      </c>
      <c r="F133">
        <v>1166</v>
      </c>
      <c r="G133" t="s">
        <v>1082</v>
      </c>
      <c r="H133">
        <v>594722</v>
      </c>
      <c r="I133">
        <v>10008668</v>
      </c>
      <c r="J133" t="s">
        <v>1614</v>
      </c>
      <c r="K133">
        <v>800159</v>
      </c>
      <c r="L133">
        <v>1</v>
      </c>
      <c r="M133" t="s">
        <v>290</v>
      </c>
      <c r="N133" t="s">
        <v>295</v>
      </c>
      <c r="O133">
        <v>954000</v>
      </c>
    </row>
    <row r="134" spans="1:15" x14ac:dyDescent="0.4">
      <c r="A134" t="s">
        <v>290</v>
      </c>
      <c r="B134">
        <v>50</v>
      </c>
      <c r="C134" t="s">
        <v>1</v>
      </c>
      <c r="D134">
        <v>11</v>
      </c>
      <c r="E134" t="s">
        <v>192</v>
      </c>
      <c r="F134">
        <v>1353</v>
      </c>
      <c r="G134" t="s">
        <v>1017</v>
      </c>
      <c r="H134">
        <v>594938</v>
      </c>
      <c r="I134">
        <v>10026343</v>
      </c>
      <c r="J134" t="s">
        <v>1615</v>
      </c>
      <c r="K134">
        <v>800155</v>
      </c>
      <c r="L134">
        <v>1</v>
      </c>
      <c r="M134" t="s">
        <v>250</v>
      </c>
      <c r="N134" t="s">
        <v>251</v>
      </c>
      <c r="O134">
        <v>268800</v>
      </c>
    </row>
    <row r="135" spans="1:15" x14ac:dyDescent="0.4">
      <c r="A135" t="s">
        <v>311</v>
      </c>
      <c r="B135">
        <v>75</v>
      </c>
      <c r="C135" t="s">
        <v>5</v>
      </c>
      <c r="D135">
        <v>51</v>
      </c>
      <c r="E135" t="s">
        <v>657</v>
      </c>
      <c r="F135">
        <v>1435</v>
      </c>
      <c r="G135" t="s">
        <v>860</v>
      </c>
      <c r="H135">
        <v>598533</v>
      </c>
      <c r="I135">
        <v>10024966</v>
      </c>
      <c r="J135" t="s">
        <v>1616</v>
      </c>
      <c r="K135">
        <v>800157</v>
      </c>
      <c r="L135">
        <v>1</v>
      </c>
      <c r="M135" t="s">
        <v>258</v>
      </c>
      <c r="N135" t="s">
        <v>261</v>
      </c>
      <c r="O135">
        <v>0</v>
      </c>
    </row>
    <row r="136" spans="1:15" x14ac:dyDescent="0.4">
      <c r="A136" t="s">
        <v>258</v>
      </c>
      <c r="B136">
        <v>75</v>
      </c>
      <c r="C136" t="s">
        <v>5</v>
      </c>
      <c r="D136">
        <v>52</v>
      </c>
      <c r="E136" t="s">
        <v>665</v>
      </c>
      <c r="F136">
        <v>1403</v>
      </c>
      <c r="G136" t="s">
        <v>925</v>
      </c>
      <c r="H136">
        <v>599194</v>
      </c>
      <c r="I136">
        <v>20020728</v>
      </c>
      <c r="J136" t="s">
        <v>1617</v>
      </c>
      <c r="K136">
        <v>800159</v>
      </c>
      <c r="L136">
        <v>1</v>
      </c>
      <c r="M136" t="s">
        <v>221</v>
      </c>
      <c r="N136" t="s">
        <v>331</v>
      </c>
      <c r="O136">
        <v>1352400</v>
      </c>
    </row>
    <row r="137" spans="1:15" x14ac:dyDescent="0.4">
      <c r="A137" t="s">
        <v>1479</v>
      </c>
      <c r="B137">
        <v>50</v>
      </c>
      <c r="C137" t="s">
        <v>1</v>
      </c>
      <c r="D137">
        <v>21</v>
      </c>
      <c r="E137" t="s">
        <v>182</v>
      </c>
      <c r="F137">
        <v>1166</v>
      </c>
      <c r="G137" t="s">
        <v>1082</v>
      </c>
      <c r="I137">
        <v>10000002</v>
      </c>
      <c r="J137" t="s">
        <v>1618</v>
      </c>
      <c r="K137">
        <v>800157</v>
      </c>
      <c r="L137">
        <v>1</v>
      </c>
      <c r="M137" t="s">
        <v>1487</v>
      </c>
      <c r="N137" t="s">
        <v>243</v>
      </c>
      <c r="O137">
        <v>787200</v>
      </c>
    </row>
    <row r="138" spans="1:15" x14ac:dyDescent="0.4">
      <c r="A138" t="s">
        <v>1596</v>
      </c>
      <c r="B138">
        <v>60</v>
      </c>
      <c r="C138" t="s">
        <v>3</v>
      </c>
      <c r="D138">
        <v>33</v>
      </c>
      <c r="E138" t="s">
        <v>451</v>
      </c>
      <c r="F138">
        <v>1220</v>
      </c>
      <c r="G138" t="s">
        <v>1343</v>
      </c>
      <c r="I138">
        <v>10000006</v>
      </c>
      <c r="J138" t="s">
        <v>1619</v>
      </c>
      <c r="K138">
        <v>800159</v>
      </c>
      <c r="L138">
        <v>1</v>
      </c>
      <c r="M138" t="s">
        <v>268</v>
      </c>
      <c r="N138" t="s">
        <v>214</v>
      </c>
      <c r="O138">
        <v>750000</v>
      </c>
    </row>
    <row r="139" spans="1:15" x14ac:dyDescent="0.4">
      <c r="A139" t="s">
        <v>1587</v>
      </c>
      <c r="B139">
        <v>60</v>
      </c>
      <c r="C139" t="s">
        <v>3</v>
      </c>
      <c r="D139">
        <v>31</v>
      </c>
      <c r="E139" t="s">
        <v>447</v>
      </c>
      <c r="F139">
        <v>1116</v>
      </c>
      <c r="G139" t="s">
        <v>1075</v>
      </c>
      <c r="I139">
        <v>10000017</v>
      </c>
      <c r="J139" t="s">
        <v>1620</v>
      </c>
      <c r="K139">
        <v>800157</v>
      </c>
      <c r="L139">
        <v>1</v>
      </c>
      <c r="M139" t="s">
        <v>1548</v>
      </c>
      <c r="N139" t="s">
        <v>327</v>
      </c>
      <c r="O139">
        <v>787200</v>
      </c>
    </row>
    <row r="140" spans="1:15" x14ac:dyDescent="0.4">
      <c r="A140" t="s">
        <v>220</v>
      </c>
      <c r="B140">
        <v>76</v>
      </c>
      <c r="C140" t="s">
        <v>6</v>
      </c>
      <c r="D140">
        <v>61</v>
      </c>
      <c r="E140" t="s">
        <v>703</v>
      </c>
      <c r="F140">
        <v>1475</v>
      </c>
      <c r="G140" t="s">
        <v>909</v>
      </c>
      <c r="I140">
        <v>10000029</v>
      </c>
      <c r="J140" t="s">
        <v>1621</v>
      </c>
      <c r="K140">
        <v>800157</v>
      </c>
      <c r="L140">
        <v>1</v>
      </c>
      <c r="M140" t="s">
        <v>203</v>
      </c>
      <c r="N140" t="s">
        <v>206</v>
      </c>
      <c r="O140">
        <v>851200</v>
      </c>
    </row>
    <row r="141" spans="1:15" x14ac:dyDescent="0.4">
      <c r="A141" t="s">
        <v>186</v>
      </c>
      <c r="B141">
        <v>75</v>
      </c>
      <c r="C141" t="s">
        <v>5</v>
      </c>
      <c r="D141">
        <v>51</v>
      </c>
      <c r="E141" t="s">
        <v>657</v>
      </c>
      <c r="F141">
        <v>1435</v>
      </c>
      <c r="G141" t="s">
        <v>860</v>
      </c>
      <c r="I141">
        <v>10000033</v>
      </c>
      <c r="J141" t="s">
        <v>1622</v>
      </c>
      <c r="K141">
        <v>800157</v>
      </c>
      <c r="L141">
        <v>1</v>
      </c>
      <c r="M141" t="s">
        <v>238</v>
      </c>
      <c r="N141" t="s">
        <v>189</v>
      </c>
      <c r="O141">
        <v>741600</v>
      </c>
    </row>
    <row r="142" spans="1:15" x14ac:dyDescent="0.4">
      <c r="A142" t="s">
        <v>275</v>
      </c>
      <c r="B142">
        <v>70</v>
      </c>
      <c r="C142" t="s">
        <v>2</v>
      </c>
      <c r="D142">
        <v>41</v>
      </c>
      <c r="E142" t="s">
        <v>306</v>
      </c>
      <c r="F142">
        <v>1445</v>
      </c>
      <c r="G142" t="s">
        <v>886</v>
      </c>
      <c r="I142">
        <v>20004818</v>
      </c>
      <c r="J142" t="s">
        <v>1623</v>
      </c>
      <c r="K142">
        <v>800157</v>
      </c>
      <c r="L142">
        <v>1</v>
      </c>
      <c r="M142" t="s">
        <v>281</v>
      </c>
      <c r="N142" t="s">
        <v>244</v>
      </c>
      <c r="O142">
        <v>787200</v>
      </c>
    </row>
    <row r="143" spans="1:15" x14ac:dyDescent="0.4">
      <c r="A143" t="s">
        <v>186</v>
      </c>
      <c r="B143">
        <v>70</v>
      </c>
      <c r="C143" t="s">
        <v>2</v>
      </c>
      <c r="D143">
        <v>41</v>
      </c>
      <c r="E143" t="s">
        <v>306</v>
      </c>
      <c r="F143">
        <v>1610</v>
      </c>
      <c r="G143" t="s">
        <v>1352</v>
      </c>
      <c r="I143">
        <v>10063664</v>
      </c>
      <c r="J143" t="s">
        <v>1624</v>
      </c>
      <c r="K143">
        <v>800159</v>
      </c>
      <c r="L143">
        <v>1</v>
      </c>
      <c r="M143" t="s">
        <v>238</v>
      </c>
      <c r="N143" t="s">
        <v>239</v>
      </c>
      <c r="O143">
        <v>1568400</v>
      </c>
    </row>
    <row r="144" spans="1:15" x14ac:dyDescent="0.4">
      <c r="A144" t="s">
        <v>290</v>
      </c>
      <c r="B144">
        <v>60</v>
      </c>
      <c r="C144" t="s">
        <v>3</v>
      </c>
      <c r="D144">
        <v>33</v>
      </c>
      <c r="E144" t="s">
        <v>451</v>
      </c>
      <c r="F144">
        <v>1273</v>
      </c>
      <c r="G144" t="s">
        <v>1084</v>
      </c>
      <c r="I144">
        <v>10063682</v>
      </c>
      <c r="J144" t="s">
        <v>1625</v>
      </c>
      <c r="K144">
        <v>800155</v>
      </c>
      <c r="L144">
        <v>1</v>
      </c>
      <c r="M144" t="s">
        <v>250</v>
      </c>
      <c r="N144" t="s">
        <v>251</v>
      </c>
      <c r="O144">
        <v>255600</v>
      </c>
    </row>
    <row r="145" spans="1:15" x14ac:dyDescent="0.4">
      <c r="A145" t="s">
        <v>1586</v>
      </c>
      <c r="B145">
        <v>60</v>
      </c>
      <c r="C145" t="s">
        <v>3</v>
      </c>
      <c r="D145">
        <v>31</v>
      </c>
      <c r="E145" t="s">
        <v>447</v>
      </c>
      <c r="F145">
        <v>1116</v>
      </c>
      <c r="G145" t="s">
        <v>1075</v>
      </c>
      <c r="I145">
        <v>10004199</v>
      </c>
      <c r="J145" t="s">
        <v>1626</v>
      </c>
      <c r="K145">
        <v>800157</v>
      </c>
      <c r="L145">
        <v>1</v>
      </c>
      <c r="M145" t="s">
        <v>1589</v>
      </c>
      <c r="N145" t="s">
        <v>205</v>
      </c>
      <c r="O145">
        <v>793600</v>
      </c>
    </row>
    <row r="146" spans="1:15" x14ac:dyDescent="0.4">
      <c r="A146" t="s">
        <v>242</v>
      </c>
      <c r="B146">
        <v>75</v>
      </c>
      <c r="C146" t="s">
        <v>5</v>
      </c>
      <c r="D146">
        <v>51</v>
      </c>
      <c r="E146" t="s">
        <v>657</v>
      </c>
      <c r="F146">
        <v>1365</v>
      </c>
      <c r="G146" t="s">
        <v>1148</v>
      </c>
      <c r="I146">
        <v>10039080</v>
      </c>
      <c r="J146" t="s">
        <v>1627</v>
      </c>
      <c r="K146">
        <v>800159</v>
      </c>
      <c r="L146">
        <v>1</v>
      </c>
      <c r="M146" t="s">
        <v>311</v>
      </c>
      <c r="N146" t="s">
        <v>316</v>
      </c>
      <c r="O146">
        <v>1347000</v>
      </c>
    </row>
    <row r="147" spans="1:15" x14ac:dyDescent="0.4">
      <c r="A147" t="s">
        <v>185</v>
      </c>
      <c r="B147">
        <v>70</v>
      </c>
      <c r="C147" t="s">
        <v>2</v>
      </c>
      <c r="D147">
        <v>41</v>
      </c>
      <c r="E147" t="s">
        <v>306</v>
      </c>
      <c r="F147">
        <v>1383</v>
      </c>
      <c r="G147" t="s">
        <v>957</v>
      </c>
      <c r="I147">
        <v>10004226</v>
      </c>
      <c r="J147" t="s">
        <v>1628</v>
      </c>
      <c r="K147">
        <v>800159</v>
      </c>
      <c r="L147">
        <v>1</v>
      </c>
      <c r="M147" t="s">
        <v>275</v>
      </c>
      <c r="N147" t="s">
        <v>234</v>
      </c>
      <c r="O147">
        <v>1449600</v>
      </c>
    </row>
    <row r="148" spans="1:15" x14ac:dyDescent="0.4">
      <c r="A148" t="s">
        <v>220</v>
      </c>
      <c r="B148">
        <v>50</v>
      </c>
      <c r="C148" t="s">
        <v>1</v>
      </c>
      <c r="D148">
        <v>21</v>
      </c>
      <c r="E148" t="s">
        <v>182</v>
      </c>
      <c r="F148">
        <v>1345</v>
      </c>
      <c r="G148" t="s">
        <v>874</v>
      </c>
      <c r="I148">
        <v>20003457</v>
      </c>
      <c r="J148" t="s">
        <v>1629</v>
      </c>
      <c r="K148">
        <v>800159</v>
      </c>
      <c r="L148">
        <v>1</v>
      </c>
      <c r="M148" t="s">
        <v>203</v>
      </c>
      <c r="N148" t="s">
        <v>208</v>
      </c>
      <c r="O148">
        <v>1330800</v>
      </c>
    </row>
    <row r="149" spans="1:15" x14ac:dyDescent="0.4">
      <c r="A149" t="s">
        <v>275</v>
      </c>
      <c r="B149">
        <v>80</v>
      </c>
      <c r="C149" t="s">
        <v>4</v>
      </c>
      <c r="D149">
        <v>81</v>
      </c>
      <c r="E149" t="s">
        <v>550</v>
      </c>
      <c r="F149">
        <v>1436</v>
      </c>
      <c r="G149" t="s">
        <v>918</v>
      </c>
      <c r="I149">
        <v>10042796</v>
      </c>
      <c r="J149" t="s">
        <v>1630</v>
      </c>
      <c r="K149">
        <v>800159</v>
      </c>
      <c r="L149">
        <v>1</v>
      </c>
      <c r="M149" t="s">
        <v>281</v>
      </c>
      <c r="N149" t="s">
        <v>246</v>
      </c>
      <c r="O149">
        <v>1347000</v>
      </c>
    </row>
    <row r="150" spans="1:15" x14ac:dyDescent="0.4">
      <c r="A150" t="s">
        <v>1596</v>
      </c>
      <c r="B150">
        <v>76</v>
      </c>
      <c r="C150" t="s">
        <v>6</v>
      </c>
      <c r="D150">
        <v>61</v>
      </c>
      <c r="E150" t="s">
        <v>703</v>
      </c>
      <c r="F150">
        <v>1602</v>
      </c>
      <c r="G150" t="s">
        <v>1013</v>
      </c>
      <c r="I150">
        <v>20008235</v>
      </c>
      <c r="J150" t="s">
        <v>1631</v>
      </c>
      <c r="K150">
        <v>800159</v>
      </c>
      <c r="L150">
        <v>1</v>
      </c>
      <c r="M150" t="s">
        <v>268</v>
      </c>
      <c r="N150" t="s">
        <v>214</v>
      </c>
      <c r="O150">
        <v>1320000</v>
      </c>
    </row>
    <row r="151" spans="1:15" x14ac:dyDescent="0.4">
      <c r="A151" t="s">
        <v>1594</v>
      </c>
      <c r="B151">
        <v>76</v>
      </c>
      <c r="C151" t="s">
        <v>6</v>
      </c>
      <c r="D151">
        <v>61</v>
      </c>
      <c r="E151" t="s">
        <v>703</v>
      </c>
      <c r="F151">
        <v>1563</v>
      </c>
      <c r="G151" t="s">
        <v>942</v>
      </c>
      <c r="I151">
        <v>20004899</v>
      </c>
      <c r="J151" t="s">
        <v>1632</v>
      </c>
      <c r="K151">
        <v>800157</v>
      </c>
      <c r="L151">
        <v>1</v>
      </c>
      <c r="M151" t="s">
        <v>1596</v>
      </c>
      <c r="N151" t="s">
        <v>252</v>
      </c>
      <c r="O151">
        <v>784000</v>
      </c>
    </row>
    <row r="152" spans="1:15" x14ac:dyDescent="0.4">
      <c r="A152" t="s">
        <v>290</v>
      </c>
      <c r="B152">
        <v>60</v>
      </c>
      <c r="C152" t="s">
        <v>3</v>
      </c>
      <c r="D152">
        <v>31</v>
      </c>
      <c r="E152" t="s">
        <v>447</v>
      </c>
      <c r="F152">
        <v>1116</v>
      </c>
      <c r="G152" t="s">
        <v>1075</v>
      </c>
      <c r="I152">
        <v>10004178</v>
      </c>
      <c r="J152" t="s">
        <v>1633</v>
      </c>
      <c r="K152">
        <v>800159</v>
      </c>
      <c r="L152">
        <v>1</v>
      </c>
      <c r="M152" t="s">
        <v>250</v>
      </c>
      <c r="N152" t="s">
        <v>255</v>
      </c>
      <c r="O152">
        <v>1320000</v>
      </c>
    </row>
    <row r="153" spans="1:15" x14ac:dyDescent="0.4">
      <c r="A153" t="s">
        <v>186</v>
      </c>
      <c r="B153">
        <v>70</v>
      </c>
      <c r="C153" t="s">
        <v>2</v>
      </c>
      <c r="D153">
        <v>41</v>
      </c>
      <c r="E153" t="s">
        <v>306</v>
      </c>
      <c r="F153">
        <v>1610</v>
      </c>
      <c r="G153" t="s">
        <v>1352</v>
      </c>
      <c r="I153">
        <v>10004180</v>
      </c>
      <c r="J153" t="s">
        <v>1634</v>
      </c>
      <c r="K153">
        <v>800159</v>
      </c>
      <c r="L153">
        <v>1</v>
      </c>
      <c r="M153" t="s">
        <v>238</v>
      </c>
      <c r="N153" t="s">
        <v>239</v>
      </c>
      <c r="O153">
        <v>1254000</v>
      </c>
    </row>
    <row r="154" spans="1:15" x14ac:dyDescent="0.4">
      <c r="A154" t="s">
        <v>290</v>
      </c>
      <c r="B154">
        <v>75</v>
      </c>
      <c r="C154" t="s">
        <v>5</v>
      </c>
      <c r="D154">
        <v>51</v>
      </c>
      <c r="E154" t="s">
        <v>657</v>
      </c>
      <c r="F154">
        <v>1415</v>
      </c>
      <c r="G154" t="s">
        <v>1038</v>
      </c>
      <c r="I154">
        <v>10011807</v>
      </c>
      <c r="J154" t="s">
        <v>1501</v>
      </c>
      <c r="K154">
        <v>800159</v>
      </c>
      <c r="L154">
        <v>1</v>
      </c>
      <c r="M154" t="s">
        <v>250</v>
      </c>
      <c r="N154" t="s">
        <v>255</v>
      </c>
      <c r="O154">
        <v>1347000</v>
      </c>
    </row>
    <row r="155" spans="1:15" x14ac:dyDescent="0.4">
      <c r="A155" t="s">
        <v>250</v>
      </c>
      <c r="B155">
        <v>60</v>
      </c>
      <c r="C155" t="s">
        <v>3</v>
      </c>
      <c r="D155">
        <v>33</v>
      </c>
      <c r="E155" t="s">
        <v>451</v>
      </c>
      <c r="F155">
        <v>1273</v>
      </c>
      <c r="G155" t="s">
        <v>1084</v>
      </c>
      <c r="I155">
        <v>20009919</v>
      </c>
      <c r="J155" t="s">
        <v>1635</v>
      </c>
      <c r="K155">
        <v>800157</v>
      </c>
      <c r="L155">
        <v>1</v>
      </c>
      <c r="M155" t="s">
        <v>196</v>
      </c>
      <c r="N155" t="s">
        <v>213</v>
      </c>
      <c r="O155">
        <v>832000</v>
      </c>
    </row>
    <row r="156" spans="1:15" x14ac:dyDescent="0.4">
      <c r="A156" t="s">
        <v>290</v>
      </c>
      <c r="B156">
        <v>76</v>
      </c>
      <c r="C156" t="s">
        <v>6</v>
      </c>
      <c r="D156">
        <v>61</v>
      </c>
      <c r="E156" t="s">
        <v>703</v>
      </c>
      <c r="F156">
        <v>1563</v>
      </c>
      <c r="G156" t="s">
        <v>942</v>
      </c>
      <c r="I156">
        <v>20009927</v>
      </c>
      <c r="J156" t="s">
        <v>1636</v>
      </c>
      <c r="K156">
        <v>800159</v>
      </c>
      <c r="L156">
        <v>1</v>
      </c>
      <c r="M156" t="s">
        <v>250</v>
      </c>
      <c r="N156" t="s">
        <v>255</v>
      </c>
      <c r="O156">
        <v>1670000</v>
      </c>
    </row>
    <row r="157" spans="1:15" x14ac:dyDescent="0.4">
      <c r="A157" t="s">
        <v>196</v>
      </c>
      <c r="B157">
        <v>50</v>
      </c>
      <c r="C157" t="s">
        <v>1</v>
      </c>
      <c r="D157">
        <v>21</v>
      </c>
      <c r="E157" t="s">
        <v>182</v>
      </c>
      <c r="F157">
        <v>1345</v>
      </c>
      <c r="G157" t="s">
        <v>874</v>
      </c>
      <c r="I157">
        <v>20010054</v>
      </c>
      <c r="J157" t="s">
        <v>1637</v>
      </c>
      <c r="K157">
        <v>800157</v>
      </c>
      <c r="L157">
        <v>1</v>
      </c>
      <c r="M157" t="s">
        <v>186</v>
      </c>
      <c r="N157" t="s">
        <v>199</v>
      </c>
      <c r="O157">
        <v>947200</v>
      </c>
    </row>
    <row r="158" spans="1:15" x14ac:dyDescent="0.4">
      <c r="A158" t="s">
        <v>203</v>
      </c>
      <c r="B158">
        <v>70</v>
      </c>
      <c r="C158" t="s">
        <v>2</v>
      </c>
      <c r="D158">
        <v>41</v>
      </c>
      <c r="E158" t="s">
        <v>306</v>
      </c>
      <c r="F158">
        <v>1613</v>
      </c>
      <c r="G158" t="s">
        <v>1413</v>
      </c>
      <c r="I158">
        <v>20009980</v>
      </c>
      <c r="J158" t="s">
        <v>1638</v>
      </c>
      <c r="K158">
        <v>800159</v>
      </c>
      <c r="L158">
        <v>1</v>
      </c>
      <c r="M158" t="s">
        <v>290</v>
      </c>
      <c r="N158" t="s">
        <v>295</v>
      </c>
      <c r="O158">
        <v>1503600</v>
      </c>
    </row>
    <row r="159" spans="1:15" x14ac:dyDescent="0.4">
      <c r="A159" t="s">
        <v>196</v>
      </c>
      <c r="B159">
        <v>70</v>
      </c>
      <c r="C159" t="s">
        <v>2</v>
      </c>
      <c r="D159">
        <v>41</v>
      </c>
      <c r="E159" t="s">
        <v>306</v>
      </c>
      <c r="F159">
        <v>1552</v>
      </c>
      <c r="G159" t="s">
        <v>929</v>
      </c>
      <c r="I159">
        <v>20010055</v>
      </c>
      <c r="J159" t="s">
        <v>1639</v>
      </c>
      <c r="K159">
        <v>800157</v>
      </c>
      <c r="L159">
        <v>1</v>
      </c>
      <c r="M159" t="s">
        <v>186</v>
      </c>
      <c r="N159" t="s">
        <v>199</v>
      </c>
      <c r="O159">
        <v>803200</v>
      </c>
    </row>
    <row r="160" spans="1:15" x14ac:dyDescent="0.4">
      <c r="A160" t="s">
        <v>230</v>
      </c>
      <c r="B160">
        <v>80</v>
      </c>
      <c r="C160" t="s">
        <v>4</v>
      </c>
      <c r="D160">
        <v>81</v>
      </c>
      <c r="E160" t="s">
        <v>550</v>
      </c>
      <c r="F160">
        <v>1436</v>
      </c>
      <c r="G160" t="s">
        <v>918</v>
      </c>
      <c r="I160">
        <v>20010059</v>
      </c>
      <c r="J160" t="s">
        <v>1640</v>
      </c>
      <c r="K160">
        <v>800159</v>
      </c>
      <c r="L160">
        <v>1</v>
      </c>
      <c r="M160" t="s">
        <v>242</v>
      </c>
      <c r="N160" t="s">
        <v>247</v>
      </c>
      <c r="O160">
        <v>1384800</v>
      </c>
    </row>
    <row r="161" spans="1:15" x14ac:dyDescent="0.4">
      <c r="A161" t="s">
        <v>250</v>
      </c>
      <c r="B161">
        <v>80</v>
      </c>
      <c r="C161" t="s">
        <v>4</v>
      </c>
      <c r="D161">
        <v>81</v>
      </c>
      <c r="E161" t="s">
        <v>550</v>
      </c>
      <c r="F161">
        <v>1322</v>
      </c>
      <c r="G161" t="s">
        <v>961</v>
      </c>
      <c r="I161">
        <v>20010031</v>
      </c>
      <c r="J161" t="s">
        <v>1641</v>
      </c>
      <c r="K161">
        <v>800159</v>
      </c>
      <c r="L161">
        <v>1</v>
      </c>
      <c r="M161" t="s">
        <v>196</v>
      </c>
      <c r="N161" t="s">
        <v>215</v>
      </c>
      <c r="O161">
        <v>1401000</v>
      </c>
    </row>
    <row r="162" spans="1:15" x14ac:dyDescent="0.4">
      <c r="A162" t="s">
        <v>186</v>
      </c>
      <c r="B162">
        <v>80</v>
      </c>
      <c r="C162" t="s">
        <v>4</v>
      </c>
      <c r="D162">
        <v>81</v>
      </c>
      <c r="E162" t="s">
        <v>550</v>
      </c>
      <c r="F162">
        <v>1322</v>
      </c>
      <c r="G162" t="s">
        <v>961</v>
      </c>
      <c r="I162">
        <v>20010060</v>
      </c>
      <c r="J162" t="s">
        <v>1642</v>
      </c>
      <c r="K162">
        <v>800159</v>
      </c>
      <c r="L162">
        <v>1</v>
      </c>
      <c r="M162" t="s">
        <v>238</v>
      </c>
      <c r="N162" t="s">
        <v>239</v>
      </c>
      <c r="O162">
        <v>1406400</v>
      </c>
    </row>
    <row r="163" spans="1:15" x14ac:dyDescent="0.4">
      <c r="A163" t="s">
        <v>196</v>
      </c>
      <c r="B163">
        <v>60</v>
      </c>
      <c r="C163" t="s">
        <v>3</v>
      </c>
      <c r="D163">
        <v>33</v>
      </c>
      <c r="E163" t="s">
        <v>451</v>
      </c>
      <c r="F163">
        <v>1505</v>
      </c>
      <c r="G163" t="s">
        <v>900</v>
      </c>
      <c r="I163">
        <v>10009173</v>
      </c>
      <c r="J163" t="s">
        <v>1643</v>
      </c>
      <c r="K163">
        <v>800159</v>
      </c>
      <c r="L163">
        <v>1</v>
      </c>
      <c r="M163" t="s">
        <v>186</v>
      </c>
      <c r="N163" t="s">
        <v>302</v>
      </c>
      <c r="O163">
        <v>1320000</v>
      </c>
    </row>
    <row r="164" spans="1:15" x14ac:dyDescent="0.4">
      <c r="A164" t="s">
        <v>196</v>
      </c>
      <c r="B164">
        <v>60</v>
      </c>
      <c r="C164" t="s">
        <v>3</v>
      </c>
      <c r="D164">
        <v>33</v>
      </c>
      <c r="E164" t="s">
        <v>451</v>
      </c>
      <c r="F164">
        <v>1372</v>
      </c>
      <c r="G164" t="s">
        <v>992</v>
      </c>
      <c r="I164">
        <v>20009931</v>
      </c>
      <c r="J164" t="s">
        <v>1644</v>
      </c>
      <c r="K164">
        <v>800159</v>
      </c>
      <c r="L164">
        <v>1</v>
      </c>
      <c r="M164" t="s">
        <v>186</v>
      </c>
      <c r="N164" t="s">
        <v>302</v>
      </c>
      <c r="O164">
        <v>1417200</v>
      </c>
    </row>
    <row r="165" spans="1:15" x14ac:dyDescent="0.4">
      <c r="A165" t="s">
        <v>290</v>
      </c>
      <c r="B165">
        <v>80</v>
      </c>
      <c r="C165" t="s">
        <v>4</v>
      </c>
      <c r="D165">
        <v>81</v>
      </c>
      <c r="E165" t="s">
        <v>550</v>
      </c>
      <c r="F165">
        <v>1378</v>
      </c>
      <c r="G165" t="s">
        <v>881</v>
      </c>
      <c r="I165">
        <v>20010073</v>
      </c>
      <c r="J165" t="s">
        <v>1645</v>
      </c>
      <c r="K165">
        <v>800159</v>
      </c>
      <c r="L165">
        <v>1</v>
      </c>
      <c r="M165" t="s">
        <v>250</v>
      </c>
      <c r="N165" t="s">
        <v>255</v>
      </c>
      <c r="O165">
        <v>1438800</v>
      </c>
    </row>
    <row r="166" spans="1:15" x14ac:dyDescent="0.4">
      <c r="A166" t="s">
        <v>196</v>
      </c>
      <c r="B166">
        <v>70</v>
      </c>
      <c r="C166" t="s">
        <v>2</v>
      </c>
      <c r="D166">
        <v>41</v>
      </c>
      <c r="E166" t="s">
        <v>306</v>
      </c>
      <c r="F166">
        <v>1613</v>
      </c>
      <c r="G166" t="s">
        <v>1413</v>
      </c>
      <c r="I166">
        <v>20010066</v>
      </c>
      <c r="J166" t="s">
        <v>1646</v>
      </c>
      <c r="K166">
        <v>800157</v>
      </c>
      <c r="L166">
        <v>1</v>
      </c>
      <c r="M166" t="s">
        <v>186</v>
      </c>
      <c r="N166" t="s">
        <v>199</v>
      </c>
      <c r="O166">
        <v>889600</v>
      </c>
    </row>
    <row r="167" spans="1:15" x14ac:dyDescent="0.4">
      <c r="A167" t="s">
        <v>196</v>
      </c>
      <c r="B167">
        <v>75</v>
      </c>
      <c r="C167" t="s">
        <v>5</v>
      </c>
      <c r="D167">
        <v>51</v>
      </c>
      <c r="E167" t="s">
        <v>657</v>
      </c>
      <c r="F167">
        <v>1415</v>
      </c>
      <c r="G167" t="s">
        <v>1038</v>
      </c>
      <c r="I167">
        <v>20010048</v>
      </c>
      <c r="J167" t="s">
        <v>582</v>
      </c>
      <c r="K167">
        <v>800159</v>
      </c>
      <c r="L167">
        <v>1</v>
      </c>
      <c r="M167" t="s">
        <v>186</v>
      </c>
      <c r="N167" t="s">
        <v>302</v>
      </c>
      <c r="O167">
        <v>1498200</v>
      </c>
    </row>
    <row r="168" spans="1:15" x14ac:dyDescent="0.4">
      <c r="A168" t="s">
        <v>250</v>
      </c>
      <c r="B168">
        <v>76</v>
      </c>
      <c r="C168" t="s">
        <v>6</v>
      </c>
      <c r="D168">
        <v>61</v>
      </c>
      <c r="E168" t="s">
        <v>703</v>
      </c>
      <c r="F168">
        <v>1468</v>
      </c>
      <c r="G168" t="s">
        <v>914</v>
      </c>
      <c r="I168">
        <v>10020944</v>
      </c>
      <c r="J168" t="s">
        <v>1647</v>
      </c>
      <c r="K168">
        <v>800159</v>
      </c>
      <c r="L168">
        <v>1</v>
      </c>
      <c r="M168" t="s">
        <v>196</v>
      </c>
      <c r="N168" t="s">
        <v>215</v>
      </c>
      <c r="O168">
        <v>1384800</v>
      </c>
    </row>
    <row r="169" spans="1:15" x14ac:dyDescent="0.4">
      <c r="A169" t="s">
        <v>290</v>
      </c>
      <c r="B169">
        <v>80</v>
      </c>
      <c r="C169" t="s">
        <v>4</v>
      </c>
      <c r="D169">
        <v>81</v>
      </c>
      <c r="E169" t="s">
        <v>550</v>
      </c>
      <c r="F169">
        <v>1322</v>
      </c>
      <c r="G169" t="s">
        <v>961</v>
      </c>
      <c r="I169">
        <v>20010092</v>
      </c>
      <c r="J169" t="s">
        <v>1648</v>
      </c>
      <c r="K169">
        <v>800159</v>
      </c>
      <c r="L169">
        <v>1</v>
      </c>
      <c r="M169" t="s">
        <v>250</v>
      </c>
      <c r="N169" t="s">
        <v>255</v>
      </c>
      <c r="O169">
        <v>1341600</v>
      </c>
    </row>
    <row r="170" spans="1:15" x14ac:dyDescent="0.4">
      <c r="A170" t="s">
        <v>250</v>
      </c>
      <c r="B170">
        <v>76</v>
      </c>
      <c r="C170" t="s">
        <v>6</v>
      </c>
      <c r="D170">
        <v>61</v>
      </c>
      <c r="E170" t="s">
        <v>703</v>
      </c>
      <c r="F170">
        <v>1563</v>
      </c>
      <c r="G170" t="s">
        <v>942</v>
      </c>
      <c r="I170">
        <v>20010047</v>
      </c>
      <c r="J170" t="s">
        <v>1649</v>
      </c>
      <c r="K170">
        <v>800159</v>
      </c>
      <c r="L170">
        <v>1</v>
      </c>
      <c r="M170" t="s">
        <v>196</v>
      </c>
      <c r="N170" t="s">
        <v>215</v>
      </c>
      <c r="O170">
        <v>1401000</v>
      </c>
    </row>
    <row r="171" spans="1:15" x14ac:dyDescent="0.4">
      <c r="A171" t="s">
        <v>311</v>
      </c>
      <c r="B171">
        <v>80</v>
      </c>
      <c r="C171" t="s">
        <v>4</v>
      </c>
      <c r="D171">
        <v>71</v>
      </c>
      <c r="E171" t="s">
        <v>556</v>
      </c>
      <c r="F171">
        <v>1296</v>
      </c>
      <c r="G171" t="s">
        <v>964</v>
      </c>
      <c r="I171">
        <v>20010251</v>
      </c>
      <c r="J171" t="s">
        <v>1650</v>
      </c>
      <c r="K171">
        <v>800159</v>
      </c>
      <c r="L171">
        <v>1</v>
      </c>
      <c r="M171" t="s">
        <v>258</v>
      </c>
      <c r="N171" t="s">
        <v>263</v>
      </c>
      <c r="O171">
        <v>1428000</v>
      </c>
    </row>
    <row r="172" spans="1:15" x14ac:dyDescent="0.4">
      <c r="A172" t="s">
        <v>258</v>
      </c>
      <c r="B172">
        <v>60</v>
      </c>
      <c r="C172" t="s">
        <v>3</v>
      </c>
      <c r="D172">
        <v>33</v>
      </c>
      <c r="E172" t="s">
        <v>451</v>
      </c>
      <c r="F172">
        <v>1273</v>
      </c>
      <c r="G172" t="s">
        <v>1084</v>
      </c>
      <c r="I172">
        <v>20010114</v>
      </c>
      <c r="J172" t="s">
        <v>1651</v>
      </c>
      <c r="K172">
        <v>800159</v>
      </c>
      <c r="L172">
        <v>1</v>
      </c>
      <c r="M172" t="s">
        <v>221</v>
      </c>
      <c r="N172" t="s">
        <v>331</v>
      </c>
      <c r="O172">
        <v>1476600</v>
      </c>
    </row>
    <row r="173" spans="1:15" x14ac:dyDescent="0.4">
      <c r="A173" t="s">
        <v>281</v>
      </c>
      <c r="B173">
        <v>70</v>
      </c>
      <c r="C173" t="s">
        <v>2</v>
      </c>
      <c r="D173">
        <v>41</v>
      </c>
      <c r="E173" t="s">
        <v>306</v>
      </c>
      <c r="F173">
        <v>1383</v>
      </c>
      <c r="G173" t="s">
        <v>957</v>
      </c>
      <c r="I173">
        <v>20005559</v>
      </c>
      <c r="J173" t="s">
        <v>1652</v>
      </c>
      <c r="K173">
        <v>800159</v>
      </c>
      <c r="L173">
        <v>1</v>
      </c>
      <c r="M173" t="s">
        <v>363</v>
      </c>
      <c r="N173" t="s">
        <v>315</v>
      </c>
      <c r="O173">
        <v>1971600</v>
      </c>
    </row>
    <row r="174" spans="1:15" x14ac:dyDescent="0.4">
      <c r="A174" t="s">
        <v>242</v>
      </c>
      <c r="B174">
        <v>60</v>
      </c>
      <c r="C174" t="s">
        <v>3</v>
      </c>
      <c r="D174">
        <v>33</v>
      </c>
      <c r="E174" t="s">
        <v>451</v>
      </c>
      <c r="F174">
        <v>1220</v>
      </c>
      <c r="G174" t="s">
        <v>1343</v>
      </c>
      <c r="I174">
        <v>20010062</v>
      </c>
      <c r="J174" t="s">
        <v>1653</v>
      </c>
      <c r="K174">
        <v>800159</v>
      </c>
      <c r="L174">
        <v>1</v>
      </c>
      <c r="M174" t="s">
        <v>311</v>
      </c>
      <c r="N174" t="s">
        <v>316</v>
      </c>
      <c r="O174">
        <v>1584600</v>
      </c>
    </row>
    <row r="175" spans="1:15" x14ac:dyDescent="0.4">
      <c r="A175" t="s">
        <v>311</v>
      </c>
      <c r="B175">
        <v>80</v>
      </c>
      <c r="C175" t="s">
        <v>4</v>
      </c>
      <c r="D175">
        <v>81</v>
      </c>
      <c r="E175" t="s">
        <v>550</v>
      </c>
      <c r="F175">
        <v>1154</v>
      </c>
      <c r="G175" t="s">
        <v>1044</v>
      </c>
      <c r="I175">
        <v>20010261</v>
      </c>
      <c r="J175" t="s">
        <v>1654</v>
      </c>
      <c r="K175">
        <v>800159</v>
      </c>
      <c r="L175">
        <v>1</v>
      </c>
      <c r="M175" t="s">
        <v>258</v>
      </c>
      <c r="N175" t="s">
        <v>263</v>
      </c>
      <c r="O175">
        <v>1320000</v>
      </c>
    </row>
    <row r="176" spans="1:15" x14ac:dyDescent="0.4">
      <c r="A176" t="s">
        <v>258</v>
      </c>
      <c r="B176">
        <v>76</v>
      </c>
      <c r="C176" t="s">
        <v>6</v>
      </c>
      <c r="D176">
        <v>61</v>
      </c>
      <c r="E176" t="s">
        <v>703</v>
      </c>
      <c r="F176">
        <v>1475</v>
      </c>
      <c r="G176" t="s">
        <v>909</v>
      </c>
      <c r="I176">
        <v>20010262</v>
      </c>
      <c r="J176" t="s">
        <v>1655</v>
      </c>
      <c r="K176">
        <v>800159</v>
      </c>
      <c r="L176">
        <v>1</v>
      </c>
      <c r="M176" t="s">
        <v>221</v>
      </c>
      <c r="N176" t="s">
        <v>331</v>
      </c>
      <c r="O176">
        <v>1482000</v>
      </c>
    </row>
    <row r="177" spans="1:15" x14ac:dyDescent="0.4">
      <c r="A177" t="s">
        <v>242</v>
      </c>
      <c r="B177">
        <v>60</v>
      </c>
      <c r="C177" t="s">
        <v>3</v>
      </c>
      <c r="D177">
        <v>33</v>
      </c>
      <c r="E177" t="s">
        <v>451</v>
      </c>
      <c r="F177">
        <v>1372</v>
      </c>
      <c r="G177" t="s">
        <v>992</v>
      </c>
      <c r="I177">
        <v>20010264</v>
      </c>
      <c r="J177" t="s">
        <v>582</v>
      </c>
      <c r="K177">
        <v>800157</v>
      </c>
      <c r="L177">
        <v>1</v>
      </c>
      <c r="M177" t="s">
        <v>311</v>
      </c>
      <c r="N177" t="s">
        <v>314</v>
      </c>
      <c r="O177">
        <v>864000</v>
      </c>
    </row>
    <row r="178" spans="1:15" x14ac:dyDescent="0.4">
      <c r="A178" t="s">
        <v>311</v>
      </c>
      <c r="B178">
        <v>60</v>
      </c>
      <c r="C178" t="s">
        <v>3</v>
      </c>
      <c r="D178">
        <v>31</v>
      </c>
      <c r="E178" t="s">
        <v>447</v>
      </c>
      <c r="F178">
        <v>1367</v>
      </c>
      <c r="G178" t="s">
        <v>977</v>
      </c>
      <c r="I178">
        <v>20010265</v>
      </c>
      <c r="J178" t="s">
        <v>1656</v>
      </c>
      <c r="K178">
        <v>800159</v>
      </c>
      <c r="L178">
        <v>1</v>
      </c>
      <c r="M178" t="s">
        <v>258</v>
      </c>
      <c r="N178" t="s">
        <v>263</v>
      </c>
      <c r="O178">
        <v>1406400</v>
      </c>
    </row>
    <row r="179" spans="1:15" x14ac:dyDescent="0.4">
      <c r="A179" t="s">
        <v>242</v>
      </c>
      <c r="B179">
        <v>70</v>
      </c>
      <c r="C179" t="s">
        <v>2</v>
      </c>
      <c r="D179">
        <v>41</v>
      </c>
      <c r="E179" t="s">
        <v>306</v>
      </c>
      <c r="F179">
        <v>1552</v>
      </c>
      <c r="G179" t="s">
        <v>929</v>
      </c>
      <c r="I179">
        <v>20010271</v>
      </c>
      <c r="J179" t="s">
        <v>1657</v>
      </c>
      <c r="K179">
        <v>800157</v>
      </c>
      <c r="L179">
        <v>1</v>
      </c>
      <c r="M179" t="s">
        <v>311</v>
      </c>
      <c r="N179" t="s">
        <v>314</v>
      </c>
      <c r="O179">
        <v>796800</v>
      </c>
    </row>
    <row r="180" spans="1:15" x14ac:dyDescent="0.4">
      <c r="A180" t="s">
        <v>258</v>
      </c>
      <c r="B180">
        <v>80</v>
      </c>
      <c r="C180" t="s">
        <v>4</v>
      </c>
      <c r="D180">
        <v>71</v>
      </c>
      <c r="E180" t="s">
        <v>556</v>
      </c>
      <c r="F180">
        <v>1296</v>
      </c>
      <c r="G180" t="s">
        <v>964</v>
      </c>
      <c r="I180">
        <v>20010273</v>
      </c>
      <c r="J180" t="s">
        <v>1658</v>
      </c>
      <c r="K180">
        <v>800159</v>
      </c>
      <c r="L180">
        <v>1</v>
      </c>
      <c r="M180" t="s">
        <v>221</v>
      </c>
      <c r="N180" t="s">
        <v>331</v>
      </c>
      <c r="O180">
        <v>1347000</v>
      </c>
    </row>
    <row r="181" spans="1:15" x14ac:dyDescent="0.4">
      <c r="A181" t="s">
        <v>311</v>
      </c>
      <c r="B181">
        <v>60</v>
      </c>
      <c r="C181" t="s">
        <v>3</v>
      </c>
      <c r="D181">
        <v>31</v>
      </c>
      <c r="E181" t="s">
        <v>447</v>
      </c>
      <c r="F181">
        <v>1616</v>
      </c>
      <c r="G181" t="s">
        <v>1659</v>
      </c>
      <c r="I181">
        <v>20010280</v>
      </c>
      <c r="J181" t="s">
        <v>1660</v>
      </c>
      <c r="K181">
        <v>800159</v>
      </c>
      <c r="L181">
        <v>1</v>
      </c>
      <c r="M181" t="s">
        <v>258</v>
      </c>
      <c r="N181" t="s">
        <v>263</v>
      </c>
      <c r="O181">
        <v>1368600</v>
      </c>
    </row>
    <row r="182" spans="1:15" x14ac:dyDescent="0.4">
      <c r="A182" t="s">
        <v>258</v>
      </c>
      <c r="B182">
        <v>60</v>
      </c>
      <c r="C182" t="s">
        <v>3</v>
      </c>
      <c r="D182">
        <v>31</v>
      </c>
      <c r="E182" t="s">
        <v>447</v>
      </c>
      <c r="F182">
        <v>1299</v>
      </c>
      <c r="G182" t="s">
        <v>947</v>
      </c>
      <c r="I182">
        <v>10052261</v>
      </c>
      <c r="J182" t="s">
        <v>1661</v>
      </c>
      <c r="K182">
        <v>800159</v>
      </c>
      <c r="L182">
        <v>1</v>
      </c>
      <c r="M182" t="s">
        <v>221</v>
      </c>
      <c r="N182" t="s">
        <v>331</v>
      </c>
      <c r="O182">
        <v>1320000</v>
      </c>
    </row>
    <row r="183" spans="1:15" x14ac:dyDescent="0.4">
      <c r="A183" t="s">
        <v>258</v>
      </c>
      <c r="B183">
        <v>60</v>
      </c>
      <c r="C183" t="s">
        <v>3</v>
      </c>
      <c r="D183">
        <v>33</v>
      </c>
      <c r="E183" t="s">
        <v>451</v>
      </c>
      <c r="F183">
        <v>1505</v>
      </c>
      <c r="G183" t="s">
        <v>900</v>
      </c>
      <c r="I183">
        <v>10016107</v>
      </c>
      <c r="J183" t="s">
        <v>1662</v>
      </c>
      <c r="K183">
        <v>800159</v>
      </c>
      <c r="L183">
        <v>1</v>
      </c>
      <c r="M183" t="s">
        <v>221</v>
      </c>
      <c r="N183" t="s">
        <v>331</v>
      </c>
      <c r="O183">
        <v>1212000</v>
      </c>
    </row>
    <row r="184" spans="1:15" x14ac:dyDescent="0.4">
      <c r="A184" t="s">
        <v>242</v>
      </c>
      <c r="B184">
        <v>76</v>
      </c>
      <c r="C184" t="s">
        <v>6</v>
      </c>
      <c r="D184">
        <v>61</v>
      </c>
      <c r="E184" t="s">
        <v>703</v>
      </c>
      <c r="F184">
        <v>1475</v>
      </c>
      <c r="G184" t="s">
        <v>909</v>
      </c>
      <c r="I184">
        <v>20010289</v>
      </c>
      <c r="J184" t="s">
        <v>1663</v>
      </c>
      <c r="K184">
        <v>800157</v>
      </c>
      <c r="L184">
        <v>1</v>
      </c>
      <c r="M184" t="s">
        <v>311</v>
      </c>
      <c r="N184" t="s">
        <v>314</v>
      </c>
      <c r="O184">
        <v>784000</v>
      </c>
    </row>
    <row r="185" spans="1:15" x14ac:dyDescent="0.4">
      <c r="A185" t="s">
        <v>258</v>
      </c>
      <c r="B185">
        <v>80</v>
      </c>
      <c r="C185" t="s">
        <v>4</v>
      </c>
      <c r="D185">
        <v>81</v>
      </c>
      <c r="E185" t="s">
        <v>550</v>
      </c>
      <c r="F185">
        <v>1322</v>
      </c>
      <c r="G185" t="s">
        <v>961</v>
      </c>
      <c r="I185">
        <v>10045693</v>
      </c>
      <c r="J185" t="s">
        <v>1664</v>
      </c>
      <c r="K185">
        <v>800159</v>
      </c>
      <c r="L185">
        <v>1</v>
      </c>
      <c r="M185" t="s">
        <v>221</v>
      </c>
      <c r="N185" t="s">
        <v>331</v>
      </c>
      <c r="O185">
        <v>1224000</v>
      </c>
    </row>
    <row r="186" spans="1:15" x14ac:dyDescent="0.4">
      <c r="A186" t="s">
        <v>258</v>
      </c>
      <c r="B186">
        <v>70</v>
      </c>
      <c r="C186" t="s">
        <v>2</v>
      </c>
      <c r="D186">
        <v>41</v>
      </c>
      <c r="E186" t="s">
        <v>306</v>
      </c>
      <c r="F186">
        <v>1552</v>
      </c>
      <c r="G186" t="s">
        <v>929</v>
      </c>
      <c r="I186">
        <v>20010309</v>
      </c>
      <c r="J186" t="s">
        <v>1665</v>
      </c>
      <c r="K186">
        <v>800159</v>
      </c>
      <c r="L186">
        <v>1</v>
      </c>
      <c r="M186" t="s">
        <v>221</v>
      </c>
      <c r="N186" t="s">
        <v>331</v>
      </c>
      <c r="O186">
        <v>1320000</v>
      </c>
    </row>
    <row r="187" spans="1:15" x14ac:dyDescent="0.4">
      <c r="A187" t="s">
        <v>311</v>
      </c>
      <c r="B187">
        <v>60</v>
      </c>
      <c r="C187" t="s">
        <v>3</v>
      </c>
      <c r="D187">
        <v>31</v>
      </c>
      <c r="E187" t="s">
        <v>447</v>
      </c>
      <c r="F187">
        <v>1116</v>
      </c>
      <c r="G187" t="s">
        <v>1075</v>
      </c>
      <c r="I187">
        <v>10024451</v>
      </c>
      <c r="J187" t="s">
        <v>1666</v>
      </c>
      <c r="K187">
        <v>800157</v>
      </c>
      <c r="L187">
        <v>1</v>
      </c>
      <c r="M187" t="s">
        <v>258</v>
      </c>
      <c r="N187" t="s">
        <v>261</v>
      </c>
      <c r="O187">
        <v>655200</v>
      </c>
    </row>
    <row r="188" spans="1:15" x14ac:dyDescent="0.4">
      <c r="A188" t="s">
        <v>221</v>
      </c>
      <c r="B188">
        <v>75</v>
      </c>
      <c r="C188" t="s">
        <v>5</v>
      </c>
      <c r="D188">
        <v>51</v>
      </c>
      <c r="E188" t="s">
        <v>657</v>
      </c>
      <c r="F188">
        <v>1365</v>
      </c>
      <c r="G188" t="s">
        <v>1148</v>
      </c>
      <c r="I188">
        <v>10046837</v>
      </c>
      <c r="J188" t="s">
        <v>1667</v>
      </c>
      <c r="K188">
        <v>800159</v>
      </c>
      <c r="L188">
        <v>1</v>
      </c>
      <c r="M188" t="s">
        <v>204</v>
      </c>
      <c r="O188">
        <v>1325400</v>
      </c>
    </row>
    <row r="189" spans="1:15" x14ac:dyDescent="0.4">
      <c r="A189" t="s">
        <v>258</v>
      </c>
      <c r="B189">
        <v>60</v>
      </c>
      <c r="C189" t="s">
        <v>3</v>
      </c>
      <c r="D189">
        <v>31</v>
      </c>
      <c r="E189" t="s">
        <v>447</v>
      </c>
      <c r="F189">
        <v>1367</v>
      </c>
      <c r="G189" t="s">
        <v>977</v>
      </c>
      <c r="I189">
        <v>10039033</v>
      </c>
      <c r="J189" t="s">
        <v>1668</v>
      </c>
      <c r="K189">
        <v>800159</v>
      </c>
      <c r="L189">
        <v>1</v>
      </c>
      <c r="M189" t="s">
        <v>221</v>
      </c>
      <c r="N189" t="s">
        <v>331</v>
      </c>
      <c r="O189">
        <v>1633200</v>
      </c>
    </row>
    <row r="190" spans="1:15" x14ac:dyDescent="0.4">
      <c r="A190" t="s">
        <v>203</v>
      </c>
      <c r="B190">
        <v>70</v>
      </c>
      <c r="C190" t="s">
        <v>2</v>
      </c>
      <c r="D190">
        <v>41</v>
      </c>
      <c r="E190" t="s">
        <v>306</v>
      </c>
      <c r="F190">
        <v>1552</v>
      </c>
      <c r="G190" t="s">
        <v>929</v>
      </c>
      <c r="I190">
        <v>20009377</v>
      </c>
      <c r="J190" t="s">
        <v>1669</v>
      </c>
      <c r="K190">
        <v>800157</v>
      </c>
      <c r="L190">
        <v>1</v>
      </c>
      <c r="M190" t="s">
        <v>290</v>
      </c>
      <c r="N190" t="s">
        <v>293</v>
      </c>
      <c r="O190">
        <v>784000</v>
      </c>
    </row>
    <row r="191" spans="1:15" x14ac:dyDescent="0.4">
      <c r="A191" t="s">
        <v>1587</v>
      </c>
      <c r="B191">
        <v>60</v>
      </c>
      <c r="C191" t="s">
        <v>3</v>
      </c>
      <c r="D191">
        <v>31</v>
      </c>
      <c r="E191" t="s">
        <v>447</v>
      </c>
      <c r="F191">
        <v>1299</v>
      </c>
      <c r="G191" t="s">
        <v>947</v>
      </c>
      <c r="I191">
        <v>20009464</v>
      </c>
      <c r="J191" t="s">
        <v>1670</v>
      </c>
      <c r="K191">
        <v>800159</v>
      </c>
      <c r="L191">
        <v>1</v>
      </c>
      <c r="M191" t="s">
        <v>1548</v>
      </c>
      <c r="N191" t="s">
        <v>329</v>
      </c>
      <c r="O191">
        <v>1395600</v>
      </c>
    </row>
    <row r="192" spans="1:15" x14ac:dyDescent="0.4">
      <c r="A192" t="s">
        <v>1523</v>
      </c>
      <c r="B192">
        <v>76</v>
      </c>
      <c r="C192" t="s">
        <v>6</v>
      </c>
      <c r="D192">
        <v>61</v>
      </c>
      <c r="E192" t="s">
        <v>703</v>
      </c>
      <c r="F192">
        <v>1468</v>
      </c>
      <c r="G192" t="s">
        <v>914</v>
      </c>
      <c r="I192">
        <v>20009465</v>
      </c>
      <c r="J192" t="s">
        <v>1671</v>
      </c>
      <c r="K192">
        <v>800157</v>
      </c>
      <c r="L192">
        <v>1</v>
      </c>
      <c r="M192" t="s">
        <v>1587</v>
      </c>
      <c r="N192" t="s">
        <v>259</v>
      </c>
      <c r="O192">
        <v>784000</v>
      </c>
    </row>
    <row r="193" spans="1:15" x14ac:dyDescent="0.4">
      <c r="A193" t="s">
        <v>1548</v>
      </c>
      <c r="B193">
        <v>75</v>
      </c>
      <c r="C193" t="s">
        <v>5</v>
      </c>
      <c r="D193">
        <v>51</v>
      </c>
      <c r="E193" t="s">
        <v>657</v>
      </c>
      <c r="F193">
        <v>1415</v>
      </c>
      <c r="G193" t="s">
        <v>1038</v>
      </c>
      <c r="I193">
        <v>20009469</v>
      </c>
      <c r="J193" t="s">
        <v>1672</v>
      </c>
      <c r="K193">
        <v>800157</v>
      </c>
      <c r="L193">
        <v>1</v>
      </c>
      <c r="M193" t="s">
        <v>1586</v>
      </c>
      <c r="N193" t="s">
        <v>222</v>
      </c>
      <c r="O193">
        <v>796800</v>
      </c>
    </row>
    <row r="194" spans="1:15" x14ac:dyDescent="0.4">
      <c r="A194" t="s">
        <v>1586</v>
      </c>
      <c r="B194">
        <v>70</v>
      </c>
      <c r="C194" t="s">
        <v>2</v>
      </c>
      <c r="D194">
        <v>41</v>
      </c>
      <c r="E194" t="s">
        <v>306</v>
      </c>
      <c r="F194">
        <v>1510</v>
      </c>
      <c r="G194" t="s">
        <v>870</v>
      </c>
      <c r="I194">
        <v>20009432</v>
      </c>
      <c r="J194" t="s">
        <v>1673</v>
      </c>
      <c r="K194">
        <v>800157</v>
      </c>
      <c r="L194">
        <v>1</v>
      </c>
      <c r="M194" t="s">
        <v>1589</v>
      </c>
      <c r="N194" t="s">
        <v>205</v>
      </c>
      <c r="O194">
        <v>851200</v>
      </c>
    </row>
    <row r="195" spans="1:15" x14ac:dyDescent="0.4">
      <c r="A195" t="s">
        <v>1587</v>
      </c>
      <c r="B195">
        <v>76</v>
      </c>
      <c r="C195" t="s">
        <v>6</v>
      </c>
      <c r="D195">
        <v>61</v>
      </c>
      <c r="E195" t="s">
        <v>703</v>
      </c>
      <c r="F195">
        <v>1472</v>
      </c>
      <c r="G195" t="s">
        <v>998</v>
      </c>
      <c r="I195">
        <v>20009473</v>
      </c>
      <c r="J195" t="s">
        <v>1674</v>
      </c>
      <c r="K195">
        <v>800159</v>
      </c>
      <c r="L195">
        <v>1</v>
      </c>
      <c r="M195" t="s">
        <v>1548</v>
      </c>
      <c r="N195" t="s">
        <v>329</v>
      </c>
      <c r="O195">
        <v>1395600</v>
      </c>
    </row>
    <row r="196" spans="1:15" x14ac:dyDescent="0.4">
      <c r="A196" t="s">
        <v>1587</v>
      </c>
      <c r="B196">
        <v>76</v>
      </c>
      <c r="C196" t="s">
        <v>6</v>
      </c>
      <c r="D196">
        <v>61</v>
      </c>
      <c r="E196" t="s">
        <v>703</v>
      </c>
      <c r="F196">
        <v>1602</v>
      </c>
      <c r="G196" t="s">
        <v>1013</v>
      </c>
      <c r="I196">
        <v>20009463</v>
      </c>
      <c r="J196" t="s">
        <v>1675</v>
      </c>
      <c r="K196">
        <v>800159</v>
      </c>
      <c r="L196">
        <v>1</v>
      </c>
      <c r="M196" t="s">
        <v>1548</v>
      </c>
      <c r="N196" t="s">
        <v>329</v>
      </c>
      <c r="O196">
        <v>1476600</v>
      </c>
    </row>
    <row r="197" spans="1:15" x14ac:dyDescent="0.4">
      <c r="A197" t="s">
        <v>363</v>
      </c>
      <c r="B197">
        <v>60</v>
      </c>
      <c r="C197" t="s">
        <v>3</v>
      </c>
      <c r="D197">
        <v>33</v>
      </c>
      <c r="E197" t="s">
        <v>451</v>
      </c>
      <c r="F197">
        <v>1372</v>
      </c>
      <c r="G197" t="s">
        <v>992</v>
      </c>
      <c r="I197">
        <v>20009894</v>
      </c>
      <c r="J197" t="s">
        <v>1676</v>
      </c>
      <c r="K197">
        <v>800159</v>
      </c>
      <c r="L197">
        <v>1</v>
      </c>
      <c r="M197" t="s">
        <v>376</v>
      </c>
      <c r="N197" t="s">
        <v>262</v>
      </c>
      <c r="O197">
        <v>1357800</v>
      </c>
    </row>
    <row r="198" spans="1:15" x14ac:dyDescent="0.4">
      <c r="A198" t="s">
        <v>1587</v>
      </c>
      <c r="B198">
        <v>60</v>
      </c>
      <c r="C198" t="s">
        <v>3</v>
      </c>
      <c r="D198">
        <v>31</v>
      </c>
      <c r="E198" t="s">
        <v>447</v>
      </c>
      <c r="F198">
        <v>1299</v>
      </c>
      <c r="G198" t="s">
        <v>947</v>
      </c>
      <c r="I198">
        <v>10014126</v>
      </c>
      <c r="J198" t="s">
        <v>1677</v>
      </c>
      <c r="K198">
        <v>800157</v>
      </c>
      <c r="L198">
        <v>1</v>
      </c>
      <c r="M198" t="s">
        <v>1548</v>
      </c>
      <c r="N198" t="s">
        <v>327</v>
      </c>
      <c r="O198">
        <v>442800</v>
      </c>
    </row>
    <row r="199" spans="1:15" x14ac:dyDescent="0.4">
      <c r="A199" t="s">
        <v>1548</v>
      </c>
      <c r="B199">
        <v>75</v>
      </c>
      <c r="C199" t="s">
        <v>5</v>
      </c>
      <c r="D199">
        <v>51</v>
      </c>
      <c r="E199" t="s">
        <v>657</v>
      </c>
      <c r="F199">
        <v>1415</v>
      </c>
      <c r="G199" t="s">
        <v>1038</v>
      </c>
      <c r="I199">
        <v>10063237</v>
      </c>
      <c r="J199" t="s">
        <v>1678</v>
      </c>
      <c r="K199">
        <v>800157</v>
      </c>
      <c r="L199">
        <v>1</v>
      </c>
      <c r="M199" t="s">
        <v>1586</v>
      </c>
      <c r="N199" t="s">
        <v>222</v>
      </c>
      <c r="O199">
        <v>790400</v>
      </c>
    </row>
    <row r="200" spans="1:15" x14ac:dyDescent="0.4">
      <c r="A200" t="s">
        <v>1596</v>
      </c>
      <c r="B200">
        <v>80</v>
      </c>
      <c r="C200" t="s">
        <v>4</v>
      </c>
      <c r="D200">
        <v>81</v>
      </c>
      <c r="E200" t="s">
        <v>550</v>
      </c>
      <c r="F200">
        <v>1436</v>
      </c>
      <c r="G200" t="s">
        <v>918</v>
      </c>
      <c r="I200">
        <v>20009708</v>
      </c>
      <c r="J200" t="s">
        <v>1679</v>
      </c>
      <c r="K200">
        <v>800159</v>
      </c>
      <c r="L200">
        <v>1</v>
      </c>
      <c r="M200" t="s">
        <v>268</v>
      </c>
      <c r="N200" t="s">
        <v>214</v>
      </c>
      <c r="O200">
        <v>1357800</v>
      </c>
    </row>
    <row r="201" spans="1:15" x14ac:dyDescent="0.4">
      <c r="A201" t="s">
        <v>1548</v>
      </c>
      <c r="B201">
        <v>50</v>
      </c>
      <c r="C201" t="s">
        <v>1</v>
      </c>
      <c r="D201">
        <v>21</v>
      </c>
      <c r="E201" t="s">
        <v>182</v>
      </c>
      <c r="F201">
        <v>1345</v>
      </c>
      <c r="G201" t="s">
        <v>874</v>
      </c>
      <c r="I201">
        <v>10074560</v>
      </c>
      <c r="J201" t="s">
        <v>1680</v>
      </c>
      <c r="K201">
        <v>800157</v>
      </c>
      <c r="L201">
        <v>1</v>
      </c>
      <c r="M201" t="s">
        <v>1586</v>
      </c>
      <c r="N201" t="s">
        <v>222</v>
      </c>
      <c r="O201">
        <v>822400</v>
      </c>
    </row>
    <row r="202" spans="1:15" x14ac:dyDescent="0.4">
      <c r="A202" t="s">
        <v>268</v>
      </c>
      <c r="B202">
        <v>60</v>
      </c>
      <c r="C202" t="s">
        <v>3</v>
      </c>
      <c r="D202">
        <v>31</v>
      </c>
      <c r="E202" t="s">
        <v>447</v>
      </c>
      <c r="F202">
        <v>1299</v>
      </c>
      <c r="G202" t="s">
        <v>947</v>
      </c>
      <c r="I202">
        <v>10049009</v>
      </c>
      <c r="J202" t="s">
        <v>1681</v>
      </c>
      <c r="K202">
        <v>800159</v>
      </c>
      <c r="L202">
        <v>1</v>
      </c>
      <c r="M202" t="s">
        <v>195</v>
      </c>
      <c r="N202" t="s">
        <v>200</v>
      </c>
      <c r="O202">
        <v>1362000</v>
      </c>
    </row>
    <row r="203" spans="1:15" x14ac:dyDescent="0.4">
      <c r="A203" t="s">
        <v>196</v>
      </c>
      <c r="B203">
        <v>75</v>
      </c>
      <c r="C203" t="s">
        <v>5</v>
      </c>
      <c r="D203">
        <v>51</v>
      </c>
      <c r="E203" t="s">
        <v>657</v>
      </c>
      <c r="F203">
        <v>1365</v>
      </c>
      <c r="G203" t="s">
        <v>1148</v>
      </c>
      <c r="I203">
        <v>20010076</v>
      </c>
      <c r="J203" t="s">
        <v>1682</v>
      </c>
      <c r="K203">
        <v>800159</v>
      </c>
      <c r="L203">
        <v>1</v>
      </c>
      <c r="M203" t="s">
        <v>186</v>
      </c>
      <c r="N203" t="s">
        <v>302</v>
      </c>
      <c r="O203">
        <v>1607600</v>
      </c>
    </row>
    <row r="204" spans="1:15" x14ac:dyDescent="0.4">
      <c r="A204" t="s">
        <v>250</v>
      </c>
      <c r="B204">
        <v>76</v>
      </c>
      <c r="C204" t="s">
        <v>6</v>
      </c>
      <c r="D204">
        <v>61</v>
      </c>
      <c r="E204" t="s">
        <v>703</v>
      </c>
      <c r="F204">
        <v>1475</v>
      </c>
      <c r="G204" t="s">
        <v>909</v>
      </c>
      <c r="I204">
        <v>20010086</v>
      </c>
      <c r="J204" t="s">
        <v>1683</v>
      </c>
      <c r="K204">
        <v>800159</v>
      </c>
      <c r="L204">
        <v>1</v>
      </c>
      <c r="M204" t="s">
        <v>196</v>
      </c>
      <c r="N204" t="s">
        <v>215</v>
      </c>
      <c r="O204">
        <v>1563000</v>
      </c>
    </row>
    <row r="205" spans="1:15" x14ac:dyDescent="0.4">
      <c r="A205" t="s">
        <v>311</v>
      </c>
      <c r="B205">
        <v>70</v>
      </c>
      <c r="C205" t="s">
        <v>2</v>
      </c>
      <c r="D205">
        <v>41</v>
      </c>
      <c r="E205" t="s">
        <v>306</v>
      </c>
      <c r="F205">
        <v>1510</v>
      </c>
      <c r="G205" t="s">
        <v>870</v>
      </c>
      <c r="I205">
        <v>10025484</v>
      </c>
      <c r="J205" t="s">
        <v>1684</v>
      </c>
      <c r="K205">
        <v>800157</v>
      </c>
      <c r="L205">
        <v>1</v>
      </c>
      <c r="M205" t="s">
        <v>258</v>
      </c>
      <c r="N205" t="s">
        <v>261</v>
      </c>
      <c r="O205">
        <v>822400</v>
      </c>
    </row>
    <row r="206" spans="1:15" x14ac:dyDescent="0.4">
      <c r="A206" t="s">
        <v>186</v>
      </c>
      <c r="B206">
        <v>70</v>
      </c>
      <c r="C206" t="s">
        <v>2</v>
      </c>
      <c r="D206">
        <v>41</v>
      </c>
      <c r="E206" t="s">
        <v>306</v>
      </c>
      <c r="F206">
        <v>1510</v>
      </c>
      <c r="G206" t="s">
        <v>870</v>
      </c>
      <c r="I206">
        <v>10025510</v>
      </c>
      <c r="J206" t="s">
        <v>1684</v>
      </c>
      <c r="K206">
        <v>800159</v>
      </c>
      <c r="L206">
        <v>1</v>
      </c>
      <c r="M206" t="s">
        <v>238</v>
      </c>
      <c r="N206" t="s">
        <v>239</v>
      </c>
      <c r="O206">
        <v>1330800</v>
      </c>
    </row>
    <row r="207" spans="1:15" x14ac:dyDescent="0.4">
      <c r="A207" t="s">
        <v>250</v>
      </c>
      <c r="B207">
        <v>50</v>
      </c>
      <c r="C207" t="s">
        <v>1</v>
      </c>
      <c r="D207">
        <v>11</v>
      </c>
      <c r="E207" t="s">
        <v>192</v>
      </c>
      <c r="F207">
        <v>1353</v>
      </c>
      <c r="G207" t="s">
        <v>1017</v>
      </c>
      <c r="I207">
        <v>20010065</v>
      </c>
      <c r="J207" t="s">
        <v>1685</v>
      </c>
      <c r="K207">
        <v>800159</v>
      </c>
      <c r="L207">
        <v>1</v>
      </c>
      <c r="M207" t="s">
        <v>196</v>
      </c>
      <c r="N207" t="s">
        <v>215</v>
      </c>
      <c r="O207">
        <v>1325400</v>
      </c>
    </row>
    <row r="208" spans="1:15" x14ac:dyDescent="0.4">
      <c r="A208" t="s">
        <v>290</v>
      </c>
      <c r="B208">
        <v>80</v>
      </c>
      <c r="C208" t="s">
        <v>4</v>
      </c>
      <c r="D208">
        <v>81</v>
      </c>
      <c r="E208" t="s">
        <v>550</v>
      </c>
      <c r="F208">
        <v>1378</v>
      </c>
      <c r="G208" t="s">
        <v>881</v>
      </c>
      <c r="I208">
        <v>20010111</v>
      </c>
      <c r="J208" t="s">
        <v>1686</v>
      </c>
      <c r="K208">
        <v>800159</v>
      </c>
      <c r="L208">
        <v>1</v>
      </c>
      <c r="M208" t="s">
        <v>250</v>
      </c>
      <c r="N208" t="s">
        <v>255</v>
      </c>
      <c r="O208">
        <v>1325400</v>
      </c>
    </row>
    <row r="209" spans="1:15" x14ac:dyDescent="0.4">
      <c r="A209" t="s">
        <v>238</v>
      </c>
      <c r="B209">
        <v>75</v>
      </c>
      <c r="C209" t="s">
        <v>5</v>
      </c>
      <c r="D209">
        <v>51</v>
      </c>
      <c r="E209" t="s">
        <v>657</v>
      </c>
      <c r="F209">
        <v>1365</v>
      </c>
      <c r="G209" t="s">
        <v>1148</v>
      </c>
      <c r="I209">
        <v>20010129</v>
      </c>
      <c r="J209" t="s">
        <v>1687</v>
      </c>
      <c r="K209">
        <v>800159</v>
      </c>
      <c r="L209">
        <v>1</v>
      </c>
      <c r="M209" t="s">
        <v>230</v>
      </c>
      <c r="N209" t="s">
        <v>235</v>
      </c>
      <c r="O209">
        <v>1390200</v>
      </c>
    </row>
    <row r="210" spans="1:15" x14ac:dyDescent="0.4">
      <c r="A210" t="s">
        <v>186</v>
      </c>
      <c r="B210">
        <v>76</v>
      </c>
      <c r="C210" t="s">
        <v>6</v>
      </c>
      <c r="D210">
        <v>61</v>
      </c>
      <c r="E210" t="s">
        <v>703</v>
      </c>
      <c r="F210">
        <v>1389</v>
      </c>
      <c r="G210" t="s">
        <v>1197</v>
      </c>
      <c r="I210">
        <v>10077549</v>
      </c>
      <c r="J210" t="s">
        <v>1688</v>
      </c>
      <c r="K210">
        <v>800159</v>
      </c>
      <c r="L210">
        <v>1</v>
      </c>
      <c r="M210" t="s">
        <v>238</v>
      </c>
      <c r="N210" t="s">
        <v>239</v>
      </c>
      <c r="O210">
        <v>1428000</v>
      </c>
    </row>
    <row r="211" spans="1:15" x14ac:dyDescent="0.4">
      <c r="A211" t="s">
        <v>238</v>
      </c>
      <c r="B211">
        <v>60</v>
      </c>
      <c r="C211" t="s">
        <v>3</v>
      </c>
      <c r="D211">
        <v>33</v>
      </c>
      <c r="E211" t="s">
        <v>451</v>
      </c>
      <c r="F211">
        <v>1372</v>
      </c>
      <c r="G211" t="s">
        <v>992</v>
      </c>
      <c r="I211">
        <v>20010140</v>
      </c>
      <c r="J211" t="s">
        <v>1689</v>
      </c>
      <c r="K211">
        <v>800159</v>
      </c>
      <c r="L211">
        <v>1</v>
      </c>
      <c r="M211" t="s">
        <v>230</v>
      </c>
      <c r="N211" t="s">
        <v>235</v>
      </c>
      <c r="O211">
        <v>1444200</v>
      </c>
    </row>
    <row r="212" spans="1:15" x14ac:dyDescent="0.4">
      <c r="A212" t="s">
        <v>238</v>
      </c>
      <c r="B212">
        <v>50</v>
      </c>
      <c r="C212" t="s">
        <v>1</v>
      </c>
      <c r="D212">
        <v>21</v>
      </c>
      <c r="E212" t="s">
        <v>182</v>
      </c>
      <c r="F212">
        <v>1166</v>
      </c>
      <c r="G212" t="s">
        <v>1082</v>
      </c>
      <c r="I212">
        <v>10004190</v>
      </c>
      <c r="J212" t="s">
        <v>583</v>
      </c>
      <c r="K212">
        <v>800159</v>
      </c>
      <c r="L212">
        <v>1</v>
      </c>
      <c r="M212" t="s">
        <v>230</v>
      </c>
      <c r="N212" t="s">
        <v>235</v>
      </c>
      <c r="O212">
        <v>1320000</v>
      </c>
    </row>
    <row r="213" spans="1:15" x14ac:dyDescent="0.4">
      <c r="A213" t="s">
        <v>195</v>
      </c>
      <c r="B213">
        <v>50</v>
      </c>
      <c r="C213" t="s">
        <v>1</v>
      </c>
      <c r="D213">
        <v>21</v>
      </c>
      <c r="E213" t="s">
        <v>182</v>
      </c>
      <c r="F213">
        <v>1166</v>
      </c>
      <c r="G213" t="s">
        <v>1082</v>
      </c>
      <c r="I213">
        <v>10004192</v>
      </c>
      <c r="J213" t="s">
        <v>1633</v>
      </c>
      <c r="K213">
        <v>800159</v>
      </c>
      <c r="L213">
        <v>1</v>
      </c>
      <c r="M213" t="s">
        <v>185</v>
      </c>
      <c r="N213" t="s">
        <v>190</v>
      </c>
      <c r="O213">
        <v>1406400</v>
      </c>
    </row>
    <row r="214" spans="1:15" x14ac:dyDescent="0.4">
      <c r="A214" t="s">
        <v>195</v>
      </c>
      <c r="B214">
        <v>50</v>
      </c>
      <c r="C214" t="s">
        <v>1</v>
      </c>
      <c r="D214">
        <v>11</v>
      </c>
      <c r="E214" t="s">
        <v>192</v>
      </c>
      <c r="F214">
        <v>1085</v>
      </c>
      <c r="G214" t="s">
        <v>854</v>
      </c>
      <c r="I214">
        <v>10004124</v>
      </c>
      <c r="J214" t="s">
        <v>1690</v>
      </c>
      <c r="K214">
        <v>800159</v>
      </c>
      <c r="L214">
        <v>1</v>
      </c>
      <c r="M214" t="s">
        <v>185</v>
      </c>
      <c r="N214" t="s">
        <v>190</v>
      </c>
      <c r="O214">
        <v>1401000</v>
      </c>
    </row>
    <row r="215" spans="1:15" x14ac:dyDescent="0.4">
      <c r="A215" t="s">
        <v>1589</v>
      </c>
      <c r="B215">
        <v>50</v>
      </c>
      <c r="C215" t="s">
        <v>1</v>
      </c>
      <c r="D215">
        <v>11</v>
      </c>
      <c r="E215" t="s">
        <v>192</v>
      </c>
      <c r="F215">
        <v>1085</v>
      </c>
      <c r="G215" t="s">
        <v>854</v>
      </c>
      <c r="I215">
        <v>10004125</v>
      </c>
      <c r="J215" t="s">
        <v>1691</v>
      </c>
      <c r="K215">
        <v>800159</v>
      </c>
      <c r="L215">
        <v>1</v>
      </c>
      <c r="M215" t="s">
        <v>1594</v>
      </c>
      <c r="N215" t="s">
        <v>294</v>
      </c>
      <c r="O215">
        <v>1320000</v>
      </c>
    </row>
    <row r="216" spans="1:15" x14ac:dyDescent="0.4">
      <c r="A216" t="s">
        <v>311</v>
      </c>
      <c r="B216">
        <v>60</v>
      </c>
      <c r="C216" t="s">
        <v>3</v>
      </c>
      <c r="D216">
        <v>31</v>
      </c>
      <c r="E216" t="s">
        <v>447</v>
      </c>
      <c r="F216">
        <v>1116</v>
      </c>
      <c r="G216" t="s">
        <v>1075</v>
      </c>
      <c r="I216">
        <v>10062263</v>
      </c>
      <c r="J216" t="s">
        <v>1692</v>
      </c>
      <c r="K216">
        <v>800155</v>
      </c>
      <c r="L216">
        <v>1</v>
      </c>
      <c r="M216" t="s">
        <v>258</v>
      </c>
      <c r="N216" t="s">
        <v>259</v>
      </c>
      <c r="O216">
        <v>168000</v>
      </c>
    </row>
    <row r="217" spans="1:15" x14ac:dyDescent="0.4">
      <c r="A217" t="s">
        <v>221</v>
      </c>
      <c r="B217">
        <v>80</v>
      </c>
      <c r="C217" t="s">
        <v>4</v>
      </c>
      <c r="D217">
        <v>81</v>
      </c>
      <c r="E217" t="s">
        <v>550</v>
      </c>
      <c r="F217">
        <v>1154</v>
      </c>
      <c r="G217" t="s">
        <v>1044</v>
      </c>
      <c r="I217">
        <v>10004137</v>
      </c>
      <c r="J217" t="s">
        <v>1693</v>
      </c>
      <c r="K217">
        <v>800159</v>
      </c>
      <c r="L217">
        <v>1</v>
      </c>
      <c r="M217" t="s">
        <v>204</v>
      </c>
      <c r="O217">
        <v>1320000</v>
      </c>
    </row>
    <row r="218" spans="1:15" x14ac:dyDescent="0.4">
      <c r="A218" t="s">
        <v>311</v>
      </c>
      <c r="B218">
        <v>60</v>
      </c>
      <c r="C218" t="s">
        <v>3</v>
      </c>
      <c r="D218">
        <v>31</v>
      </c>
      <c r="E218" t="s">
        <v>447</v>
      </c>
      <c r="F218">
        <v>1116</v>
      </c>
      <c r="G218" t="s">
        <v>1075</v>
      </c>
      <c r="I218">
        <v>10004150</v>
      </c>
      <c r="J218" t="s">
        <v>1694</v>
      </c>
      <c r="K218">
        <v>800157</v>
      </c>
      <c r="L218">
        <v>1</v>
      </c>
      <c r="M218" t="s">
        <v>258</v>
      </c>
      <c r="N218" t="s">
        <v>261</v>
      </c>
      <c r="O218">
        <v>876800</v>
      </c>
    </row>
    <row r="219" spans="1:15" x14ac:dyDescent="0.4">
      <c r="A219" t="s">
        <v>230</v>
      </c>
      <c r="B219">
        <v>60</v>
      </c>
      <c r="C219" t="s">
        <v>3</v>
      </c>
      <c r="D219">
        <v>31</v>
      </c>
      <c r="E219" t="s">
        <v>447</v>
      </c>
      <c r="F219">
        <v>1367</v>
      </c>
      <c r="G219" t="s">
        <v>977</v>
      </c>
      <c r="I219">
        <v>10004151</v>
      </c>
      <c r="J219" t="s">
        <v>1695</v>
      </c>
      <c r="K219">
        <v>800159</v>
      </c>
      <c r="L219">
        <v>1</v>
      </c>
      <c r="M219" t="s">
        <v>242</v>
      </c>
      <c r="N219" t="s">
        <v>247</v>
      </c>
      <c r="O219">
        <v>1357800</v>
      </c>
    </row>
    <row r="220" spans="1:15" x14ac:dyDescent="0.4">
      <c r="A220" t="s">
        <v>275</v>
      </c>
      <c r="B220">
        <v>80</v>
      </c>
      <c r="C220" t="s">
        <v>4</v>
      </c>
      <c r="D220">
        <v>71</v>
      </c>
      <c r="E220" t="s">
        <v>556</v>
      </c>
      <c r="F220">
        <v>1296</v>
      </c>
      <c r="G220" t="s">
        <v>964</v>
      </c>
      <c r="I220">
        <v>10015965</v>
      </c>
      <c r="J220" t="s">
        <v>1696</v>
      </c>
      <c r="K220">
        <v>800157</v>
      </c>
      <c r="L220">
        <v>1</v>
      </c>
      <c r="M220" t="s">
        <v>281</v>
      </c>
      <c r="N220" t="s">
        <v>244</v>
      </c>
      <c r="O220">
        <v>944000</v>
      </c>
    </row>
    <row r="221" spans="1:15" x14ac:dyDescent="0.4">
      <c r="A221" t="s">
        <v>250</v>
      </c>
      <c r="B221">
        <v>70</v>
      </c>
      <c r="C221" t="s">
        <v>2</v>
      </c>
      <c r="D221">
        <v>41</v>
      </c>
      <c r="E221" t="s">
        <v>306</v>
      </c>
      <c r="F221">
        <v>1118</v>
      </c>
      <c r="G221" t="s">
        <v>1471</v>
      </c>
      <c r="I221">
        <v>20006515</v>
      </c>
      <c r="J221" t="s">
        <v>1697</v>
      </c>
      <c r="K221">
        <v>800159</v>
      </c>
      <c r="L221">
        <v>1</v>
      </c>
      <c r="M221" t="s">
        <v>196</v>
      </c>
      <c r="N221" t="s">
        <v>215</v>
      </c>
      <c r="O221">
        <v>1395600</v>
      </c>
    </row>
    <row r="222" spans="1:15" x14ac:dyDescent="0.4">
      <c r="A222" t="s">
        <v>311</v>
      </c>
      <c r="B222">
        <v>76</v>
      </c>
      <c r="C222" t="s">
        <v>6</v>
      </c>
      <c r="D222">
        <v>61</v>
      </c>
      <c r="E222" t="s">
        <v>703</v>
      </c>
      <c r="F222">
        <v>1563</v>
      </c>
      <c r="G222" t="s">
        <v>942</v>
      </c>
      <c r="I222">
        <v>20005409</v>
      </c>
      <c r="J222" t="s">
        <v>1698</v>
      </c>
      <c r="K222">
        <v>800157</v>
      </c>
      <c r="L222">
        <v>1</v>
      </c>
      <c r="M222" t="s">
        <v>258</v>
      </c>
      <c r="N222" t="s">
        <v>261</v>
      </c>
      <c r="O222">
        <v>784000</v>
      </c>
    </row>
    <row r="223" spans="1:15" x14ac:dyDescent="0.4">
      <c r="A223" t="s">
        <v>1469</v>
      </c>
      <c r="B223">
        <v>60</v>
      </c>
      <c r="C223" t="s">
        <v>3</v>
      </c>
      <c r="D223">
        <v>31</v>
      </c>
      <c r="E223" t="s">
        <v>447</v>
      </c>
      <c r="F223">
        <v>1543</v>
      </c>
      <c r="G223" t="s">
        <v>1183</v>
      </c>
      <c r="I223">
        <v>10013386</v>
      </c>
      <c r="J223" t="s">
        <v>1699</v>
      </c>
      <c r="K223">
        <v>800155</v>
      </c>
      <c r="L223">
        <v>1</v>
      </c>
      <c r="M223" t="s">
        <v>1475</v>
      </c>
      <c r="N223" t="s">
        <v>195</v>
      </c>
      <c r="O223">
        <v>193200</v>
      </c>
    </row>
    <row r="224" spans="1:15" x14ac:dyDescent="0.4">
      <c r="A224" t="s">
        <v>195</v>
      </c>
      <c r="B224">
        <v>60</v>
      </c>
      <c r="C224" t="s">
        <v>3</v>
      </c>
      <c r="D224">
        <v>31</v>
      </c>
      <c r="E224" t="s">
        <v>447</v>
      </c>
      <c r="F224">
        <v>1543</v>
      </c>
      <c r="G224" t="s">
        <v>1183</v>
      </c>
      <c r="I224">
        <v>10013386</v>
      </c>
      <c r="J224" t="s">
        <v>1699</v>
      </c>
      <c r="K224">
        <v>800155</v>
      </c>
      <c r="L224">
        <v>1</v>
      </c>
      <c r="M224" t="s">
        <v>185</v>
      </c>
      <c r="N224" t="s">
        <v>186</v>
      </c>
      <c r="O224">
        <v>193200</v>
      </c>
    </row>
    <row r="225" spans="1:15" x14ac:dyDescent="0.4">
      <c r="A225" t="s">
        <v>186</v>
      </c>
      <c r="B225">
        <v>60</v>
      </c>
      <c r="C225" t="s">
        <v>3</v>
      </c>
      <c r="D225">
        <v>31</v>
      </c>
      <c r="E225" t="s">
        <v>447</v>
      </c>
      <c r="F225">
        <v>1543</v>
      </c>
      <c r="G225" t="s">
        <v>1183</v>
      </c>
      <c r="I225">
        <v>10013386</v>
      </c>
      <c r="J225" t="s">
        <v>1699</v>
      </c>
      <c r="K225">
        <v>800155</v>
      </c>
      <c r="L225">
        <v>1</v>
      </c>
      <c r="M225" t="s">
        <v>238</v>
      </c>
      <c r="N225" t="s">
        <v>187</v>
      </c>
      <c r="O225">
        <v>193200</v>
      </c>
    </row>
    <row r="226" spans="1:15" x14ac:dyDescent="0.4">
      <c r="A226" t="s">
        <v>1589</v>
      </c>
      <c r="B226">
        <v>60</v>
      </c>
      <c r="C226" t="s">
        <v>3</v>
      </c>
      <c r="D226">
        <v>33</v>
      </c>
      <c r="E226" t="s">
        <v>451</v>
      </c>
      <c r="F226">
        <v>1372</v>
      </c>
      <c r="G226" t="s">
        <v>992</v>
      </c>
      <c r="I226">
        <v>10028622</v>
      </c>
      <c r="J226" t="s">
        <v>1504</v>
      </c>
      <c r="K226">
        <v>800159</v>
      </c>
      <c r="L226">
        <v>1</v>
      </c>
      <c r="M226" t="s">
        <v>1594</v>
      </c>
      <c r="N226" t="s">
        <v>294</v>
      </c>
      <c r="O226">
        <v>1314000</v>
      </c>
    </row>
    <row r="227" spans="1:15" x14ac:dyDescent="0.4">
      <c r="A227" t="s">
        <v>281</v>
      </c>
      <c r="B227">
        <v>80</v>
      </c>
      <c r="C227" t="s">
        <v>4</v>
      </c>
      <c r="D227">
        <v>81</v>
      </c>
      <c r="E227" t="s">
        <v>550</v>
      </c>
      <c r="F227">
        <v>1154</v>
      </c>
      <c r="G227" t="s">
        <v>1044</v>
      </c>
      <c r="I227">
        <v>10060461</v>
      </c>
      <c r="J227" t="s">
        <v>1700</v>
      </c>
      <c r="K227">
        <v>800159</v>
      </c>
      <c r="L227">
        <v>1</v>
      </c>
      <c r="M227" t="s">
        <v>363</v>
      </c>
      <c r="N227" t="s">
        <v>315</v>
      </c>
      <c r="O227">
        <v>1325400</v>
      </c>
    </row>
    <row r="228" spans="1:15" x14ac:dyDescent="0.4">
      <c r="A228" t="s">
        <v>203</v>
      </c>
      <c r="B228">
        <v>80</v>
      </c>
      <c r="C228" t="s">
        <v>4</v>
      </c>
      <c r="D228">
        <v>81</v>
      </c>
      <c r="E228" t="s">
        <v>550</v>
      </c>
      <c r="F228">
        <v>1154</v>
      </c>
      <c r="G228" t="s">
        <v>1044</v>
      </c>
      <c r="I228">
        <v>10042893</v>
      </c>
      <c r="J228" t="s">
        <v>1701</v>
      </c>
      <c r="K228">
        <v>800159</v>
      </c>
      <c r="L228">
        <v>1</v>
      </c>
      <c r="M228" t="s">
        <v>290</v>
      </c>
      <c r="N228" t="s">
        <v>295</v>
      </c>
      <c r="O228">
        <v>1336200</v>
      </c>
    </row>
    <row r="229" spans="1:15" x14ac:dyDescent="0.4">
      <c r="A229" t="s">
        <v>311</v>
      </c>
      <c r="B229">
        <v>80</v>
      </c>
      <c r="C229" t="s">
        <v>4</v>
      </c>
      <c r="D229">
        <v>81</v>
      </c>
      <c r="E229" t="s">
        <v>550</v>
      </c>
      <c r="F229">
        <v>1436</v>
      </c>
      <c r="G229" t="s">
        <v>918</v>
      </c>
      <c r="I229">
        <v>20005649</v>
      </c>
      <c r="J229" t="s">
        <v>1702</v>
      </c>
      <c r="K229">
        <v>800157</v>
      </c>
      <c r="L229">
        <v>1</v>
      </c>
      <c r="M229" t="s">
        <v>258</v>
      </c>
      <c r="N229" t="s">
        <v>261</v>
      </c>
      <c r="O229">
        <v>812800</v>
      </c>
    </row>
    <row r="230" spans="1:15" x14ac:dyDescent="0.4">
      <c r="A230" t="s">
        <v>185</v>
      </c>
      <c r="B230">
        <v>60</v>
      </c>
      <c r="C230" t="s">
        <v>3</v>
      </c>
      <c r="D230">
        <v>33</v>
      </c>
      <c r="E230" t="s">
        <v>451</v>
      </c>
      <c r="F230">
        <v>1273</v>
      </c>
      <c r="G230" t="s">
        <v>1084</v>
      </c>
      <c r="I230">
        <v>10046465</v>
      </c>
      <c r="J230" t="s">
        <v>1703</v>
      </c>
      <c r="K230">
        <v>800159</v>
      </c>
      <c r="L230">
        <v>1</v>
      </c>
      <c r="M230" t="s">
        <v>275</v>
      </c>
      <c r="N230" t="s">
        <v>234</v>
      </c>
      <c r="O230">
        <v>1182000</v>
      </c>
    </row>
    <row r="231" spans="1:15" x14ac:dyDescent="0.4">
      <c r="A231" t="s">
        <v>311</v>
      </c>
      <c r="B231">
        <v>70</v>
      </c>
      <c r="C231" t="s">
        <v>2</v>
      </c>
      <c r="D231">
        <v>41</v>
      </c>
      <c r="E231" t="s">
        <v>306</v>
      </c>
      <c r="F231">
        <v>1610</v>
      </c>
      <c r="G231" t="s">
        <v>1352</v>
      </c>
      <c r="I231">
        <v>10014171</v>
      </c>
      <c r="J231" t="s">
        <v>1704</v>
      </c>
      <c r="K231">
        <v>800157</v>
      </c>
      <c r="L231">
        <v>1</v>
      </c>
      <c r="M231" t="s">
        <v>258</v>
      </c>
      <c r="N231" t="s">
        <v>261</v>
      </c>
      <c r="O231">
        <v>763200</v>
      </c>
    </row>
    <row r="232" spans="1:15" x14ac:dyDescent="0.4">
      <c r="A232" t="s">
        <v>1469</v>
      </c>
      <c r="B232">
        <v>60</v>
      </c>
      <c r="C232" t="s">
        <v>3</v>
      </c>
      <c r="D232">
        <v>33</v>
      </c>
      <c r="E232" t="s">
        <v>451</v>
      </c>
      <c r="F232">
        <v>1372</v>
      </c>
      <c r="G232" t="s">
        <v>992</v>
      </c>
      <c r="I232">
        <v>20005701</v>
      </c>
      <c r="J232" t="s">
        <v>1705</v>
      </c>
      <c r="K232">
        <v>800157</v>
      </c>
      <c r="L232">
        <v>1</v>
      </c>
      <c r="M232" t="s">
        <v>1475</v>
      </c>
      <c r="N232" t="s">
        <v>187</v>
      </c>
      <c r="O232">
        <v>822400</v>
      </c>
    </row>
    <row r="233" spans="1:15" x14ac:dyDescent="0.4">
      <c r="A233" t="s">
        <v>1596</v>
      </c>
      <c r="B233">
        <v>76</v>
      </c>
      <c r="C233" t="s">
        <v>6</v>
      </c>
      <c r="D233">
        <v>61</v>
      </c>
      <c r="E233" t="s">
        <v>703</v>
      </c>
      <c r="F233">
        <v>1475</v>
      </c>
      <c r="G233" t="s">
        <v>909</v>
      </c>
      <c r="I233">
        <v>10013948</v>
      </c>
      <c r="J233" t="s">
        <v>1706</v>
      </c>
      <c r="K233">
        <v>800157</v>
      </c>
      <c r="L233">
        <v>1</v>
      </c>
      <c r="M233" t="s">
        <v>268</v>
      </c>
      <c r="N233" t="s">
        <v>212</v>
      </c>
      <c r="O233">
        <v>604800</v>
      </c>
    </row>
    <row r="234" spans="1:15" x14ac:dyDescent="0.4">
      <c r="A234" t="s">
        <v>1587</v>
      </c>
      <c r="B234">
        <v>76</v>
      </c>
      <c r="C234" t="s">
        <v>6</v>
      </c>
      <c r="D234">
        <v>61</v>
      </c>
      <c r="E234" t="s">
        <v>703</v>
      </c>
      <c r="F234">
        <v>1563</v>
      </c>
      <c r="G234" t="s">
        <v>942</v>
      </c>
      <c r="I234">
        <v>20005664</v>
      </c>
      <c r="J234" t="s">
        <v>1707</v>
      </c>
      <c r="K234">
        <v>800157</v>
      </c>
      <c r="L234">
        <v>1</v>
      </c>
      <c r="M234" t="s">
        <v>1548</v>
      </c>
      <c r="N234" t="s">
        <v>327</v>
      </c>
      <c r="O234">
        <v>816000</v>
      </c>
    </row>
    <row r="235" spans="1:15" x14ac:dyDescent="0.4">
      <c r="A235" t="s">
        <v>238</v>
      </c>
      <c r="B235">
        <v>50</v>
      </c>
      <c r="C235" t="s">
        <v>1</v>
      </c>
      <c r="D235">
        <v>11</v>
      </c>
      <c r="E235" t="s">
        <v>192</v>
      </c>
      <c r="F235">
        <v>1085</v>
      </c>
      <c r="G235" t="s">
        <v>854</v>
      </c>
      <c r="I235">
        <v>10044043</v>
      </c>
      <c r="J235" t="s">
        <v>1708</v>
      </c>
      <c r="K235">
        <v>800157</v>
      </c>
      <c r="L235">
        <v>1</v>
      </c>
      <c r="M235" t="s">
        <v>230</v>
      </c>
      <c r="N235" t="s">
        <v>233</v>
      </c>
      <c r="O235">
        <v>969600</v>
      </c>
    </row>
    <row r="236" spans="1:15" x14ac:dyDescent="0.4">
      <c r="A236" t="s">
        <v>1596</v>
      </c>
      <c r="B236">
        <v>76</v>
      </c>
      <c r="C236" t="s">
        <v>6</v>
      </c>
      <c r="D236">
        <v>61</v>
      </c>
      <c r="E236" t="s">
        <v>703</v>
      </c>
      <c r="F236">
        <v>1602</v>
      </c>
      <c r="G236" t="s">
        <v>1013</v>
      </c>
      <c r="I236">
        <v>10040169</v>
      </c>
      <c r="J236" t="s">
        <v>1709</v>
      </c>
      <c r="K236">
        <v>800157</v>
      </c>
      <c r="L236">
        <v>1</v>
      </c>
      <c r="M236" t="s">
        <v>268</v>
      </c>
      <c r="N236" t="s">
        <v>212</v>
      </c>
      <c r="O236">
        <v>784000</v>
      </c>
    </row>
    <row r="237" spans="1:15" x14ac:dyDescent="0.4">
      <c r="A237" t="s">
        <v>275</v>
      </c>
      <c r="B237">
        <v>70</v>
      </c>
      <c r="C237" t="s">
        <v>2</v>
      </c>
      <c r="D237">
        <v>41</v>
      </c>
      <c r="E237" t="s">
        <v>306</v>
      </c>
      <c r="F237">
        <v>1445</v>
      </c>
      <c r="G237" t="s">
        <v>886</v>
      </c>
      <c r="I237">
        <v>10018748</v>
      </c>
      <c r="J237" t="s">
        <v>1710</v>
      </c>
      <c r="K237">
        <v>800157</v>
      </c>
      <c r="L237">
        <v>1</v>
      </c>
      <c r="M237" t="s">
        <v>281</v>
      </c>
      <c r="N237" t="s">
        <v>244</v>
      </c>
      <c r="O237">
        <v>924000</v>
      </c>
    </row>
    <row r="238" spans="1:15" x14ac:dyDescent="0.4">
      <c r="A238" t="s">
        <v>1596</v>
      </c>
      <c r="B238">
        <v>75</v>
      </c>
      <c r="C238" t="s">
        <v>5</v>
      </c>
      <c r="D238">
        <v>51</v>
      </c>
      <c r="E238" t="s">
        <v>657</v>
      </c>
      <c r="F238">
        <v>1435</v>
      </c>
      <c r="G238" t="s">
        <v>860</v>
      </c>
      <c r="I238">
        <v>20005604</v>
      </c>
      <c r="J238" t="s">
        <v>784</v>
      </c>
      <c r="K238">
        <v>800159</v>
      </c>
      <c r="L238">
        <v>1</v>
      </c>
      <c r="M238" t="s">
        <v>268</v>
      </c>
      <c r="N238" t="s">
        <v>214</v>
      </c>
      <c r="O238">
        <v>1344000</v>
      </c>
    </row>
    <row r="239" spans="1:15" x14ac:dyDescent="0.4">
      <c r="A239" t="s">
        <v>281</v>
      </c>
      <c r="B239">
        <v>76</v>
      </c>
      <c r="C239" t="s">
        <v>6</v>
      </c>
      <c r="D239">
        <v>61</v>
      </c>
      <c r="E239" t="s">
        <v>703</v>
      </c>
      <c r="F239">
        <v>1389</v>
      </c>
      <c r="G239" t="s">
        <v>1197</v>
      </c>
      <c r="I239">
        <v>10018053</v>
      </c>
      <c r="J239" t="s">
        <v>1711</v>
      </c>
      <c r="K239">
        <v>800159</v>
      </c>
      <c r="L239">
        <v>1</v>
      </c>
      <c r="M239" t="s">
        <v>363</v>
      </c>
      <c r="N239" t="s">
        <v>315</v>
      </c>
      <c r="O239">
        <v>1320000</v>
      </c>
    </row>
    <row r="240" spans="1:15" x14ac:dyDescent="0.4">
      <c r="A240" t="s">
        <v>275</v>
      </c>
      <c r="B240">
        <v>70</v>
      </c>
      <c r="C240" t="s">
        <v>2</v>
      </c>
      <c r="D240">
        <v>41</v>
      </c>
      <c r="E240" t="s">
        <v>306</v>
      </c>
      <c r="F240">
        <v>1118</v>
      </c>
      <c r="G240" t="s">
        <v>1471</v>
      </c>
      <c r="I240">
        <v>10062609</v>
      </c>
      <c r="J240" t="s">
        <v>1712</v>
      </c>
      <c r="K240">
        <v>800158</v>
      </c>
      <c r="L240">
        <v>1</v>
      </c>
      <c r="M240" t="s">
        <v>281</v>
      </c>
      <c r="N240" t="s">
        <v>245</v>
      </c>
      <c r="O240">
        <v>984000</v>
      </c>
    </row>
    <row r="241" spans="1:15" x14ac:dyDescent="0.4">
      <c r="A241" t="s">
        <v>275</v>
      </c>
      <c r="B241">
        <v>50</v>
      </c>
      <c r="C241" t="s">
        <v>1</v>
      </c>
      <c r="D241">
        <v>11</v>
      </c>
      <c r="E241" t="s">
        <v>192</v>
      </c>
      <c r="F241">
        <v>1353</v>
      </c>
      <c r="G241" t="s">
        <v>1017</v>
      </c>
      <c r="I241">
        <v>10029848</v>
      </c>
      <c r="J241" t="s">
        <v>1713</v>
      </c>
      <c r="K241">
        <v>800155</v>
      </c>
      <c r="L241">
        <v>1</v>
      </c>
      <c r="M241" t="s">
        <v>281</v>
      </c>
      <c r="N241" t="s">
        <v>230</v>
      </c>
      <c r="O241">
        <v>160800</v>
      </c>
    </row>
    <row r="242" spans="1:15" x14ac:dyDescent="0.4">
      <c r="A242" t="s">
        <v>311</v>
      </c>
      <c r="B242">
        <v>50</v>
      </c>
      <c r="C242" t="s">
        <v>1</v>
      </c>
      <c r="D242">
        <v>21</v>
      </c>
      <c r="E242" t="s">
        <v>182</v>
      </c>
      <c r="F242">
        <v>1166</v>
      </c>
      <c r="G242" t="s">
        <v>1082</v>
      </c>
      <c r="I242">
        <v>10046928</v>
      </c>
      <c r="J242" t="s">
        <v>1714</v>
      </c>
      <c r="K242">
        <v>800159</v>
      </c>
      <c r="L242">
        <v>1</v>
      </c>
      <c r="M242" t="s">
        <v>258</v>
      </c>
      <c r="N242" t="s">
        <v>263</v>
      </c>
      <c r="O242">
        <v>1320000</v>
      </c>
    </row>
    <row r="243" spans="1:15" x14ac:dyDescent="0.4">
      <c r="A243" t="s">
        <v>258</v>
      </c>
      <c r="B243">
        <v>76</v>
      </c>
      <c r="C243" t="s">
        <v>6</v>
      </c>
      <c r="D243">
        <v>61</v>
      </c>
      <c r="E243" t="s">
        <v>703</v>
      </c>
      <c r="F243">
        <v>1468</v>
      </c>
      <c r="G243" t="s">
        <v>914</v>
      </c>
      <c r="I243">
        <v>10012051</v>
      </c>
      <c r="J243" t="s">
        <v>1715</v>
      </c>
      <c r="K243">
        <v>800159</v>
      </c>
      <c r="L243">
        <v>1</v>
      </c>
      <c r="M243" t="s">
        <v>221</v>
      </c>
      <c r="N243" t="s">
        <v>331</v>
      </c>
      <c r="O243">
        <v>1579200</v>
      </c>
    </row>
    <row r="244" spans="1:15" x14ac:dyDescent="0.4">
      <c r="A244" t="s">
        <v>268</v>
      </c>
      <c r="B244">
        <v>70</v>
      </c>
      <c r="C244" t="s">
        <v>2</v>
      </c>
      <c r="D244">
        <v>41</v>
      </c>
      <c r="E244" t="s">
        <v>306</v>
      </c>
      <c r="F244">
        <v>1298</v>
      </c>
      <c r="G244" t="s">
        <v>1277</v>
      </c>
      <c r="I244">
        <v>20005737</v>
      </c>
      <c r="J244" t="s">
        <v>1716</v>
      </c>
      <c r="K244">
        <v>800159</v>
      </c>
      <c r="L244">
        <v>1</v>
      </c>
      <c r="M244" t="s">
        <v>195</v>
      </c>
      <c r="N244" t="s">
        <v>200</v>
      </c>
      <c r="O244">
        <v>840000</v>
      </c>
    </row>
    <row r="245" spans="1:15" x14ac:dyDescent="0.4">
      <c r="A245" t="s">
        <v>242</v>
      </c>
      <c r="B245">
        <v>60</v>
      </c>
      <c r="C245" t="s">
        <v>3</v>
      </c>
      <c r="D245">
        <v>33</v>
      </c>
      <c r="E245" t="s">
        <v>451</v>
      </c>
      <c r="F245">
        <v>1220</v>
      </c>
      <c r="G245" t="s">
        <v>1343</v>
      </c>
      <c r="I245">
        <v>10019851</v>
      </c>
      <c r="J245" t="s">
        <v>1717</v>
      </c>
      <c r="K245">
        <v>800157</v>
      </c>
      <c r="L245">
        <v>1</v>
      </c>
      <c r="M245" t="s">
        <v>311</v>
      </c>
      <c r="N245" t="s">
        <v>314</v>
      </c>
      <c r="O245">
        <v>525600</v>
      </c>
    </row>
    <row r="246" spans="1:15" x14ac:dyDescent="0.4">
      <c r="A246" t="s">
        <v>281</v>
      </c>
      <c r="B246">
        <v>60</v>
      </c>
      <c r="C246" t="s">
        <v>3</v>
      </c>
      <c r="D246">
        <v>33</v>
      </c>
      <c r="E246" t="s">
        <v>451</v>
      </c>
      <c r="F246">
        <v>1273</v>
      </c>
      <c r="G246" t="s">
        <v>1084</v>
      </c>
      <c r="I246">
        <v>20006524</v>
      </c>
      <c r="J246" t="s">
        <v>1718</v>
      </c>
      <c r="K246">
        <v>800159</v>
      </c>
      <c r="L246">
        <v>1</v>
      </c>
      <c r="M246" t="s">
        <v>363</v>
      </c>
      <c r="N246" t="s">
        <v>315</v>
      </c>
      <c r="O246">
        <v>1379400</v>
      </c>
    </row>
    <row r="247" spans="1:15" x14ac:dyDescent="0.4">
      <c r="A247" t="s">
        <v>353</v>
      </c>
      <c r="B247">
        <v>76</v>
      </c>
      <c r="C247" t="s">
        <v>6</v>
      </c>
      <c r="D247">
        <v>61</v>
      </c>
      <c r="E247" t="s">
        <v>703</v>
      </c>
      <c r="F247">
        <v>1472</v>
      </c>
      <c r="G247" t="s">
        <v>998</v>
      </c>
      <c r="I247">
        <v>20008698</v>
      </c>
      <c r="J247" t="s">
        <v>1719</v>
      </c>
      <c r="K247">
        <v>800159</v>
      </c>
      <c r="L247">
        <v>1</v>
      </c>
      <c r="M247" t="s">
        <v>220</v>
      </c>
      <c r="N247" t="s">
        <v>225</v>
      </c>
      <c r="O247">
        <v>1390200</v>
      </c>
    </row>
    <row r="248" spans="1:15" x14ac:dyDescent="0.4">
      <c r="A248" t="s">
        <v>242</v>
      </c>
      <c r="B248">
        <v>60</v>
      </c>
      <c r="C248" t="s">
        <v>3</v>
      </c>
      <c r="D248">
        <v>31</v>
      </c>
      <c r="E248" t="s">
        <v>447</v>
      </c>
      <c r="F248">
        <v>1612</v>
      </c>
      <c r="G248" t="s">
        <v>1720</v>
      </c>
      <c r="I248">
        <v>20006641</v>
      </c>
      <c r="J248" t="s">
        <v>1721</v>
      </c>
      <c r="K248">
        <v>800159</v>
      </c>
      <c r="L248">
        <v>1</v>
      </c>
      <c r="M248" t="s">
        <v>311</v>
      </c>
      <c r="N248" t="s">
        <v>316</v>
      </c>
      <c r="O248">
        <v>1320000</v>
      </c>
    </row>
    <row r="249" spans="1:15" x14ac:dyDescent="0.4">
      <c r="A249" t="s">
        <v>185</v>
      </c>
      <c r="B249">
        <v>75</v>
      </c>
      <c r="C249" t="s">
        <v>5</v>
      </c>
      <c r="D249">
        <v>51</v>
      </c>
      <c r="E249" t="s">
        <v>657</v>
      </c>
      <c r="F249">
        <v>1415</v>
      </c>
      <c r="G249" t="s">
        <v>1038</v>
      </c>
      <c r="I249">
        <v>10063127</v>
      </c>
      <c r="J249" t="s">
        <v>725</v>
      </c>
      <c r="K249">
        <v>800157</v>
      </c>
      <c r="L249">
        <v>1</v>
      </c>
      <c r="M249" t="s">
        <v>275</v>
      </c>
      <c r="N249" t="s">
        <v>232</v>
      </c>
      <c r="O249">
        <v>816000</v>
      </c>
    </row>
    <row r="250" spans="1:15" x14ac:dyDescent="0.4">
      <c r="A250" t="s">
        <v>268</v>
      </c>
      <c r="B250">
        <v>80</v>
      </c>
      <c r="C250" t="s">
        <v>4</v>
      </c>
      <c r="D250">
        <v>81</v>
      </c>
      <c r="E250" t="s">
        <v>550</v>
      </c>
      <c r="F250">
        <v>1436</v>
      </c>
      <c r="G250" t="s">
        <v>918</v>
      </c>
      <c r="I250">
        <v>10047629</v>
      </c>
      <c r="J250" t="s">
        <v>1722</v>
      </c>
      <c r="K250">
        <v>800159</v>
      </c>
      <c r="L250">
        <v>1</v>
      </c>
      <c r="M250" t="s">
        <v>195</v>
      </c>
      <c r="N250" t="s">
        <v>200</v>
      </c>
      <c r="O250">
        <v>1224000</v>
      </c>
    </row>
    <row r="251" spans="1:15" x14ac:dyDescent="0.4">
      <c r="A251" t="s">
        <v>353</v>
      </c>
      <c r="B251">
        <v>70</v>
      </c>
      <c r="C251" t="s">
        <v>2</v>
      </c>
      <c r="D251">
        <v>41</v>
      </c>
      <c r="E251" t="s">
        <v>306</v>
      </c>
      <c r="F251">
        <v>1510</v>
      </c>
      <c r="G251" t="s">
        <v>870</v>
      </c>
      <c r="I251">
        <v>20007845</v>
      </c>
      <c r="J251" t="s">
        <v>1723</v>
      </c>
      <c r="K251">
        <v>800159</v>
      </c>
      <c r="L251">
        <v>1</v>
      </c>
      <c r="M251" t="s">
        <v>220</v>
      </c>
      <c r="N251" t="s">
        <v>225</v>
      </c>
      <c r="O251">
        <v>1471200</v>
      </c>
    </row>
    <row r="252" spans="1:15" x14ac:dyDescent="0.4">
      <c r="A252" t="s">
        <v>242</v>
      </c>
      <c r="B252">
        <v>70</v>
      </c>
      <c r="C252" t="s">
        <v>2</v>
      </c>
      <c r="D252">
        <v>41</v>
      </c>
      <c r="E252" t="s">
        <v>306</v>
      </c>
      <c r="F252">
        <v>1445</v>
      </c>
      <c r="G252" t="s">
        <v>886</v>
      </c>
      <c r="I252">
        <v>20010207</v>
      </c>
      <c r="J252" t="s">
        <v>1724</v>
      </c>
      <c r="K252">
        <v>800159</v>
      </c>
      <c r="L252">
        <v>1</v>
      </c>
      <c r="M252" t="s">
        <v>311</v>
      </c>
      <c r="N252" t="s">
        <v>316</v>
      </c>
      <c r="O252">
        <v>1363200</v>
      </c>
    </row>
    <row r="253" spans="1:15" x14ac:dyDescent="0.4">
      <c r="A253" t="s">
        <v>1596</v>
      </c>
      <c r="B253">
        <v>80</v>
      </c>
      <c r="C253" t="s">
        <v>4</v>
      </c>
      <c r="D253">
        <v>81</v>
      </c>
      <c r="E253" t="s">
        <v>550</v>
      </c>
      <c r="F253">
        <v>1378</v>
      </c>
      <c r="G253" t="s">
        <v>881</v>
      </c>
      <c r="I253">
        <v>10075984</v>
      </c>
      <c r="J253" t="s">
        <v>1725</v>
      </c>
      <c r="K253">
        <v>800159</v>
      </c>
      <c r="L253">
        <v>1</v>
      </c>
      <c r="M253" t="s">
        <v>268</v>
      </c>
      <c r="N253" t="s">
        <v>214</v>
      </c>
      <c r="O253">
        <v>1379400</v>
      </c>
    </row>
    <row r="254" spans="1:15" x14ac:dyDescent="0.4">
      <c r="A254" t="s">
        <v>1594</v>
      </c>
      <c r="B254">
        <v>76</v>
      </c>
      <c r="C254" t="s">
        <v>6</v>
      </c>
      <c r="D254">
        <v>61</v>
      </c>
      <c r="E254" t="s">
        <v>703</v>
      </c>
      <c r="F254">
        <v>1472</v>
      </c>
      <c r="G254" t="s">
        <v>998</v>
      </c>
      <c r="I254">
        <v>20008019</v>
      </c>
      <c r="J254" t="s">
        <v>1726</v>
      </c>
      <c r="K254">
        <v>800159</v>
      </c>
      <c r="L254">
        <v>1</v>
      </c>
      <c r="M254" t="s">
        <v>1596</v>
      </c>
      <c r="N254" t="s">
        <v>254</v>
      </c>
      <c r="O254">
        <v>1644000</v>
      </c>
    </row>
    <row r="255" spans="1:15" x14ac:dyDescent="0.4">
      <c r="A255" t="s">
        <v>281</v>
      </c>
      <c r="B255">
        <v>70</v>
      </c>
      <c r="C255" t="s">
        <v>2</v>
      </c>
      <c r="D255">
        <v>41</v>
      </c>
      <c r="E255" t="s">
        <v>306</v>
      </c>
      <c r="F255">
        <v>1510</v>
      </c>
      <c r="G255" t="s">
        <v>870</v>
      </c>
      <c r="I255">
        <v>20008086</v>
      </c>
      <c r="J255" t="s">
        <v>1727</v>
      </c>
      <c r="K255">
        <v>800159</v>
      </c>
      <c r="L255">
        <v>1</v>
      </c>
      <c r="M255" t="s">
        <v>363</v>
      </c>
      <c r="N255" t="s">
        <v>315</v>
      </c>
      <c r="O255">
        <v>1357800</v>
      </c>
    </row>
    <row r="256" spans="1:15" x14ac:dyDescent="0.4">
      <c r="A256" t="s">
        <v>1594</v>
      </c>
      <c r="B256">
        <v>80</v>
      </c>
      <c r="C256" t="s">
        <v>4</v>
      </c>
      <c r="D256">
        <v>81</v>
      </c>
      <c r="E256" t="s">
        <v>550</v>
      </c>
      <c r="F256">
        <v>1436</v>
      </c>
      <c r="G256" t="s">
        <v>918</v>
      </c>
      <c r="I256">
        <v>20008112</v>
      </c>
      <c r="J256" t="s">
        <v>1728</v>
      </c>
      <c r="K256">
        <v>800159</v>
      </c>
      <c r="L256">
        <v>1</v>
      </c>
      <c r="M256" t="s">
        <v>1596</v>
      </c>
      <c r="N256" t="s">
        <v>254</v>
      </c>
      <c r="O256">
        <v>1563000</v>
      </c>
    </row>
    <row r="257" spans="1:15" x14ac:dyDescent="0.4">
      <c r="A257" t="s">
        <v>275</v>
      </c>
      <c r="B257">
        <v>76</v>
      </c>
      <c r="C257" t="s">
        <v>6</v>
      </c>
      <c r="D257">
        <v>61</v>
      </c>
      <c r="E257" t="s">
        <v>703</v>
      </c>
      <c r="F257">
        <v>1475</v>
      </c>
      <c r="G257" t="s">
        <v>909</v>
      </c>
      <c r="I257">
        <v>10014026</v>
      </c>
      <c r="J257" t="s">
        <v>1729</v>
      </c>
      <c r="K257">
        <v>800157</v>
      </c>
      <c r="L257">
        <v>1</v>
      </c>
      <c r="M257" t="s">
        <v>281</v>
      </c>
      <c r="N257" t="s">
        <v>244</v>
      </c>
      <c r="O257">
        <v>803200</v>
      </c>
    </row>
    <row r="258" spans="1:15" x14ac:dyDescent="0.4">
      <c r="A258" t="s">
        <v>311</v>
      </c>
      <c r="B258">
        <v>50</v>
      </c>
      <c r="C258" t="s">
        <v>1</v>
      </c>
      <c r="D258">
        <v>21</v>
      </c>
      <c r="E258" t="s">
        <v>182</v>
      </c>
      <c r="F258">
        <v>1166</v>
      </c>
      <c r="G258" t="s">
        <v>1082</v>
      </c>
      <c r="I258">
        <v>20010272</v>
      </c>
      <c r="J258" t="s">
        <v>1730</v>
      </c>
      <c r="K258">
        <v>800159</v>
      </c>
      <c r="L258">
        <v>1</v>
      </c>
      <c r="M258" t="s">
        <v>258</v>
      </c>
      <c r="N258" t="s">
        <v>263</v>
      </c>
      <c r="O258">
        <v>1320000</v>
      </c>
    </row>
    <row r="259" spans="1:15" x14ac:dyDescent="0.4">
      <c r="A259" t="s">
        <v>250</v>
      </c>
      <c r="B259">
        <v>75</v>
      </c>
      <c r="C259" t="s">
        <v>5</v>
      </c>
      <c r="D259">
        <v>51</v>
      </c>
      <c r="E259" t="s">
        <v>657</v>
      </c>
      <c r="F259">
        <v>1435</v>
      </c>
      <c r="G259" t="s">
        <v>860</v>
      </c>
      <c r="I259">
        <v>20008147</v>
      </c>
      <c r="J259" t="s">
        <v>1731</v>
      </c>
      <c r="K259">
        <v>800159</v>
      </c>
      <c r="L259">
        <v>1</v>
      </c>
      <c r="M259" t="s">
        <v>196</v>
      </c>
      <c r="N259" t="s">
        <v>215</v>
      </c>
      <c r="O259">
        <v>1363200</v>
      </c>
    </row>
    <row r="260" spans="1:15" x14ac:dyDescent="0.4">
      <c r="A260" t="s">
        <v>1487</v>
      </c>
      <c r="B260">
        <v>76</v>
      </c>
      <c r="C260" t="s">
        <v>6</v>
      </c>
      <c r="D260">
        <v>61</v>
      </c>
      <c r="E260" t="s">
        <v>703</v>
      </c>
      <c r="F260">
        <v>1472</v>
      </c>
      <c r="G260" t="s">
        <v>998</v>
      </c>
      <c r="I260">
        <v>20008148</v>
      </c>
      <c r="J260" t="s">
        <v>1732</v>
      </c>
      <c r="K260">
        <v>800157</v>
      </c>
      <c r="L260">
        <v>1</v>
      </c>
      <c r="M260" t="s">
        <v>1523</v>
      </c>
      <c r="N260" t="s">
        <v>312</v>
      </c>
      <c r="O260">
        <v>784000</v>
      </c>
    </row>
    <row r="261" spans="1:15" x14ac:dyDescent="0.4">
      <c r="A261" t="s">
        <v>1594</v>
      </c>
      <c r="B261">
        <v>80</v>
      </c>
      <c r="C261" t="s">
        <v>4</v>
      </c>
      <c r="D261">
        <v>81</v>
      </c>
      <c r="E261" t="s">
        <v>550</v>
      </c>
      <c r="F261">
        <v>1378</v>
      </c>
      <c r="G261" t="s">
        <v>881</v>
      </c>
      <c r="I261">
        <v>20008000</v>
      </c>
      <c r="J261" t="s">
        <v>1733</v>
      </c>
      <c r="K261">
        <v>800159</v>
      </c>
      <c r="L261">
        <v>1</v>
      </c>
      <c r="M261" t="s">
        <v>1596</v>
      </c>
      <c r="N261" t="s">
        <v>254</v>
      </c>
      <c r="O261">
        <v>1357800</v>
      </c>
    </row>
    <row r="262" spans="1:15" x14ac:dyDescent="0.4">
      <c r="A262" t="s">
        <v>1594</v>
      </c>
      <c r="B262">
        <v>50</v>
      </c>
      <c r="C262" t="s">
        <v>1</v>
      </c>
      <c r="D262">
        <v>21</v>
      </c>
      <c r="E262" t="s">
        <v>182</v>
      </c>
      <c r="F262">
        <v>1264</v>
      </c>
      <c r="G262" t="s">
        <v>1023</v>
      </c>
      <c r="I262">
        <v>20008131</v>
      </c>
      <c r="J262" t="s">
        <v>1734</v>
      </c>
      <c r="K262">
        <v>800157</v>
      </c>
      <c r="L262">
        <v>1</v>
      </c>
      <c r="M262" t="s">
        <v>1596</v>
      </c>
      <c r="N262" t="s">
        <v>252</v>
      </c>
      <c r="O262">
        <v>809600</v>
      </c>
    </row>
    <row r="263" spans="1:15" x14ac:dyDescent="0.4">
      <c r="A263" t="s">
        <v>220</v>
      </c>
      <c r="B263">
        <v>80</v>
      </c>
      <c r="C263" t="s">
        <v>4</v>
      </c>
      <c r="D263">
        <v>81</v>
      </c>
      <c r="E263" t="s">
        <v>550</v>
      </c>
      <c r="F263">
        <v>1154</v>
      </c>
      <c r="G263" t="s">
        <v>1044</v>
      </c>
      <c r="I263">
        <v>10047218</v>
      </c>
      <c r="J263" t="s">
        <v>1735</v>
      </c>
      <c r="K263">
        <v>800159</v>
      </c>
      <c r="L263">
        <v>1</v>
      </c>
      <c r="M263" t="s">
        <v>203</v>
      </c>
      <c r="N263" t="s">
        <v>208</v>
      </c>
      <c r="O263">
        <v>1471200</v>
      </c>
    </row>
    <row r="264" spans="1:15" x14ac:dyDescent="0.4">
      <c r="A264" t="s">
        <v>1469</v>
      </c>
      <c r="B264">
        <v>60</v>
      </c>
      <c r="C264" t="s">
        <v>3</v>
      </c>
      <c r="D264">
        <v>33</v>
      </c>
      <c r="E264" t="s">
        <v>451</v>
      </c>
      <c r="F264">
        <v>1220</v>
      </c>
      <c r="G264" t="s">
        <v>1343</v>
      </c>
      <c r="I264">
        <v>20008209</v>
      </c>
      <c r="J264" t="s">
        <v>1736</v>
      </c>
      <c r="K264">
        <v>800157</v>
      </c>
      <c r="L264">
        <v>1</v>
      </c>
      <c r="M264" t="s">
        <v>1475</v>
      </c>
      <c r="N264" t="s">
        <v>187</v>
      </c>
      <c r="O264">
        <v>835200</v>
      </c>
    </row>
    <row r="265" spans="1:15" x14ac:dyDescent="0.4">
      <c r="A265" t="s">
        <v>1523</v>
      </c>
      <c r="B265">
        <v>60</v>
      </c>
      <c r="C265" t="s">
        <v>3</v>
      </c>
      <c r="D265">
        <v>31</v>
      </c>
      <c r="E265" t="s">
        <v>447</v>
      </c>
      <c r="F265">
        <v>1299</v>
      </c>
      <c r="G265" t="s">
        <v>947</v>
      </c>
      <c r="I265">
        <v>10031782</v>
      </c>
      <c r="J265" t="s">
        <v>1737</v>
      </c>
      <c r="K265">
        <v>800159</v>
      </c>
      <c r="L265">
        <v>1</v>
      </c>
      <c r="M265" t="s">
        <v>1587</v>
      </c>
      <c r="N265" t="s">
        <v>261</v>
      </c>
      <c r="O265">
        <v>1356000</v>
      </c>
    </row>
    <row r="266" spans="1:15" x14ac:dyDescent="0.4">
      <c r="A266" t="s">
        <v>268</v>
      </c>
      <c r="B266">
        <v>75</v>
      </c>
      <c r="C266" t="s">
        <v>5</v>
      </c>
      <c r="D266">
        <v>51</v>
      </c>
      <c r="E266" t="s">
        <v>657</v>
      </c>
      <c r="F266">
        <v>1415</v>
      </c>
      <c r="G266" t="s">
        <v>1038</v>
      </c>
      <c r="I266">
        <v>10009078</v>
      </c>
      <c r="J266" t="s">
        <v>1738</v>
      </c>
      <c r="K266">
        <v>800159</v>
      </c>
      <c r="L266">
        <v>1</v>
      </c>
      <c r="M266" t="s">
        <v>195</v>
      </c>
      <c r="N266" t="s">
        <v>200</v>
      </c>
      <c r="O266">
        <v>1341600</v>
      </c>
    </row>
    <row r="267" spans="1:15" x14ac:dyDescent="0.4">
      <c r="A267" t="s">
        <v>203</v>
      </c>
      <c r="B267">
        <v>50</v>
      </c>
      <c r="C267" t="s">
        <v>1</v>
      </c>
      <c r="D267">
        <v>11</v>
      </c>
      <c r="E267" t="s">
        <v>192</v>
      </c>
      <c r="F267">
        <v>1353</v>
      </c>
      <c r="G267" t="s">
        <v>1017</v>
      </c>
      <c r="I267">
        <v>20008805</v>
      </c>
      <c r="J267" t="s">
        <v>1739</v>
      </c>
      <c r="K267">
        <v>800157</v>
      </c>
      <c r="L267">
        <v>1</v>
      </c>
      <c r="M267" t="s">
        <v>290</v>
      </c>
      <c r="N267" t="s">
        <v>293</v>
      </c>
      <c r="O267">
        <v>812800</v>
      </c>
    </row>
    <row r="268" spans="1:15" x14ac:dyDescent="0.4">
      <c r="A268" t="s">
        <v>195</v>
      </c>
      <c r="B268">
        <v>60</v>
      </c>
      <c r="C268" t="s">
        <v>3</v>
      </c>
      <c r="D268">
        <v>31</v>
      </c>
      <c r="E268" t="s">
        <v>447</v>
      </c>
      <c r="F268">
        <v>1299</v>
      </c>
      <c r="G268" t="s">
        <v>947</v>
      </c>
      <c r="I268">
        <v>10007737</v>
      </c>
      <c r="J268" t="s">
        <v>1740</v>
      </c>
      <c r="K268">
        <v>800159</v>
      </c>
      <c r="L268">
        <v>1</v>
      </c>
      <c r="M268" t="s">
        <v>185</v>
      </c>
      <c r="N268" t="s">
        <v>190</v>
      </c>
      <c r="O268">
        <v>1325400</v>
      </c>
    </row>
    <row r="269" spans="1:15" x14ac:dyDescent="0.4">
      <c r="A269" t="s">
        <v>353</v>
      </c>
      <c r="B269">
        <v>70</v>
      </c>
      <c r="C269" t="s">
        <v>2</v>
      </c>
      <c r="D269">
        <v>41</v>
      </c>
      <c r="E269" t="s">
        <v>306</v>
      </c>
      <c r="F269">
        <v>1298</v>
      </c>
      <c r="G269" t="s">
        <v>1277</v>
      </c>
      <c r="I269">
        <v>20008864</v>
      </c>
      <c r="J269" t="s">
        <v>1741</v>
      </c>
      <c r="K269">
        <v>800157</v>
      </c>
      <c r="L269">
        <v>1</v>
      </c>
      <c r="M269" t="s">
        <v>220</v>
      </c>
      <c r="N269" t="s">
        <v>223</v>
      </c>
      <c r="O269">
        <v>784000</v>
      </c>
    </row>
    <row r="270" spans="1:15" x14ac:dyDescent="0.4">
      <c r="A270" t="s">
        <v>1469</v>
      </c>
      <c r="B270">
        <v>50</v>
      </c>
      <c r="C270" t="s">
        <v>1</v>
      </c>
      <c r="D270">
        <v>11</v>
      </c>
      <c r="E270" t="s">
        <v>192</v>
      </c>
      <c r="F270">
        <v>1353</v>
      </c>
      <c r="G270" t="s">
        <v>1017</v>
      </c>
      <c r="I270">
        <v>10027348</v>
      </c>
      <c r="J270" t="s">
        <v>1742</v>
      </c>
      <c r="K270">
        <v>800157</v>
      </c>
      <c r="L270">
        <v>1</v>
      </c>
      <c r="M270" t="s">
        <v>1475</v>
      </c>
      <c r="N270" t="s">
        <v>187</v>
      </c>
      <c r="O270">
        <v>784000</v>
      </c>
    </row>
    <row r="271" spans="1:15" x14ac:dyDescent="0.4">
      <c r="A271" t="s">
        <v>230</v>
      </c>
      <c r="B271">
        <v>60</v>
      </c>
      <c r="C271" t="s">
        <v>3</v>
      </c>
      <c r="D271">
        <v>33</v>
      </c>
      <c r="E271" t="s">
        <v>451</v>
      </c>
      <c r="F271">
        <v>1273</v>
      </c>
      <c r="G271" t="s">
        <v>1084</v>
      </c>
      <c r="I271">
        <v>20008250</v>
      </c>
      <c r="J271" t="s">
        <v>1743</v>
      </c>
      <c r="K271">
        <v>800157</v>
      </c>
      <c r="L271">
        <v>1</v>
      </c>
      <c r="M271" t="s">
        <v>242</v>
      </c>
      <c r="N271" t="s">
        <v>245</v>
      </c>
      <c r="O271">
        <v>784000</v>
      </c>
    </row>
    <row r="272" spans="1:15" x14ac:dyDescent="0.4">
      <c r="A272" t="s">
        <v>1475</v>
      </c>
      <c r="B272">
        <v>75</v>
      </c>
      <c r="C272" t="s">
        <v>5</v>
      </c>
      <c r="D272">
        <v>51</v>
      </c>
      <c r="E272" t="s">
        <v>657</v>
      </c>
      <c r="F272">
        <v>1435</v>
      </c>
      <c r="G272" t="s">
        <v>860</v>
      </c>
      <c r="I272">
        <v>10054544</v>
      </c>
      <c r="J272" t="s">
        <v>1744</v>
      </c>
      <c r="K272">
        <v>800157</v>
      </c>
      <c r="L272">
        <v>1</v>
      </c>
      <c r="M272" t="s">
        <v>1479</v>
      </c>
      <c r="N272" t="s">
        <v>231</v>
      </c>
      <c r="O272">
        <v>784000</v>
      </c>
    </row>
    <row r="273" spans="1:15" x14ac:dyDescent="0.4">
      <c r="A273" t="s">
        <v>1475</v>
      </c>
      <c r="B273">
        <v>80</v>
      </c>
      <c r="C273" t="s">
        <v>4</v>
      </c>
      <c r="D273">
        <v>81</v>
      </c>
      <c r="E273" t="s">
        <v>550</v>
      </c>
      <c r="F273">
        <v>1154</v>
      </c>
      <c r="G273" t="s">
        <v>1044</v>
      </c>
      <c r="I273">
        <v>20008313</v>
      </c>
      <c r="J273" t="s">
        <v>1745</v>
      </c>
      <c r="K273">
        <v>800157</v>
      </c>
      <c r="L273">
        <v>1</v>
      </c>
      <c r="M273" t="s">
        <v>1479</v>
      </c>
      <c r="N273" t="s">
        <v>231</v>
      </c>
      <c r="O273">
        <v>784000</v>
      </c>
    </row>
    <row r="274" spans="1:15" x14ac:dyDescent="0.4">
      <c r="A274" t="s">
        <v>1594</v>
      </c>
      <c r="B274">
        <v>80</v>
      </c>
      <c r="C274" t="s">
        <v>4</v>
      </c>
      <c r="D274">
        <v>81</v>
      </c>
      <c r="E274" t="s">
        <v>550</v>
      </c>
      <c r="F274">
        <v>1154</v>
      </c>
      <c r="G274" t="s">
        <v>1044</v>
      </c>
      <c r="I274">
        <v>10034673</v>
      </c>
      <c r="J274" t="s">
        <v>1746</v>
      </c>
      <c r="K274">
        <v>800157</v>
      </c>
      <c r="L274">
        <v>1</v>
      </c>
      <c r="M274" t="s">
        <v>1596</v>
      </c>
      <c r="N274" t="s">
        <v>252</v>
      </c>
      <c r="O274">
        <v>777600</v>
      </c>
    </row>
    <row r="275" spans="1:15" x14ac:dyDescent="0.4">
      <c r="A275" t="s">
        <v>203</v>
      </c>
      <c r="B275">
        <v>70</v>
      </c>
      <c r="C275" t="s">
        <v>2</v>
      </c>
      <c r="D275">
        <v>41</v>
      </c>
      <c r="E275" t="s">
        <v>306</v>
      </c>
      <c r="F275">
        <v>1383</v>
      </c>
      <c r="G275" t="s">
        <v>957</v>
      </c>
      <c r="I275">
        <v>10054215</v>
      </c>
      <c r="J275" t="s">
        <v>1747</v>
      </c>
      <c r="K275">
        <v>800159</v>
      </c>
      <c r="L275">
        <v>1</v>
      </c>
      <c r="M275" t="s">
        <v>290</v>
      </c>
      <c r="N275" t="s">
        <v>295</v>
      </c>
      <c r="O275">
        <v>1428000</v>
      </c>
    </row>
    <row r="276" spans="1:15" x14ac:dyDescent="0.4">
      <c r="A276" t="s">
        <v>220</v>
      </c>
      <c r="B276">
        <v>76</v>
      </c>
      <c r="C276" t="s">
        <v>6</v>
      </c>
      <c r="D276">
        <v>61</v>
      </c>
      <c r="E276" t="s">
        <v>703</v>
      </c>
      <c r="F276">
        <v>1472</v>
      </c>
      <c r="G276" t="s">
        <v>998</v>
      </c>
      <c r="I276">
        <v>10025550</v>
      </c>
      <c r="J276" t="s">
        <v>1748</v>
      </c>
      <c r="K276">
        <v>800157</v>
      </c>
      <c r="L276">
        <v>1</v>
      </c>
      <c r="M276" t="s">
        <v>203</v>
      </c>
      <c r="N276" t="s">
        <v>206</v>
      </c>
      <c r="O276">
        <v>803200</v>
      </c>
    </row>
    <row r="277" spans="1:15" x14ac:dyDescent="0.4">
      <c r="A277" t="s">
        <v>1469</v>
      </c>
      <c r="B277">
        <v>70</v>
      </c>
      <c r="C277" t="s">
        <v>2</v>
      </c>
      <c r="D277">
        <v>41</v>
      </c>
      <c r="E277" t="s">
        <v>306</v>
      </c>
      <c r="F277">
        <v>1383</v>
      </c>
      <c r="G277" t="s">
        <v>957</v>
      </c>
      <c r="I277">
        <v>20008180</v>
      </c>
      <c r="J277" t="s">
        <v>1749</v>
      </c>
      <c r="K277">
        <v>800157</v>
      </c>
      <c r="L277">
        <v>1</v>
      </c>
      <c r="M277" t="s">
        <v>1475</v>
      </c>
      <c r="N277" t="s">
        <v>187</v>
      </c>
      <c r="O277">
        <v>784000</v>
      </c>
    </row>
    <row r="278" spans="1:15" x14ac:dyDescent="0.4">
      <c r="A278" t="s">
        <v>185</v>
      </c>
      <c r="B278">
        <v>76</v>
      </c>
      <c r="C278" t="s">
        <v>6</v>
      </c>
      <c r="D278">
        <v>61</v>
      </c>
      <c r="E278" t="s">
        <v>703</v>
      </c>
      <c r="F278">
        <v>1563</v>
      </c>
      <c r="G278" t="s">
        <v>942</v>
      </c>
      <c r="I278">
        <v>20008359</v>
      </c>
      <c r="J278" t="s">
        <v>1750</v>
      </c>
      <c r="K278">
        <v>800157</v>
      </c>
      <c r="L278">
        <v>1</v>
      </c>
      <c r="M278" t="s">
        <v>275</v>
      </c>
      <c r="N278" t="s">
        <v>232</v>
      </c>
      <c r="O278">
        <v>828800</v>
      </c>
    </row>
    <row r="279" spans="1:15" x14ac:dyDescent="0.4">
      <c r="A279" t="s">
        <v>258</v>
      </c>
      <c r="B279">
        <v>70</v>
      </c>
      <c r="C279" t="s">
        <v>2</v>
      </c>
      <c r="D279">
        <v>41</v>
      </c>
      <c r="E279" t="s">
        <v>306</v>
      </c>
      <c r="F279">
        <v>1510</v>
      </c>
      <c r="G279" t="s">
        <v>870</v>
      </c>
      <c r="I279">
        <v>20005804</v>
      </c>
      <c r="J279" t="s">
        <v>1751</v>
      </c>
      <c r="K279">
        <v>800159</v>
      </c>
      <c r="L279">
        <v>1</v>
      </c>
      <c r="M279" t="s">
        <v>221</v>
      </c>
      <c r="N279" t="s">
        <v>331</v>
      </c>
      <c r="O279">
        <v>1347000</v>
      </c>
    </row>
    <row r="280" spans="1:15" x14ac:dyDescent="0.4">
      <c r="A280" t="s">
        <v>220</v>
      </c>
      <c r="B280">
        <v>80</v>
      </c>
      <c r="C280" t="s">
        <v>4</v>
      </c>
      <c r="D280">
        <v>81</v>
      </c>
      <c r="E280" t="s">
        <v>550</v>
      </c>
      <c r="F280">
        <v>1154</v>
      </c>
      <c r="G280" t="s">
        <v>1044</v>
      </c>
      <c r="I280">
        <v>10067763</v>
      </c>
      <c r="J280" t="s">
        <v>1752</v>
      </c>
      <c r="K280">
        <v>800159</v>
      </c>
      <c r="L280">
        <v>1</v>
      </c>
      <c r="M280" t="s">
        <v>203</v>
      </c>
      <c r="N280" t="s">
        <v>208</v>
      </c>
      <c r="O280">
        <v>1320000</v>
      </c>
    </row>
    <row r="281" spans="1:15" x14ac:dyDescent="0.4">
      <c r="A281" t="s">
        <v>185</v>
      </c>
      <c r="B281">
        <v>76</v>
      </c>
      <c r="C281" t="s">
        <v>6</v>
      </c>
      <c r="D281">
        <v>61</v>
      </c>
      <c r="E281" t="s">
        <v>703</v>
      </c>
      <c r="F281">
        <v>1468</v>
      </c>
      <c r="G281" t="s">
        <v>914</v>
      </c>
      <c r="I281">
        <v>20008305</v>
      </c>
      <c r="J281" t="s">
        <v>1753</v>
      </c>
      <c r="K281">
        <v>800157</v>
      </c>
      <c r="L281">
        <v>1</v>
      </c>
      <c r="M281" t="s">
        <v>275</v>
      </c>
      <c r="N281" t="s">
        <v>232</v>
      </c>
      <c r="O281">
        <v>784000</v>
      </c>
    </row>
    <row r="282" spans="1:15" x14ac:dyDescent="0.4">
      <c r="A282" t="s">
        <v>275</v>
      </c>
      <c r="B282">
        <v>76</v>
      </c>
      <c r="C282" t="s">
        <v>6</v>
      </c>
      <c r="D282">
        <v>61</v>
      </c>
      <c r="E282" t="s">
        <v>703</v>
      </c>
      <c r="F282">
        <v>1475</v>
      </c>
      <c r="G282" t="s">
        <v>909</v>
      </c>
      <c r="I282">
        <v>10021282</v>
      </c>
      <c r="J282" t="s">
        <v>1565</v>
      </c>
      <c r="K282">
        <v>800159</v>
      </c>
      <c r="L282">
        <v>1</v>
      </c>
      <c r="M282" t="s">
        <v>281</v>
      </c>
      <c r="N282" t="s">
        <v>246</v>
      </c>
      <c r="O282">
        <v>1368600</v>
      </c>
    </row>
    <row r="283" spans="1:15" x14ac:dyDescent="0.4">
      <c r="A283" t="s">
        <v>220</v>
      </c>
      <c r="B283">
        <v>80</v>
      </c>
      <c r="C283" t="s">
        <v>4</v>
      </c>
      <c r="D283">
        <v>71</v>
      </c>
      <c r="E283" t="s">
        <v>556</v>
      </c>
      <c r="F283">
        <v>1296</v>
      </c>
      <c r="G283" t="s">
        <v>964</v>
      </c>
      <c r="I283">
        <v>20008445</v>
      </c>
      <c r="J283" t="s">
        <v>1754</v>
      </c>
      <c r="K283">
        <v>800159</v>
      </c>
      <c r="L283">
        <v>1</v>
      </c>
      <c r="M283" t="s">
        <v>203</v>
      </c>
      <c r="N283" t="s">
        <v>208</v>
      </c>
      <c r="O283">
        <v>1379400</v>
      </c>
    </row>
    <row r="284" spans="1:15" x14ac:dyDescent="0.4">
      <c r="A284" t="s">
        <v>1475</v>
      </c>
      <c r="B284">
        <v>76</v>
      </c>
      <c r="C284" t="s">
        <v>6</v>
      </c>
      <c r="D284">
        <v>61</v>
      </c>
      <c r="E284" t="s">
        <v>703</v>
      </c>
      <c r="F284">
        <v>1563</v>
      </c>
      <c r="G284" t="s">
        <v>942</v>
      </c>
      <c r="I284">
        <v>20008434</v>
      </c>
      <c r="J284" t="s">
        <v>1755</v>
      </c>
      <c r="K284">
        <v>800157</v>
      </c>
      <c r="L284">
        <v>1</v>
      </c>
      <c r="M284" t="s">
        <v>1479</v>
      </c>
      <c r="N284" t="s">
        <v>231</v>
      </c>
      <c r="O284">
        <v>848000</v>
      </c>
    </row>
    <row r="285" spans="1:15" x14ac:dyDescent="0.4">
      <c r="A285" t="s">
        <v>185</v>
      </c>
      <c r="B285">
        <v>75</v>
      </c>
      <c r="C285" t="s">
        <v>5</v>
      </c>
      <c r="D285">
        <v>51</v>
      </c>
      <c r="E285" t="s">
        <v>657</v>
      </c>
      <c r="F285">
        <v>1365</v>
      </c>
      <c r="G285" t="s">
        <v>1148</v>
      </c>
      <c r="I285">
        <v>10062603</v>
      </c>
      <c r="J285" t="s">
        <v>1756</v>
      </c>
      <c r="K285">
        <v>800158</v>
      </c>
      <c r="L285">
        <v>1</v>
      </c>
      <c r="M285" t="s">
        <v>275</v>
      </c>
      <c r="N285" t="s">
        <v>233</v>
      </c>
      <c r="O285">
        <v>1056000</v>
      </c>
    </row>
    <row r="286" spans="1:15" x14ac:dyDescent="0.4">
      <c r="A286" t="s">
        <v>220</v>
      </c>
      <c r="B286">
        <v>60</v>
      </c>
      <c r="C286" t="s">
        <v>3</v>
      </c>
      <c r="D286">
        <v>31</v>
      </c>
      <c r="E286" t="s">
        <v>447</v>
      </c>
      <c r="F286">
        <v>1116</v>
      </c>
      <c r="G286" t="s">
        <v>1075</v>
      </c>
      <c r="I286">
        <v>10062209</v>
      </c>
      <c r="J286" t="s">
        <v>1757</v>
      </c>
      <c r="K286">
        <v>800159</v>
      </c>
      <c r="L286">
        <v>1</v>
      </c>
      <c r="M286" t="s">
        <v>203</v>
      </c>
      <c r="N286" t="s">
        <v>208</v>
      </c>
      <c r="O286">
        <v>1320000</v>
      </c>
    </row>
    <row r="287" spans="1:15" x14ac:dyDescent="0.4">
      <c r="A287" t="s">
        <v>1594</v>
      </c>
      <c r="B287">
        <v>70</v>
      </c>
      <c r="C287" t="s">
        <v>2</v>
      </c>
      <c r="D287">
        <v>41</v>
      </c>
      <c r="E287" t="s">
        <v>306</v>
      </c>
      <c r="F287">
        <v>1445</v>
      </c>
      <c r="G287" t="s">
        <v>886</v>
      </c>
      <c r="I287">
        <v>10046592</v>
      </c>
      <c r="J287" t="s">
        <v>1758</v>
      </c>
      <c r="K287">
        <v>800159</v>
      </c>
      <c r="L287">
        <v>1</v>
      </c>
      <c r="M287" t="s">
        <v>1596</v>
      </c>
      <c r="N287" t="s">
        <v>254</v>
      </c>
      <c r="O287">
        <v>1330800</v>
      </c>
    </row>
    <row r="288" spans="1:15" x14ac:dyDescent="0.4">
      <c r="A288" t="s">
        <v>311</v>
      </c>
      <c r="B288">
        <v>50</v>
      </c>
      <c r="C288" t="s">
        <v>1</v>
      </c>
      <c r="D288">
        <v>21</v>
      </c>
      <c r="E288" t="s">
        <v>182</v>
      </c>
      <c r="F288">
        <v>1345</v>
      </c>
      <c r="G288" t="s">
        <v>874</v>
      </c>
      <c r="I288">
        <v>10047688</v>
      </c>
      <c r="J288" t="s">
        <v>1759</v>
      </c>
      <c r="K288">
        <v>800159</v>
      </c>
      <c r="L288">
        <v>1</v>
      </c>
      <c r="M288" t="s">
        <v>258</v>
      </c>
      <c r="N288" t="s">
        <v>263</v>
      </c>
      <c r="O288">
        <v>990000</v>
      </c>
    </row>
    <row r="289" spans="1:15" x14ac:dyDescent="0.4">
      <c r="A289" t="s">
        <v>1589</v>
      </c>
      <c r="B289">
        <v>60</v>
      </c>
      <c r="C289" t="s">
        <v>3</v>
      </c>
      <c r="D289">
        <v>33</v>
      </c>
      <c r="E289" t="s">
        <v>451</v>
      </c>
      <c r="F289">
        <v>1372</v>
      </c>
      <c r="G289" t="s">
        <v>992</v>
      </c>
      <c r="I289">
        <v>10038457</v>
      </c>
      <c r="J289" t="s">
        <v>1760</v>
      </c>
      <c r="K289">
        <v>800159</v>
      </c>
      <c r="L289">
        <v>1</v>
      </c>
      <c r="M289" t="s">
        <v>1594</v>
      </c>
      <c r="N289" t="s">
        <v>294</v>
      </c>
      <c r="O289">
        <v>1242000</v>
      </c>
    </row>
    <row r="290" spans="1:15" x14ac:dyDescent="0.4">
      <c r="A290" t="s">
        <v>1548</v>
      </c>
      <c r="B290">
        <v>76</v>
      </c>
      <c r="C290" t="s">
        <v>6</v>
      </c>
      <c r="D290">
        <v>61</v>
      </c>
      <c r="E290" t="s">
        <v>703</v>
      </c>
      <c r="F290">
        <v>1475</v>
      </c>
      <c r="G290" t="s">
        <v>909</v>
      </c>
      <c r="I290">
        <v>10057122</v>
      </c>
      <c r="J290" t="s">
        <v>1761</v>
      </c>
      <c r="K290">
        <v>800157</v>
      </c>
      <c r="L290">
        <v>1</v>
      </c>
      <c r="M290" t="s">
        <v>1586</v>
      </c>
      <c r="N290" t="s">
        <v>222</v>
      </c>
      <c r="O290">
        <v>822400</v>
      </c>
    </row>
    <row r="291" spans="1:15" x14ac:dyDescent="0.4">
      <c r="A291" t="s">
        <v>185</v>
      </c>
      <c r="B291">
        <v>76</v>
      </c>
      <c r="C291" t="s">
        <v>6</v>
      </c>
      <c r="D291">
        <v>61</v>
      </c>
      <c r="E291" t="s">
        <v>703</v>
      </c>
      <c r="F291">
        <v>1468</v>
      </c>
      <c r="G291" t="s">
        <v>914</v>
      </c>
      <c r="I291">
        <v>10085061</v>
      </c>
      <c r="J291" t="s">
        <v>1762</v>
      </c>
      <c r="K291">
        <v>800159</v>
      </c>
      <c r="L291">
        <v>1</v>
      </c>
      <c r="M291" t="s">
        <v>275</v>
      </c>
      <c r="N291" t="s">
        <v>234</v>
      </c>
      <c r="O291">
        <v>1357800</v>
      </c>
    </row>
    <row r="292" spans="1:15" x14ac:dyDescent="0.4">
      <c r="A292" t="s">
        <v>268</v>
      </c>
      <c r="B292">
        <v>60</v>
      </c>
      <c r="C292" t="s">
        <v>3</v>
      </c>
      <c r="D292">
        <v>33</v>
      </c>
      <c r="E292" t="s">
        <v>451</v>
      </c>
      <c r="F292">
        <v>1505</v>
      </c>
      <c r="G292" t="s">
        <v>900</v>
      </c>
      <c r="I292">
        <v>20009649</v>
      </c>
      <c r="J292" t="s">
        <v>269</v>
      </c>
      <c r="K292">
        <v>800159</v>
      </c>
      <c r="L292">
        <v>1</v>
      </c>
      <c r="M292" t="s">
        <v>195</v>
      </c>
      <c r="N292" t="s">
        <v>200</v>
      </c>
      <c r="O292">
        <v>1330800</v>
      </c>
    </row>
    <row r="293" spans="1:15" x14ac:dyDescent="0.4">
      <c r="A293" t="s">
        <v>185</v>
      </c>
      <c r="B293">
        <v>70</v>
      </c>
      <c r="C293" t="s">
        <v>2</v>
      </c>
      <c r="D293">
        <v>41</v>
      </c>
      <c r="E293" t="s">
        <v>306</v>
      </c>
      <c r="F293">
        <v>1118</v>
      </c>
      <c r="G293" t="s">
        <v>1471</v>
      </c>
      <c r="I293">
        <v>20008455</v>
      </c>
      <c r="J293" t="s">
        <v>1763</v>
      </c>
      <c r="K293">
        <v>800157</v>
      </c>
      <c r="L293">
        <v>1</v>
      </c>
      <c r="M293" t="s">
        <v>275</v>
      </c>
      <c r="N293" t="s">
        <v>232</v>
      </c>
      <c r="O293">
        <v>972000</v>
      </c>
    </row>
    <row r="294" spans="1:15" x14ac:dyDescent="0.4">
      <c r="A294" t="s">
        <v>1587</v>
      </c>
      <c r="B294">
        <v>75</v>
      </c>
      <c r="C294" t="s">
        <v>5</v>
      </c>
      <c r="D294">
        <v>51</v>
      </c>
      <c r="E294" t="s">
        <v>657</v>
      </c>
      <c r="F294">
        <v>1365</v>
      </c>
      <c r="G294" t="s">
        <v>1148</v>
      </c>
      <c r="I294">
        <v>20008518</v>
      </c>
      <c r="J294" t="s">
        <v>1764</v>
      </c>
      <c r="K294">
        <v>800157</v>
      </c>
      <c r="L294">
        <v>1</v>
      </c>
      <c r="M294" t="s">
        <v>1548</v>
      </c>
      <c r="N294" t="s">
        <v>327</v>
      </c>
      <c r="O294">
        <v>809600</v>
      </c>
    </row>
    <row r="295" spans="1:15" x14ac:dyDescent="0.4">
      <c r="A295" t="s">
        <v>1475</v>
      </c>
      <c r="B295">
        <v>70</v>
      </c>
      <c r="C295" t="s">
        <v>2</v>
      </c>
      <c r="D295">
        <v>41</v>
      </c>
      <c r="E295" t="s">
        <v>306</v>
      </c>
      <c r="F295">
        <v>1552</v>
      </c>
      <c r="G295" t="s">
        <v>929</v>
      </c>
      <c r="I295">
        <v>20008532</v>
      </c>
      <c r="J295" t="s">
        <v>1765</v>
      </c>
      <c r="K295">
        <v>800157</v>
      </c>
      <c r="L295">
        <v>1</v>
      </c>
      <c r="M295" t="s">
        <v>1479</v>
      </c>
      <c r="N295" t="s">
        <v>231</v>
      </c>
      <c r="O295">
        <v>832000</v>
      </c>
    </row>
    <row r="296" spans="1:15" x14ac:dyDescent="0.4">
      <c r="A296" t="s">
        <v>250</v>
      </c>
      <c r="B296">
        <v>75</v>
      </c>
      <c r="C296" t="s">
        <v>5</v>
      </c>
      <c r="D296">
        <v>51</v>
      </c>
      <c r="E296" t="s">
        <v>657</v>
      </c>
      <c r="F296">
        <v>1435</v>
      </c>
      <c r="G296" t="s">
        <v>860</v>
      </c>
      <c r="I296">
        <v>10009436</v>
      </c>
      <c r="J296" t="s">
        <v>1766</v>
      </c>
      <c r="K296">
        <v>800159</v>
      </c>
      <c r="L296">
        <v>1</v>
      </c>
      <c r="M296" t="s">
        <v>196</v>
      </c>
      <c r="N296" t="s">
        <v>215</v>
      </c>
      <c r="O296">
        <v>1320000</v>
      </c>
    </row>
    <row r="297" spans="1:15" x14ac:dyDescent="0.4">
      <c r="A297" t="s">
        <v>220</v>
      </c>
      <c r="B297">
        <v>70</v>
      </c>
      <c r="C297" t="s">
        <v>2</v>
      </c>
      <c r="D297">
        <v>41</v>
      </c>
      <c r="E297" t="s">
        <v>306</v>
      </c>
      <c r="F297">
        <v>1552</v>
      </c>
      <c r="G297" t="s">
        <v>929</v>
      </c>
      <c r="I297">
        <v>20008336</v>
      </c>
      <c r="J297" t="s">
        <v>1767</v>
      </c>
      <c r="K297">
        <v>800159</v>
      </c>
      <c r="L297">
        <v>1</v>
      </c>
      <c r="M297" t="s">
        <v>203</v>
      </c>
      <c r="N297" t="s">
        <v>208</v>
      </c>
      <c r="O297">
        <v>1433400</v>
      </c>
    </row>
    <row r="298" spans="1:15" x14ac:dyDescent="0.4">
      <c r="A298" t="s">
        <v>238</v>
      </c>
      <c r="B298">
        <v>50</v>
      </c>
      <c r="C298" t="s">
        <v>1</v>
      </c>
      <c r="D298">
        <v>21</v>
      </c>
      <c r="E298" t="s">
        <v>182</v>
      </c>
      <c r="F298">
        <v>1166</v>
      </c>
      <c r="G298" t="s">
        <v>1082</v>
      </c>
      <c r="I298">
        <v>10025274</v>
      </c>
      <c r="J298" t="s">
        <v>1768</v>
      </c>
      <c r="K298">
        <v>800157</v>
      </c>
      <c r="L298">
        <v>1</v>
      </c>
      <c r="M298" t="s">
        <v>230</v>
      </c>
      <c r="N298" t="s">
        <v>233</v>
      </c>
      <c r="O298">
        <v>468000</v>
      </c>
    </row>
    <row r="299" spans="1:15" x14ac:dyDescent="0.4">
      <c r="A299" t="s">
        <v>275</v>
      </c>
      <c r="B299">
        <v>50</v>
      </c>
      <c r="C299" t="s">
        <v>1</v>
      </c>
      <c r="D299">
        <v>11</v>
      </c>
      <c r="E299" t="s">
        <v>192</v>
      </c>
      <c r="F299">
        <v>1353</v>
      </c>
      <c r="G299" t="s">
        <v>1017</v>
      </c>
      <c r="I299">
        <v>10080636</v>
      </c>
      <c r="J299" t="s">
        <v>1769</v>
      </c>
      <c r="K299">
        <v>800155</v>
      </c>
      <c r="L299">
        <v>1</v>
      </c>
      <c r="M299" t="s">
        <v>281</v>
      </c>
      <c r="N299" t="s">
        <v>230</v>
      </c>
      <c r="O299">
        <v>255600</v>
      </c>
    </row>
    <row r="300" spans="1:15" x14ac:dyDescent="0.4">
      <c r="A300" t="s">
        <v>230</v>
      </c>
      <c r="B300">
        <v>50</v>
      </c>
      <c r="C300" t="s">
        <v>1</v>
      </c>
      <c r="D300">
        <v>11</v>
      </c>
      <c r="E300" t="s">
        <v>192</v>
      </c>
      <c r="F300">
        <v>1353</v>
      </c>
      <c r="G300" t="s">
        <v>1017</v>
      </c>
      <c r="I300">
        <v>10080636</v>
      </c>
      <c r="J300" t="s">
        <v>1769</v>
      </c>
      <c r="K300">
        <v>800155</v>
      </c>
      <c r="L300">
        <v>1</v>
      </c>
      <c r="M300" t="s">
        <v>242</v>
      </c>
      <c r="N300" t="s">
        <v>243</v>
      </c>
      <c r="O300">
        <v>261600</v>
      </c>
    </row>
    <row r="301" spans="1:15" x14ac:dyDescent="0.4">
      <c r="A301" t="s">
        <v>1469</v>
      </c>
      <c r="B301">
        <v>60</v>
      </c>
      <c r="C301" t="s">
        <v>3</v>
      </c>
      <c r="D301">
        <v>31</v>
      </c>
      <c r="E301" t="s">
        <v>447</v>
      </c>
      <c r="F301">
        <v>1116</v>
      </c>
      <c r="G301" t="s">
        <v>1075</v>
      </c>
      <c r="I301">
        <v>20008589</v>
      </c>
      <c r="J301" t="s">
        <v>1770</v>
      </c>
      <c r="K301">
        <v>800157</v>
      </c>
      <c r="L301">
        <v>1</v>
      </c>
      <c r="M301" t="s">
        <v>1475</v>
      </c>
      <c r="N301" t="s">
        <v>187</v>
      </c>
      <c r="O301">
        <v>981000</v>
      </c>
    </row>
    <row r="302" spans="1:15" x14ac:dyDescent="0.4">
      <c r="A302" t="s">
        <v>1589</v>
      </c>
      <c r="B302">
        <v>70</v>
      </c>
      <c r="C302" t="s">
        <v>2</v>
      </c>
      <c r="D302">
        <v>41</v>
      </c>
      <c r="E302" t="s">
        <v>306</v>
      </c>
      <c r="F302">
        <v>1383</v>
      </c>
      <c r="G302" t="s">
        <v>957</v>
      </c>
      <c r="I302">
        <v>10025526</v>
      </c>
      <c r="J302" t="s">
        <v>1684</v>
      </c>
      <c r="K302">
        <v>800159</v>
      </c>
      <c r="L302">
        <v>1</v>
      </c>
      <c r="M302" t="s">
        <v>1594</v>
      </c>
      <c r="N302" t="s">
        <v>294</v>
      </c>
      <c r="O302">
        <v>1350000</v>
      </c>
    </row>
    <row r="303" spans="1:15" x14ac:dyDescent="0.4">
      <c r="A303" t="s">
        <v>186</v>
      </c>
      <c r="B303">
        <v>60</v>
      </c>
      <c r="C303" t="s">
        <v>3</v>
      </c>
      <c r="D303">
        <v>33</v>
      </c>
      <c r="E303" t="s">
        <v>451</v>
      </c>
      <c r="F303">
        <v>1505</v>
      </c>
      <c r="G303" t="s">
        <v>900</v>
      </c>
      <c r="I303">
        <v>20008658</v>
      </c>
      <c r="J303" t="s">
        <v>1771</v>
      </c>
      <c r="K303">
        <v>800159</v>
      </c>
      <c r="L303">
        <v>1</v>
      </c>
      <c r="M303" t="s">
        <v>238</v>
      </c>
      <c r="N303" t="s">
        <v>239</v>
      </c>
      <c r="O303">
        <v>1401000</v>
      </c>
    </row>
    <row r="304" spans="1:15" x14ac:dyDescent="0.4">
      <c r="A304" t="s">
        <v>1523</v>
      </c>
      <c r="B304">
        <v>70</v>
      </c>
      <c r="C304" t="s">
        <v>2</v>
      </c>
      <c r="D304">
        <v>41</v>
      </c>
      <c r="E304" t="s">
        <v>306</v>
      </c>
      <c r="F304">
        <v>1552</v>
      </c>
      <c r="G304" t="s">
        <v>929</v>
      </c>
      <c r="I304">
        <v>10061179</v>
      </c>
      <c r="J304" t="s">
        <v>1772</v>
      </c>
      <c r="K304">
        <v>800157</v>
      </c>
      <c r="L304">
        <v>1</v>
      </c>
      <c r="M304" t="s">
        <v>1587</v>
      </c>
      <c r="N304" t="s">
        <v>259</v>
      </c>
      <c r="O304">
        <v>784000</v>
      </c>
    </row>
    <row r="305" spans="1:15" x14ac:dyDescent="0.4">
      <c r="A305" t="s">
        <v>281</v>
      </c>
      <c r="B305">
        <v>80</v>
      </c>
      <c r="C305" t="s">
        <v>4</v>
      </c>
      <c r="D305">
        <v>81</v>
      </c>
      <c r="E305" t="s">
        <v>550</v>
      </c>
      <c r="F305">
        <v>1322</v>
      </c>
      <c r="G305" t="s">
        <v>961</v>
      </c>
      <c r="I305">
        <v>20008413</v>
      </c>
      <c r="J305" t="s">
        <v>1773</v>
      </c>
      <c r="K305">
        <v>800159</v>
      </c>
      <c r="L305">
        <v>1</v>
      </c>
      <c r="M305" t="s">
        <v>363</v>
      </c>
      <c r="N305" t="s">
        <v>315</v>
      </c>
      <c r="O305">
        <v>1460400</v>
      </c>
    </row>
    <row r="306" spans="1:15" x14ac:dyDescent="0.4">
      <c r="A306" t="s">
        <v>1586</v>
      </c>
      <c r="B306">
        <v>76</v>
      </c>
      <c r="C306" t="s">
        <v>6</v>
      </c>
      <c r="D306">
        <v>61</v>
      </c>
      <c r="E306" t="s">
        <v>703</v>
      </c>
      <c r="F306">
        <v>1475</v>
      </c>
      <c r="G306" t="s">
        <v>909</v>
      </c>
      <c r="I306">
        <v>10011659</v>
      </c>
      <c r="J306" t="s">
        <v>1774</v>
      </c>
      <c r="K306">
        <v>800159</v>
      </c>
      <c r="L306">
        <v>1</v>
      </c>
      <c r="M306" t="s">
        <v>1589</v>
      </c>
      <c r="N306" t="s">
        <v>207</v>
      </c>
      <c r="O306">
        <v>1352400</v>
      </c>
    </row>
    <row r="307" spans="1:15" x14ac:dyDescent="0.4">
      <c r="A307" t="s">
        <v>1587</v>
      </c>
      <c r="B307">
        <v>76</v>
      </c>
      <c r="C307" t="s">
        <v>6</v>
      </c>
      <c r="D307">
        <v>61</v>
      </c>
      <c r="E307" t="s">
        <v>703</v>
      </c>
      <c r="F307">
        <v>1475</v>
      </c>
      <c r="G307" t="s">
        <v>909</v>
      </c>
      <c r="I307">
        <v>20008813</v>
      </c>
      <c r="J307" t="s">
        <v>1775</v>
      </c>
      <c r="K307">
        <v>800157</v>
      </c>
      <c r="L307">
        <v>1</v>
      </c>
      <c r="M307" t="s">
        <v>1548</v>
      </c>
      <c r="N307" t="s">
        <v>327</v>
      </c>
      <c r="O307">
        <v>851200</v>
      </c>
    </row>
    <row r="308" spans="1:15" x14ac:dyDescent="0.4">
      <c r="A308" t="s">
        <v>1487</v>
      </c>
      <c r="B308">
        <v>76</v>
      </c>
      <c r="C308" t="s">
        <v>6</v>
      </c>
      <c r="D308">
        <v>61</v>
      </c>
      <c r="E308" t="s">
        <v>703</v>
      </c>
      <c r="F308">
        <v>1475</v>
      </c>
      <c r="G308" t="s">
        <v>909</v>
      </c>
      <c r="I308">
        <v>20008602</v>
      </c>
      <c r="J308" t="s">
        <v>1776</v>
      </c>
      <c r="K308">
        <v>800159</v>
      </c>
      <c r="L308">
        <v>1</v>
      </c>
      <c r="M308" t="s">
        <v>1523</v>
      </c>
      <c r="N308" t="s">
        <v>314</v>
      </c>
      <c r="O308">
        <v>1363200</v>
      </c>
    </row>
    <row r="309" spans="1:15" x14ac:dyDescent="0.4">
      <c r="A309" t="s">
        <v>221</v>
      </c>
      <c r="B309">
        <v>60</v>
      </c>
      <c r="C309" t="s">
        <v>3</v>
      </c>
      <c r="D309">
        <v>31</v>
      </c>
      <c r="E309" t="s">
        <v>447</v>
      </c>
      <c r="F309">
        <v>1612</v>
      </c>
      <c r="G309" t="s">
        <v>1720</v>
      </c>
      <c r="I309">
        <v>20008609</v>
      </c>
      <c r="J309" t="s">
        <v>1777</v>
      </c>
      <c r="K309">
        <v>800159</v>
      </c>
      <c r="L309">
        <v>1</v>
      </c>
      <c r="M309" t="s">
        <v>204</v>
      </c>
      <c r="O309">
        <v>1664800</v>
      </c>
    </row>
    <row r="310" spans="1:15" x14ac:dyDescent="0.4">
      <c r="A310" t="s">
        <v>1596</v>
      </c>
      <c r="B310">
        <v>76</v>
      </c>
      <c r="C310" t="s">
        <v>6</v>
      </c>
      <c r="D310">
        <v>61</v>
      </c>
      <c r="E310" t="s">
        <v>703</v>
      </c>
      <c r="F310">
        <v>1475</v>
      </c>
      <c r="G310" t="s">
        <v>909</v>
      </c>
      <c r="I310">
        <v>20008550</v>
      </c>
      <c r="J310" t="s">
        <v>1778</v>
      </c>
      <c r="K310">
        <v>800159</v>
      </c>
      <c r="L310">
        <v>1</v>
      </c>
      <c r="M310" t="s">
        <v>268</v>
      </c>
      <c r="N310" t="s">
        <v>214</v>
      </c>
      <c r="O310">
        <v>1368600</v>
      </c>
    </row>
    <row r="311" spans="1:15" x14ac:dyDescent="0.4">
      <c r="A311" t="s">
        <v>290</v>
      </c>
      <c r="B311">
        <v>60</v>
      </c>
      <c r="C311" t="s">
        <v>3</v>
      </c>
      <c r="D311">
        <v>33</v>
      </c>
      <c r="E311" t="s">
        <v>451</v>
      </c>
      <c r="F311">
        <v>1505</v>
      </c>
      <c r="G311" t="s">
        <v>900</v>
      </c>
      <c r="I311">
        <v>20009846</v>
      </c>
      <c r="J311" t="s">
        <v>1779</v>
      </c>
      <c r="K311">
        <v>800157</v>
      </c>
      <c r="L311">
        <v>1</v>
      </c>
      <c r="M311" t="s">
        <v>250</v>
      </c>
      <c r="N311" t="s">
        <v>253</v>
      </c>
      <c r="O311">
        <v>936000</v>
      </c>
    </row>
    <row r="312" spans="1:15" x14ac:dyDescent="0.4">
      <c r="A312" t="s">
        <v>1589</v>
      </c>
      <c r="B312">
        <v>50</v>
      </c>
      <c r="C312" t="s">
        <v>1</v>
      </c>
      <c r="D312">
        <v>11</v>
      </c>
      <c r="E312" t="s">
        <v>192</v>
      </c>
      <c r="F312">
        <v>1353</v>
      </c>
      <c r="G312" t="s">
        <v>1017</v>
      </c>
      <c r="I312">
        <v>10049203</v>
      </c>
      <c r="J312" t="s">
        <v>1780</v>
      </c>
      <c r="K312">
        <v>800157</v>
      </c>
      <c r="L312">
        <v>1</v>
      </c>
      <c r="M312" t="s">
        <v>1594</v>
      </c>
      <c r="N312" t="s">
        <v>292</v>
      </c>
      <c r="O312">
        <v>720000</v>
      </c>
    </row>
    <row r="313" spans="1:15" x14ac:dyDescent="0.4">
      <c r="A313" t="s">
        <v>250</v>
      </c>
      <c r="B313">
        <v>80</v>
      </c>
      <c r="C313" t="s">
        <v>4</v>
      </c>
      <c r="D313">
        <v>81</v>
      </c>
      <c r="E313" t="s">
        <v>550</v>
      </c>
      <c r="F313">
        <v>1322</v>
      </c>
      <c r="G313" t="s">
        <v>961</v>
      </c>
      <c r="I313">
        <v>10017925</v>
      </c>
      <c r="J313" t="s">
        <v>1781</v>
      </c>
      <c r="K313">
        <v>800157</v>
      </c>
      <c r="L313">
        <v>1</v>
      </c>
      <c r="M313" t="s">
        <v>196</v>
      </c>
      <c r="N313" t="s">
        <v>213</v>
      </c>
      <c r="O313">
        <v>873600</v>
      </c>
    </row>
    <row r="314" spans="1:15" x14ac:dyDescent="0.4">
      <c r="A314" t="s">
        <v>220</v>
      </c>
      <c r="B314">
        <v>80</v>
      </c>
      <c r="C314" t="s">
        <v>4</v>
      </c>
      <c r="D314">
        <v>81</v>
      </c>
      <c r="E314" t="s">
        <v>550</v>
      </c>
      <c r="F314">
        <v>1154</v>
      </c>
      <c r="G314" t="s">
        <v>1044</v>
      </c>
      <c r="I314">
        <v>10061246</v>
      </c>
      <c r="J314" t="s">
        <v>1782</v>
      </c>
      <c r="K314">
        <v>800159</v>
      </c>
      <c r="L314">
        <v>1</v>
      </c>
      <c r="M314" t="s">
        <v>203</v>
      </c>
      <c r="N314" t="s">
        <v>208</v>
      </c>
      <c r="O314">
        <v>1325400</v>
      </c>
    </row>
    <row r="315" spans="1:15" x14ac:dyDescent="0.4">
      <c r="A315" t="s">
        <v>258</v>
      </c>
      <c r="B315">
        <v>60</v>
      </c>
      <c r="C315" t="s">
        <v>3</v>
      </c>
      <c r="D315">
        <v>31</v>
      </c>
      <c r="E315" t="s">
        <v>447</v>
      </c>
      <c r="F315">
        <v>1367</v>
      </c>
      <c r="G315" t="s">
        <v>977</v>
      </c>
      <c r="I315">
        <v>10073058</v>
      </c>
      <c r="J315" t="s">
        <v>1783</v>
      </c>
      <c r="K315">
        <v>800159</v>
      </c>
      <c r="L315">
        <v>1</v>
      </c>
      <c r="M315" t="s">
        <v>221</v>
      </c>
      <c r="N315" t="s">
        <v>331</v>
      </c>
      <c r="O315">
        <v>1290000</v>
      </c>
    </row>
    <row r="316" spans="1:15" x14ac:dyDescent="0.4">
      <c r="A316" t="s">
        <v>311</v>
      </c>
      <c r="B316">
        <v>60</v>
      </c>
      <c r="C316" t="s">
        <v>3</v>
      </c>
      <c r="D316">
        <v>33</v>
      </c>
      <c r="E316" t="s">
        <v>451</v>
      </c>
      <c r="F316">
        <v>1273</v>
      </c>
      <c r="G316" t="s">
        <v>1084</v>
      </c>
      <c r="I316">
        <v>10030868</v>
      </c>
      <c r="J316" t="s">
        <v>1784</v>
      </c>
      <c r="K316">
        <v>800159</v>
      </c>
      <c r="L316">
        <v>1</v>
      </c>
      <c r="M316" t="s">
        <v>258</v>
      </c>
      <c r="N316" t="s">
        <v>263</v>
      </c>
      <c r="O316">
        <v>1428000</v>
      </c>
    </row>
    <row r="317" spans="1:15" x14ac:dyDescent="0.4">
      <c r="A317" t="s">
        <v>1596</v>
      </c>
      <c r="B317">
        <v>75</v>
      </c>
      <c r="C317" t="s">
        <v>5</v>
      </c>
      <c r="D317">
        <v>51</v>
      </c>
      <c r="E317" t="s">
        <v>657</v>
      </c>
      <c r="F317">
        <v>1365</v>
      </c>
      <c r="G317" t="s">
        <v>1148</v>
      </c>
      <c r="I317">
        <v>10005199</v>
      </c>
      <c r="J317" t="s">
        <v>1785</v>
      </c>
      <c r="K317">
        <v>800159</v>
      </c>
      <c r="L317">
        <v>1</v>
      </c>
      <c r="M317" t="s">
        <v>268</v>
      </c>
      <c r="N317" t="s">
        <v>214</v>
      </c>
      <c r="O317">
        <v>1422600</v>
      </c>
    </row>
    <row r="318" spans="1:15" x14ac:dyDescent="0.4">
      <c r="A318" t="s">
        <v>1475</v>
      </c>
      <c r="B318">
        <v>80</v>
      </c>
      <c r="C318" t="s">
        <v>4</v>
      </c>
      <c r="D318">
        <v>81</v>
      </c>
      <c r="E318" t="s">
        <v>550</v>
      </c>
      <c r="F318">
        <v>1154</v>
      </c>
      <c r="G318" t="s">
        <v>1044</v>
      </c>
      <c r="I318">
        <v>20009047</v>
      </c>
      <c r="J318" t="s">
        <v>1786</v>
      </c>
      <c r="K318">
        <v>800157</v>
      </c>
      <c r="L318">
        <v>1</v>
      </c>
      <c r="M318" t="s">
        <v>1479</v>
      </c>
      <c r="N318" t="s">
        <v>231</v>
      </c>
      <c r="O318">
        <v>819200</v>
      </c>
    </row>
    <row r="319" spans="1:15" x14ac:dyDescent="0.4">
      <c r="A319" t="s">
        <v>1548</v>
      </c>
      <c r="B319">
        <v>76</v>
      </c>
      <c r="C319" t="s">
        <v>6</v>
      </c>
      <c r="D319">
        <v>61</v>
      </c>
      <c r="E319" t="s">
        <v>703</v>
      </c>
      <c r="F319">
        <v>1475</v>
      </c>
      <c r="G319" t="s">
        <v>909</v>
      </c>
      <c r="I319">
        <v>20008688</v>
      </c>
      <c r="J319" t="s">
        <v>1787</v>
      </c>
      <c r="K319">
        <v>800159</v>
      </c>
      <c r="L319">
        <v>1</v>
      </c>
      <c r="M319" t="s">
        <v>1586</v>
      </c>
      <c r="N319" t="s">
        <v>224</v>
      </c>
      <c r="O319">
        <v>1363200</v>
      </c>
    </row>
    <row r="320" spans="1:15" x14ac:dyDescent="0.4">
      <c r="A320" t="s">
        <v>220</v>
      </c>
      <c r="B320">
        <v>75</v>
      </c>
      <c r="C320" t="s">
        <v>5</v>
      </c>
      <c r="D320">
        <v>52</v>
      </c>
      <c r="E320" t="s">
        <v>665</v>
      </c>
      <c r="F320">
        <v>1403</v>
      </c>
      <c r="G320" t="s">
        <v>925</v>
      </c>
      <c r="I320">
        <v>10040892</v>
      </c>
      <c r="J320" t="s">
        <v>1788</v>
      </c>
      <c r="K320">
        <v>800157</v>
      </c>
      <c r="L320">
        <v>1</v>
      </c>
      <c r="M320" t="s">
        <v>203</v>
      </c>
      <c r="N320" t="s">
        <v>206</v>
      </c>
      <c r="O320">
        <v>816000</v>
      </c>
    </row>
    <row r="321" spans="1:15" x14ac:dyDescent="0.4">
      <c r="A321" t="s">
        <v>185</v>
      </c>
      <c r="B321">
        <v>80</v>
      </c>
      <c r="C321" t="s">
        <v>4</v>
      </c>
      <c r="D321">
        <v>81</v>
      </c>
      <c r="E321" t="s">
        <v>550</v>
      </c>
      <c r="F321">
        <v>1378</v>
      </c>
      <c r="G321" t="s">
        <v>881</v>
      </c>
      <c r="I321">
        <v>10047076</v>
      </c>
      <c r="J321" t="s">
        <v>1789</v>
      </c>
      <c r="K321">
        <v>800159</v>
      </c>
      <c r="L321">
        <v>1</v>
      </c>
      <c r="M321" t="s">
        <v>275</v>
      </c>
      <c r="N321" t="s">
        <v>234</v>
      </c>
      <c r="O321">
        <v>1320000</v>
      </c>
    </row>
    <row r="322" spans="1:15" x14ac:dyDescent="0.4">
      <c r="A322" t="s">
        <v>1470</v>
      </c>
      <c r="B322">
        <v>75</v>
      </c>
      <c r="C322" t="s">
        <v>5</v>
      </c>
      <c r="D322">
        <v>51</v>
      </c>
      <c r="E322" t="s">
        <v>657</v>
      </c>
      <c r="F322">
        <v>1435</v>
      </c>
      <c r="G322" t="s">
        <v>860</v>
      </c>
      <c r="I322">
        <v>20008741</v>
      </c>
      <c r="J322" t="s">
        <v>1790</v>
      </c>
      <c r="K322">
        <v>800157</v>
      </c>
      <c r="L322">
        <v>1</v>
      </c>
      <c r="M322" t="s">
        <v>1469</v>
      </c>
      <c r="N322" t="s">
        <v>197</v>
      </c>
      <c r="O322">
        <v>790400</v>
      </c>
    </row>
    <row r="323" spans="1:15" x14ac:dyDescent="0.4">
      <c r="A323" t="s">
        <v>1548</v>
      </c>
      <c r="B323">
        <v>76</v>
      </c>
      <c r="C323" t="s">
        <v>6</v>
      </c>
      <c r="D323">
        <v>61</v>
      </c>
      <c r="E323" t="s">
        <v>703</v>
      </c>
      <c r="F323">
        <v>1475</v>
      </c>
      <c r="G323" t="s">
        <v>909</v>
      </c>
      <c r="I323">
        <v>10048558</v>
      </c>
      <c r="J323" t="s">
        <v>1791</v>
      </c>
      <c r="K323">
        <v>800159</v>
      </c>
      <c r="L323">
        <v>1</v>
      </c>
      <c r="M323" t="s">
        <v>1586</v>
      </c>
      <c r="N323" t="s">
        <v>224</v>
      </c>
      <c r="O323">
        <v>1379400</v>
      </c>
    </row>
    <row r="324" spans="1:15" x14ac:dyDescent="0.4">
      <c r="A324" t="s">
        <v>275</v>
      </c>
      <c r="B324">
        <v>75</v>
      </c>
      <c r="C324" t="s">
        <v>5</v>
      </c>
      <c r="D324">
        <v>51</v>
      </c>
      <c r="E324" t="s">
        <v>657</v>
      </c>
      <c r="F324">
        <v>1365</v>
      </c>
      <c r="G324" t="s">
        <v>1148</v>
      </c>
      <c r="I324">
        <v>20008690</v>
      </c>
      <c r="J324" t="s">
        <v>1792</v>
      </c>
      <c r="K324">
        <v>800159</v>
      </c>
      <c r="L324">
        <v>1</v>
      </c>
      <c r="M324" t="s">
        <v>281</v>
      </c>
      <c r="N324" t="s">
        <v>246</v>
      </c>
      <c r="O324">
        <v>1341600</v>
      </c>
    </row>
    <row r="325" spans="1:15" x14ac:dyDescent="0.4">
      <c r="A325" t="s">
        <v>1479</v>
      </c>
      <c r="B325">
        <v>50</v>
      </c>
      <c r="C325" t="s">
        <v>1</v>
      </c>
      <c r="D325">
        <v>21</v>
      </c>
      <c r="E325" t="s">
        <v>182</v>
      </c>
      <c r="F325">
        <v>1345</v>
      </c>
      <c r="G325" t="s">
        <v>874</v>
      </c>
      <c r="I325">
        <v>10002449</v>
      </c>
      <c r="J325" t="s">
        <v>1793</v>
      </c>
      <c r="K325">
        <v>800157</v>
      </c>
      <c r="L325">
        <v>1</v>
      </c>
      <c r="M325" t="s">
        <v>1487</v>
      </c>
      <c r="N325" t="s">
        <v>243</v>
      </c>
      <c r="O325">
        <v>806400</v>
      </c>
    </row>
    <row r="326" spans="1:15" x14ac:dyDescent="0.4">
      <c r="A326" t="s">
        <v>1479</v>
      </c>
      <c r="B326">
        <v>50</v>
      </c>
      <c r="C326" t="s">
        <v>1</v>
      </c>
      <c r="D326">
        <v>21</v>
      </c>
      <c r="E326" t="s">
        <v>182</v>
      </c>
      <c r="F326">
        <v>1264</v>
      </c>
      <c r="G326" t="s">
        <v>1023</v>
      </c>
      <c r="I326">
        <v>10008595</v>
      </c>
      <c r="J326" t="s">
        <v>1794</v>
      </c>
      <c r="K326">
        <v>800157</v>
      </c>
      <c r="L326">
        <v>1</v>
      </c>
      <c r="M326" t="s">
        <v>1487</v>
      </c>
      <c r="N326" t="s">
        <v>243</v>
      </c>
      <c r="O326">
        <v>790400</v>
      </c>
    </row>
    <row r="327" spans="1:15" x14ac:dyDescent="0.4">
      <c r="A327" t="s">
        <v>258</v>
      </c>
      <c r="B327">
        <v>75</v>
      </c>
      <c r="C327" t="s">
        <v>5</v>
      </c>
      <c r="D327">
        <v>51</v>
      </c>
      <c r="E327" t="s">
        <v>657</v>
      </c>
      <c r="F327">
        <v>1415</v>
      </c>
      <c r="G327" t="s">
        <v>1038</v>
      </c>
      <c r="I327">
        <v>10061831</v>
      </c>
      <c r="J327" t="s">
        <v>1795</v>
      </c>
      <c r="K327">
        <v>800159</v>
      </c>
      <c r="L327">
        <v>1</v>
      </c>
      <c r="M327" t="s">
        <v>221</v>
      </c>
      <c r="N327" t="s">
        <v>331</v>
      </c>
      <c r="O327">
        <v>1320000</v>
      </c>
    </row>
    <row r="328" spans="1:15" x14ac:dyDescent="0.4">
      <c r="A328" t="s">
        <v>186</v>
      </c>
      <c r="B328">
        <v>80</v>
      </c>
      <c r="C328" t="s">
        <v>4</v>
      </c>
      <c r="D328">
        <v>71</v>
      </c>
      <c r="E328" t="s">
        <v>556</v>
      </c>
      <c r="F328">
        <v>1296</v>
      </c>
      <c r="G328" t="s">
        <v>964</v>
      </c>
      <c r="I328">
        <v>10024340</v>
      </c>
      <c r="J328" t="s">
        <v>1796</v>
      </c>
      <c r="K328">
        <v>800159</v>
      </c>
      <c r="L328">
        <v>1</v>
      </c>
      <c r="M328" t="s">
        <v>238</v>
      </c>
      <c r="N328" t="s">
        <v>239</v>
      </c>
      <c r="O328">
        <v>870000</v>
      </c>
    </row>
    <row r="329" spans="1:15" x14ac:dyDescent="0.4">
      <c r="A329" t="s">
        <v>268</v>
      </c>
      <c r="B329">
        <v>50</v>
      </c>
      <c r="C329" t="s">
        <v>1</v>
      </c>
      <c r="D329">
        <v>21</v>
      </c>
      <c r="E329" t="s">
        <v>182</v>
      </c>
      <c r="F329">
        <v>1264</v>
      </c>
      <c r="G329" t="s">
        <v>1023</v>
      </c>
      <c r="I329">
        <v>20004887</v>
      </c>
      <c r="J329" t="s">
        <v>1797</v>
      </c>
      <c r="K329">
        <v>800159</v>
      </c>
      <c r="L329">
        <v>1</v>
      </c>
      <c r="M329" t="s">
        <v>195</v>
      </c>
      <c r="N329" t="s">
        <v>200</v>
      </c>
      <c r="O329">
        <v>1444200</v>
      </c>
    </row>
    <row r="330" spans="1:15" x14ac:dyDescent="0.4">
      <c r="A330" t="s">
        <v>1487</v>
      </c>
      <c r="B330">
        <v>76</v>
      </c>
      <c r="C330" t="s">
        <v>6</v>
      </c>
      <c r="D330">
        <v>61</v>
      </c>
      <c r="E330" t="s">
        <v>703</v>
      </c>
      <c r="F330">
        <v>1602</v>
      </c>
      <c r="G330" t="s">
        <v>1013</v>
      </c>
      <c r="I330">
        <v>20005088</v>
      </c>
      <c r="J330" t="s">
        <v>1798</v>
      </c>
      <c r="K330">
        <v>800157</v>
      </c>
      <c r="L330">
        <v>1</v>
      </c>
      <c r="M330" t="s">
        <v>1523</v>
      </c>
      <c r="N330" t="s">
        <v>312</v>
      </c>
      <c r="O330">
        <v>908800</v>
      </c>
    </row>
    <row r="331" spans="1:15" x14ac:dyDescent="0.4">
      <c r="A331" t="s">
        <v>268</v>
      </c>
      <c r="B331">
        <v>75</v>
      </c>
      <c r="C331" t="s">
        <v>5</v>
      </c>
      <c r="D331">
        <v>51</v>
      </c>
      <c r="E331" t="s">
        <v>657</v>
      </c>
      <c r="F331">
        <v>1435</v>
      </c>
      <c r="G331" t="s">
        <v>860</v>
      </c>
      <c r="I331">
        <v>20009632</v>
      </c>
      <c r="J331" t="s">
        <v>1799</v>
      </c>
      <c r="K331">
        <v>800159</v>
      </c>
      <c r="L331">
        <v>1</v>
      </c>
      <c r="M331" t="s">
        <v>195</v>
      </c>
      <c r="N331" t="s">
        <v>200</v>
      </c>
      <c r="O331">
        <v>1320000</v>
      </c>
    </row>
    <row r="332" spans="1:15" x14ac:dyDescent="0.4">
      <c r="A332" t="s">
        <v>1594</v>
      </c>
      <c r="B332">
        <v>60</v>
      </c>
      <c r="C332" t="s">
        <v>3</v>
      </c>
      <c r="D332">
        <v>31</v>
      </c>
      <c r="E332" t="s">
        <v>447</v>
      </c>
      <c r="F332">
        <v>1299</v>
      </c>
      <c r="G332" t="s">
        <v>947</v>
      </c>
      <c r="I332">
        <v>20004894</v>
      </c>
      <c r="J332" t="s">
        <v>1800</v>
      </c>
      <c r="K332">
        <v>800159</v>
      </c>
      <c r="L332">
        <v>1</v>
      </c>
      <c r="M332" t="s">
        <v>1596</v>
      </c>
      <c r="N332" t="s">
        <v>254</v>
      </c>
      <c r="O332">
        <v>1573800</v>
      </c>
    </row>
    <row r="333" spans="1:15" x14ac:dyDescent="0.4">
      <c r="A333" t="s">
        <v>311</v>
      </c>
      <c r="B333">
        <v>76</v>
      </c>
      <c r="C333" t="s">
        <v>6</v>
      </c>
      <c r="D333">
        <v>61</v>
      </c>
      <c r="E333" t="s">
        <v>703</v>
      </c>
      <c r="F333">
        <v>1472</v>
      </c>
      <c r="G333" t="s">
        <v>998</v>
      </c>
      <c r="I333">
        <v>10049529</v>
      </c>
      <c r="J333" t="s">
        <v>1801</v>
      </c>
      <c r="K333">
        <v>800159</v>
      </c>
      <c r="L333">
        <v>1</v>
      </c>
      <c r="M333" t="s">
        <v>258</v>
      </c>
      <c r="N333" t="s">
        <v>263</v>
      </c>
      <c r="O333">
        <v>1492800</v>
      </c>
    </row>
    <row r="334" spans="1:15" x14ac:dyDescent="0.4">
      <c r="A334" t="s">
        <v>376</v>
      </c>
      <c r="B334">
        <v>60</v>
      </c>
      <c r="C334" t="s">
        <v>3</v>
      </c>
      <c r="D334">
        <v>31</v>
      </c>
      <c r="E334" t="s">
        <v>447</v>
      </c>
      <c r="F334">
        <v>1367</v>
      </c>
      <c r="G334" t="s">
        <v>977</v>
      </c>
      <c r="I334">
        <v>20005454</v>
      </c>
      <c r="J334" t="s">
        <v>1802</v>
      </c>
      <c r="K334">
        <v>800157</v>
      </c>
      <c r="L334">
        <v>1</v>
      </c>
      <c r="M334" t="s">
        <v>353</v>
      </c>
      <c r="N334" t="s">
        <v>328</v>
      </c>
      <c r="O334">
        <v>784000</v>
      </c>
    </row>
    <row r="335" spans="1:15" x14ac:dyDescent="0.4">
      <c r="A335" t="s">
        <v>1587</v>
      </c>
      <c r="B335">
        <v>76</v>
      </c>
      <c r="C335" t="s">
        <v>6</v>
      </c>
      <c r="D335">
        <v>61</v>
      </c>
      <c r="E335" t="s">
        <v>703</v>
      </c>
      <c r="F335">
        <v>1216</v>
      </c>
      <c r="G335" t="s">
        <v>1803</v>
      </c>
      <c r="I335">
        <v>10051582</v>
      </c>
      <c r="J335" t="s">
        <v>1804</v>
      </c>
      <c r="K335">
        <v>800157</v>
      </c>
      <c r="L335">
        <v>1</v>
      </c>
      <c r="M335" t="s">
        <v>1548</v>
      </c>
      <c r="N335" t="s">
        <v>327</v>
      </c>
      <c r="O335">
        <v>793600</v>
      </c>
    </row>
    <row r="336" spans="1:15" x14ac:dyDescent="0.4">
      <c r="A336" t="s">
        <v>250</v>
      </c>
      <c r="B336">
        <v>76</v>
      </c>
      <c r="C336" t="s">
        <v>6</v>
      </c>
      <c r="D336">
        <v>61</v>
      </c>
      <c r="E336" t="s">
        <v>703</v>
      </c>
      <c r="F336">
        <v>1472</v>
      </c>
      <c r="G336" t="s">
        <v>998</v>
      </c>
      <c r="I336">
        <v>20005212</v>
      </c>
      <c r="J336" t="s">
        <v>1805</v>
      </c>
      <c r="K336">
        <v>800157</v>
      </c>
      <c r="L336">
        <v>1</v>
      </c>
      <c r="M336" t="s">
        <v>196</v>
      </c>
      <c r="N336" t="s">
        <v>213</v>
      </c>
      <c r="O336">
        <v>784000</v>
      </c>
    </row>
    <row r="337" spans="1:15" x14ac:dyDescent="0.4">
      <c r="A337" t="s">
        <v>376</v>
      </c>
      <c r="B337">
        <v>60</v>
      </c>
      <c r="C337" t="s">
        <v>3</v>
      </c>
      <c r="D337">
        <v>31</v>
      </c>
      <c r="E337" t="s">
        <v>447</v>
      </c>
      <c r="F337">
        <v>1543</v>
      </c>
      <c r="G337" t="s">
        <v>1183</v>
      </c>
      <c r="I337">
        <v>10010391</v>
      </c>
      <c r="J337" t="s">
        <v>1806</v>
      </c>
      <c r="K337">
        <v>800159</v>
      </c>
      <c r="L337">
        <v>1</v>
      </c>
      <c r="M337" t="s">
        <v>353</v>
      </c>
      <c r="N337" t="s">
        <v>330</v>
      </c>
      <c r="O337">
        <v>1260000</v>
      </c>
    </row>
    <row r="338" spans="1:15" x14ac:dyDescent="0.4">
      <c r="A338" t="s">
        <v>376</v>
      </c>
      <c r="B338">
        <v>76</v>
      </c>
      <c r="C338" t="s">
        <v>6</v>
      </c>
      <c r="D338">
        <v>61</v>
      </c>
      <c r="E338" t="s">
        <v>703</v>
      </c>
      <c r="F338">
        <v>1475</v>
      </c>
      <c r="G338" t="s">
        <v>909</v>
      </c>
      <c r="I338">
        <v>10019110</v>
      </c>
      <c r="J338" t="s">
        <v>1807</v>
      </c>
      <c r="K338">
        <v>800159</v>
      </c>
      <c r="L338">
        <v>1</v>
      </c>
      <c r="M338" t="s">
        <v>353</v>
      </c>
      <c r="N338" t="s">
        <v>330</v>
      </c>
      <c r="O338">
        <v>1352400</v>
      </c>
    </row>
    <row r="339" spans="1:15" x14ac:dyDescent="0.4">
      <c r="A339" t="s">
        <v>230</v>
      </c>
      <c r="B339">
        <v>60</v>
      </c>
      <c r="C339" t="s">
        <v>3</v>
      </c>
      <c r="D339">
        <v>31</v>
      </c>
      <c r="E339" t="s">
        <v>447</v>
      </c>
      <c r="F339">
        <v>1612</v>
      </c>
      <c r="G339" t="s">
        <v>1720</v>
      </c>
      <c r="I339">
        <v>20005206</v>
      </c>
      <c r="J339" t="s">
        <v>1808</v>
      </c>
      <c r="K339">
        <v>800157</v>
      </c>
      <c r="L339">
        <v>1</v>
      </c>
      <c r="M339" t="s">
        <v>242</v>
      </c>
      <c r="N339" t="s">
        <v>245</v>
      </c>
      <c r="O339">
        <v>784000</v>
      </c>
    </row>
    <row r="340" spans="1:15" x14ac:dyDescent="0.4">
      <c r="A340" t="s">
        <v>1523</v>
      </c>
      <c r="B340">
        <v>75</v>
      </c>
      <c r="C340" t="s">
        <v>5</v>
      </c>
      <c r="D340">
        <v>51</v>
      </c>
      <c r="E340" t="s">
        <v>657</v>
      </c>
      <c r="F340">
        <v>1435</v>
      </c>
      <c r="G340" t="s">
        <v>860</v>
      </c>
      <c r="I340">
        <v>20005017</v>
      </c>
      <c r="J340" t="s">
        <v>1809</v>
      </c>
      <c r="K340">
        <v>800157</v>
      </c>
      <c r="L340">
        <v>1</v>
      </c>
      <c r="M340" t="s">
        <v>1587</v>
      </c>
      <c r="N340" t="s">
        <v>259</v>
      </c>
      <c r="O340">
        <v>790400</v>
      </c>
    </row>
    <row r="341" spans="1:15" x14ac:dyDescent="0.4">
      <c r="A341" t="s">
        <v>1594</v>
      </c>
      <c r="B341">
        <v>70</v>
      </c>
      <c r="C341" t="s">
        <v>2</v>
      </c>
      <c r="D341">
        <v>41</v>
      </c>
      <c r="E341" t="s">
        <v>306</v>
      </c>
      <c r="F341">
        <v>1561</v>
      </c>
      <c r="G341" t="s">
        <v>1070</v>
      </c>
      <c r="I341">
        <v>20008985</v>
      </c>
      <c r="J341" t="s">
        <v>1810</v>
      </c>
      <c r="K341">
        <v>800157</v>
      </c>
      <c r="L341">
        <v>1</v>
      </c>
      <c r="M341" t="s">
        <v>1596</v>
      </c>
      <c r="N341" t="s">
        <v>252</v>
      </c>
      <c r="O341">
        <v>1023000</v>
      </c>
    </row>
    <row r="342" spans="1:15" x14ac:dyDescent="0.4">
      <c r="A342" t="s">
        <v>1586</v>
      </c>
      <c r="B342">
        <v>60</v>
      </c>
      <c r="C342" t="s">
        <v>3</v>
      </c>
      <c r="D342">
        <v>33</v>
      </c>
      <c r="E342" t="s">
        <v>451</v>
      </c>
      <c r="F342">
        <v>1505</v>
      </c>
      <c r="G342" t="s">
        <v>900</v>
      </c>
      <c r="I342">
        <v>20008801</v>
      </c>
      <c r="J342" t="s">
        <v>1811</v>
      </c>
      <c r="K342">
        <v>800159</v>
      </c>
      <c r="L342">
        <v>1</v>
      </c>
      <c r="M342" t="s">
        <v>1589</v>
      </c>
      <c r="N342" t="s">
        <v>207</v>
      </c>
      <c r="O342">
        <v>1330800</v>
      </c>
    </row>
    <row r="343" spans="1:15" x14ac:dyDescent="0.4">
      <c r="A343" t="s">
        <v>275</v>
      </c>
      <c r="B343">
        <v>70</v>
      </c>
      <c r="C343" t="s">
        <v>2</v>
      </c>
      <c r="D343">
        <v>41</v>
      </c>
      <c r="E343" t="s">
        <v>306</v>
      </c>
      <c r="F343">
        <v>1118</v>
      </c>
      <c r="G343" t="s">
        <v>1471</v>
      </c>
      <c r="I343">
        <v>10046498</v>
      </c>
      <c r="J343" t="s">
        <v>1812</v>
      </c>
      <c r="K343">
        <v>800159</v>
      </c>
      <c r="L343">
        <v>1</v>
      </c>
      <c r="M343" t="s">
        <v>281</v>
      </c>
      <c r="N343" t="s">
        <v>246</v>
      </c>
      <c r="O343">
        <v>1384800</v>
      </c>
    </row>
    <row r="344" spans="1:15" x14ac:dyDescent="0.4">
      <c r="A344" t="s">
        <v>258</v>
      </c>
      <c r="B344">
        <v>80</v>
      </c>
      <c r="C344" t="s">
        <v>4</v>
      </c>
      <c r="D344">
        <v>81</v>
      </c>
      <c r="E344" t="s">
        <v>550</v>
      </c>
      <c r="F344">
        <v>1322</v>
      </c>
      <c r="G344" t="s">
        <v>961</v>
      </c>
      <c r="I344">
        <v>20008032</v>
      </c>
      <c r="J344" t="s">
        <v>1813</v>
      </c>
      <c r="K344">
        <v>800159</v>
      </c>
      <c r="L344">
        <v>1</v>
      </c>
      <c r="M344" t="s">
        <v>221</v>
      </c>
      <c r="N344" t="s">
        <v>331</v>
      </c>
      <c r="O344">
        <v>1363200</v>
      </c>
    </row>
    <row r="345" spans="1:15" x14ac:dyDescent="0.4">
      <c r="A345" t="s">
        <v>1596</v>
      </c>
      <c r="B345">
        <v>76</v>
      </c>
      <c r="C345" t="s">
        <v>6</v>
      </c>
      <c r="D345">
        <v>61</v>
      </c>
      <c r="E345" t="s">
        <v>703</v>
      </c>
      <c r="F345">
        <v>1563</v>
      </c>
      <c r="G345" t="s">
        <v>942</v>
      </c>
      <c r="I345">
        <v>20008890</v>
      </c>
      <c r="J345" t="s">
        <v>1814</v>
      </c>
      <c r="K345">
        <v>800159</v>
      </c>
      <c r="L345">
        <v>1</v>
      </c>
      <c r="M345" t="s">
        <v>268</v>
      </c>
      <c r="N345" t="s">
        <v>214</v>
      </c>
      <c r="O345">
        <v>1384800</v>
      </c>
    </row>
    <row r="346" spans="1:15" x14ac:dyDescent="0.4">
      <c r="A346" t="s">
        <v>1487</v>
      </c>
      <c r="B346">
        <v>80</v>
      </c>
      <c r="C346" t="s">
        <v>4</v>
      </c>
      <c r="D346">
        <v>81</v>
      </c>
      <c r="E346" t="s">
        <v>550</v>
      </c>
      <c r="F346">
        <v>1436</v>
      </c>
      <c r="G346" t="s">
        <v>918</v>
      </c>
      <c r="I346">
        <v>20009072</v>
      </c>
      <c r="J346" t="s">
        <v>1595</v>
      </c>
      <c r="K346">
        <v>800157</v>
      </c>
      <c r="L346">
        <v>1</v>
      </c>
      <c r="M346" t="s">
        <v>1523</v>
      </c>
      <c r="N346" t="s">
        <v>312</v>
      </c>
      <c r="O346">
        <v>784000</v>
      </c>
    </row>
    <row r="347" spans="1:15" x14ac:dyDescent="0.4">
      <c r="A347" t="s">
        <v>1589</v>
      </c>
      <c r="B347">
        <v>75</v>
      </c>
      <c r="C347" t="s">
        <v>5</v>
      </c>
      <c r="D347">
        <v>52</v>
      </c>
      <c r="E347" t="s">
        <v>665</v>
      </c>
      <c r="F347">
        <v>1403</v>
      </c>
      <c r="G347" t="s">
        <v>925</v>
      </c>
      <c r="I347">
        <v>10028443</v>
      </c>
      <c r="J347" t="s">
        <v>1815</v>
      </c>
      <c r="K347">
        <v>800157</v>
      </c>
      <c r="L347">
        <v>1</v>
      </c>
      <c r="M347" t="s">
        <v>1594</v>
      </c>
      <c r="N347" t="s">
        <v>292</v>
      </c>
      <c r="O347">
        <v>822400</v>
      </c>
    </row>
    <row r="348" spans="1:15" x14ac:dyDescent="0.4">
      <c r="A348" t="s">
        <v>353</v>
      </c>
      <c r="B348">
        <v>76</v>
      </c>
      <c r="C348" t="s">
        <v>6</v>
      </c>
      <c r="D348">
        <v>61</v>
      </c>
      <c r="E348" t="s">
        <v>703</v>
      </c>
      <c r="F348">
        <v>1475</v>
      </c>
      <c r="G348" t="s">
        <v>909</v>
      </c>
      <c r="I348">
        <v>10068817</v>
      </c>
      <c r="J348" t="s">
        <v>1816</v>
      </c>
      <c r="K348">
        <v>800157</v>
      </c>
      <c r="L348">
        <v>1</v>
      </c>
      <c r="M348" t="s">
        <v>220</v>
      </c>
      <c r="N348" t="s">
        <v>223</v>
      </c>
      <c r="O348">
        <v>784000</v>
      </c>
    </row>
    <row r="349" spans="1:15" x14ac:dyDescent="0.4">
      <c r="A349" t="s">
        <v>1587</v>
      </c>
      <c r="B349">
        <v>75</v>
      </c>
      <c r="C349" t="s">
        <v>5</v>
      </c>
      <c r="D349">
        <v>52</v>
      </c>
      <c r="E349" t="s">
        <v>665</v>
      </c>
      <c r="F349">
        <v>1403</v>
      </c>
      <c r="G349" t="s">
        <v>925</v>
      </c>
      <c r="I349">
        <v>10005003</v>
      </c>
      <c r="J349" t="s">
        <v>1817</v>
      </c>
      <c r="K349">
        <v>800157</v>
      </c>
      <c r="L349">
        <v>1</v>
      </c>
      <c r="M349" t="s">
        <v>1548</v>
      </c>
      <c r="N349" t="s">
        <v>327</v>
      </c>
      <c r="O349">
        <v>902400</v>
      </c>
    </row>
    <row r="350" spans="1:15" x14ac:dyDescent="0.4">
      <c r="A350" t="s">
        <v>376</v>
      </c>
      <c r="B350">
        <v>60</v>
      </c>
      <c r="C350" t="s">
        <v>3</v>
      </c>
      <c r="D350">
        <v>33</v>
      </c>
      <c r="E350" t="s">
        <v>451</v>
      </c>
      <c r="F350">
        <v>1505</v>
      </c>
      <c r="G350" t="s">
        <v>900</v>
      </c>
      <c r="I350">
        <v>20009895</v>
      </c>
      <c r="J350" t="s">
        <v>1818</v>
      </c>
      <c r="K350">
        <v>800159</v>
      </c>
      <c r="L350">
        <v>1</v>
      </c>
      <c r="M350" t="s">
        <v>353</v>
      </c>
      <c r="N350" t="s">
        <v>330</v>
      </c>
      <c r="O350">
        <v>1509000</v>
      </c>
    </row>
    <row r="351" spans="1:15" x14ac:dyDescent="0.4">
      <c r="A351" t="s">
        <v>363</v>
      </c>
      <c r="B351">
        <v>50</v>
      </c>
      <c r="C351" t="s">
        <v>1</v>
      </c>
      <c r="D351">
        <v>21</v>
      </c>
      <c r="E351" t="s">
        <v>182</v>
      </c>
      <c r="F351">
        <v>1264</v>
      </c>
      <c r="G351" t="s">
        <v>1023</v>
      </c>
      <c r="I351">
        <v>10024990</v>
      </c>
      <c r="J351" t="s">
        <v>1819</v>
      </c>
      <c r="K351">
        <v>800159</v>
      </c>
      <c r="L351">
        <v>1</v>
      </c>
      <c r="M351" t="s">
        <v>376</v>
      </c>
      <c r="N351" t="s">
        <v>262</v>
      </c>
      <c r="O351">
        <v>1455000</v>
      </c>
    </row>
    <row r="352" spans="1:15" x14ac:dyDescent="0.4">
      <c r="A352" t="s">
        <v>1487</v>
      </c>
      <c r="B352">
        <v>60</v>
      </c>
      <c r="C352" t="s">
        <v>3</v>
      </c>
      <c r="D352">
        <v>31</v>
      </c>
      <c r="E352" t="s">
        <v>447</v>
      </c>
      <c r="F352">
        <v>1367</v>
      </c>
      <c r="G352" t="s">
        <v>977</v>
      </c>
      <c r="I352">
        <v>20009330</v>
      </c>
      <c r="J352" t="s">
        <v>1820</v>
      </c>
      <c r="K352">
        <v>800157</v>
      </c>
      <c r="L352">
        <v>1</v>
      </c>
      <c r="M352" t="s">
        <v>1523</v>
      </c>
      <c r="N352" t="s">
        <v>312</v>
      </c>
      <c r="O352">
        <v>796800</v>
      </c>
    </row>
    <row r="353" spans="1:15" x14ac:dyDescent="0.4">
      <c r="A353" t="s">
        <v>250</v>
      </c>
      <c r="B353">
        <v>75</v>
      </c>
      <c r="C353" t="s">
        <v>5</v>
      </c>
      <c r="D353">
        <v>51</v>
      </c>
      <c r="E353" t="s">
        <v>657</v>
      </c>
      <c r="F353">
        <v>1435</v>
      </c>
      <c r="G353" t="s">
        <v>860</v>
      </c>
      <c r="I353">
        <v>10019599</v>
      </c>
      <c r="J353" t="s">
        <v>1821</v>
      </c>
      <c r="K353">
        <v>800157</v>
      </c>
      <c r="L353">
        <v>1</v>
      </c>
      <c r="M353" t="s">
        <v>196</v>
      </c>
      <c r="N353" t="s">
        <v>213</v>
      </c>
      <c r="O353">
        <v>784000</v>
      </c>
    </row>
    <row r="354" spans="1:15" x14ac:dyDescent="0.4">
      <c r="A354" t="s">
        <v>311</v>
      </c>
      <c r="B354">
        <v>75</v>
      </c>
      <c r="C354" t="s">
        <v>5</v>
      </c>
      <c r="D354">
        <v>51</v>
      </c>
      <c r="E354" t="s">
        <v>657</v>
      </c>
      <c r="F354">
        <v>1365</v>
      </c>
      <c r="G354" t="s">
        <v>1148</v>
      </c>
      <c r="I354">
        <v>10034720</v>
      </c>
      <c r="J354" t="s">
        <v>1822</v>
      </c>
      <c r="K354">
        <v>800159</v>
      </c>
      <c r="L354">
        <v>1</v>
      </c>
      <c r="M354" t="s">
        <v>258</v>
      </c>
      <c r="N354" t="s">
        <v>263</v>
      </c>
      <c r="O354">
        <v>1411800</v>
      </c>
    </row>
    <row r="355" spans="1:15" x14ac:dyDescent="0.4">
      <c r="A355" t="s">
        <v>311</v>
      </c>
      <c r="B355">
        <v>75</v>
      </c>
      <c r="C355" t="s">
        <v>5</v>
      </c>
      <c r="D355">
        <v>51</v>
      </c>
      <c r="E355" t="s">
        <v>657</v>
      </c>
      <c r="F355">
        <v>1415</v>
      </c>
      <c r="G355" t="s">
        <v>1038</v>
      </c>
      <c r="I355">
        <v>10008954</v>
      </c>
      <c r="J355" t="s">
        <v>1823</v>
      </c>
      <c r="K355">
        <v>800159</v>
      </c>
      <c r="L355">
        <v>1</v>
      </c>
      <c r="M355" t="s">
        <v>258</v>
      </c>
      <c r="N355" t="s">
        <v>263</v>
      </c>
      <c r="O355">
        <v>1449600</v>
      </c>
    </row>
    <row r="356" spans="1:15" x14ac:dyDescent="0.4">
      <c r="A356" t="s">
        <v>195</v>
      </c>
      <c r="B356">
        <v>70</v>
      </c>
      <c r="C356" t="s">
        <v>2</v>
      </c>
      <c r="D356">
        <v>41</v>
      </c>
      <c r="E356" t="s">
        <v>306</v>
      </c>
      <c r="F356">
        <v>1445</v>
      </c>
      <c r="G356" t="s">
        <v>886</v>
      </c>
      <c r="I356">
        <v>20005359</v>
      </c>
      <c r="J356" t="s">
        <v>1824</v>
      </c>
      <c r="K356">
        <v>800155</v>
      </c>
      <c r="L356">
        <v>1</v>
      </c>
      <c r="M356" t="s">
        <v>185</v>
      </c>
      <c r="N356" t="s">
        <v>186</v>
      </c>
      <c r="O356">
        <v>254400</v>
      </c>
    </row>
    <row r="357" spans="1:15" x14ac:dyDescent="0.4">
      <c r="A357" t="s">
        <v>1479</v>
      </c>
      <c r="B357">
        <v>75</v>
      </c>
      <c r="C357" t="s">
        <v>5</v>
      </c>
      <c r="D357">
        <v>51</v>
      </c>
      <c r="E357" t="s">
        <v>657</v>
      </c>
      <c r="F357">
        <v>1365</v>
      </c>
      <c r="G357" t="s">
        <v>1148</v>
      </c>
      <c r="I357">
        <v>20005781</v>
      </c>
      <c r="J357" t="s">
        <v>1825</v>
      </c>
      <c r="K357">
        <v>800155</v>
      </c>
      <c r="L357">
        <v>1</v>
      </c>
      <c r="M357" t="s">
        <v>1487</v>
      </c>
      <c r="N357" t="s">
        <v>275</v>
      </c>
      <c r="O357">
        <v>252000</v>
      </c>
    </row>
    <row r="358" spans="1:15" x14ac:dyDescent="0.4">
      <c r="A358" t="s">
        <v>186</v>
      </c>
      <c r="B358">
        <v>75</v>
      </c>
      <c r="C358" t="s">
        <v>5</v>
      </c>
      <c r="D358">
        <v>51</v>
      </c>
      <c r="E358" t="s">
        <v>657</v>
      </c>
      <c r="F358">
        <v>1415</v>
      </c>
      <c r="G358" t="s">
        <v>1038</v>
      </c>
      <c r="I358">
        <v>10020279</v>
      </c>
      <c r="J358" t="s">
        <v>209</v>
      </c>
      <c r="K358">
        <v>800159</v>
      </c>
      <c r="L358">
        <v>1</v>
      </c>
      <c r="M358" t="s">
        <v>238</v>
      </c>
      <c r="N358" t="s">
        <v>239</v>
      </c>
      <c r="O358">
        <v>1325400</v>
      </c>
    </row>
    <row r="359" spans="1:15" x14ac:dyDescent="0.4">
      <c r="A359" t="s">
        <v>1594</v>
      </c>
      <c r="B359">
        <v>75</v>
      </c>
      <c r="C359" t="s">
        <v>5</v>
      </c>
      <c r="D359">
        <v>51</v>
      </c>
      <c r="E359" t="s">
        <v>657</v>
      </c>
      <c r="F359">
        <v>1365</v>
      </c>
      <c r="G359" t="s">
        <v>1148</v>
      </c>
      <c r="I359">
        <v>10044456</v>
      </c>
      <c r="J359" t="s">
        <v>1826</v>
      </c>
      <c r="K359">
        <v>800158</v>
      </c>
      <c r="L359">
        <v>1</v>
      </c>
      <c r="M359" t="s">
        <v>1596</v>
      </c>
      <c r="N359" t="s">
        <v>253</v>
      </c>
      <c r="O359">
        <v>1052000</v>
      </c>
    </row>
    <row r="360" spans="1:15" x14ac:dyDescent="0.4">
      <c r="A360" t="s">
        <v>186</v>
      </c>
      <c r="B360">
        <v>50</v>
      </c>
      <c r="C360" t="s">
        <v>1</v>
      </c>
      <c r="D360">
        <v>21</v>
      </c>
      <c r="E360" t="s">
        <v>182</v>
      </c>
      <c r="F360">
        <v>1264</v>
      </c>
      <c r="G360" t="s">
        <v>1023</v>
      </c>
      <c r="I360">
        <v>10038941</v>
      </c>
      <c r="J360" t="s">
        <v>1827</v>
      </c>
      <c r="K360">
        <v>800159</v>
      </c>
      <c r="L360">
        <v>1</v>
      </c>
      <c r="M360" t="s">
        <v>238</v>
      </c>
      <c r="N360" t="s">
        <v>239</v>
      </c>
      <c r="O360">
        <v>1254000</v>
      </c>
    </row>
    <row r="361" spans="1:15" x14ac:dyDescent="0.4">
      <c r="A361" t="s">
        <v>268</v>
      </c>
      <c r="B361">
        <v>80</v>
      </c>
      <c r="C361" t="s">
        <v>4</v>
      </c>
      <c r="D361">
        <v>81</v>
      </c>
      <c r="E361" t="s">
        <v>550</v>
      </c>
      <c r="F361">
        <v>1322</v>
      </c>
      <c r="G361" t="s">
        <v>961</v>
      </c>
      <c r="I361">
        <v>20007089</v>
      </c>
      <c r="J361" t="s">
        <v>1828</v>
      </c>
      <c r="K361">
        <v>800159</v>
      </c>
      <c r="L361">
        <v>1</v>
      </c>
      <c r="M361" t="s">
        <v>195</v>
      </c>
      <c r="N361" t="s">
        <v>200</v>
      </c>
      <c r="O361">
        <v>1320000</v>
      </c>
    </row>
    <row r="362" spans="1:15" x14ac:dyDescent="0.4">
      <c r="A362" t="s">
        <v>268</v>
      </c>
      <c r="B362">
        <v>80</v>
      </c>
      <c r="C362" t="s">
        <v>4</v>
      </c>
      <c r="D362">
        <v>81</v>
      </c>
      <c r="E362" t="s">
        <v>550</v>
      </c>
      <c r="F362">
        <v>1436</v>
      </c>
      <c r="G362" t="s">
        <v>918</v>
      </c>
      <c r="I362">
        <v>10007370</v>
      </c>
      <c r="J362" t="s">
        <v>1829</v>
      </c>
      <c r="K362">
        <v>800159</v>
      </c>
      <c r="L362">
        <v>1</v>
      </c>
      <c r="M362" t="s">
        <v>195</v>
      </c>
      <c r="N362" t="s">
        <v>200</v>
      </c>
      <c r="O362">
        <v>1519800</v>
      </c>
    </row>
    <row r="363" spans="1:15" x14ac:dyDescent="0.4">
      <c r="A363" t="s">
        <v>1594</v>
      </c>
      <c r="B363">
        <v>50</v>
      </c>
      <c r="C363" t="s">
        <v>1</v>
      </c>
      <c r="D363">
        <v>21</v>
      </c>
      <c r="E363" t="s">
        <v>182</v>
      </c>
      <c r="F363">
        <v>1264</v>
      </c>
      <c r="G363" t="s">
        <v>1023</v>
      </c>
      <c r="I363">
        <v>20008970</v>
      </c>
      <c r="J363" t="s">
        <v>1830</v>
      </c>
      <c r="K363">
        <v>800159</v>
      </c>
      <c r="L363">
        <v>1</v>
      </c>
      <c r="M363" t="s">
        <v>1596</v>
      </c>
      <c r="N363" t="s">
        <v>254</v>
      </c>
      <c r="O363">
        <v>1336200</v>
      </c>
    </row>
    <row r="364" spans="1:15" x14ac:dyDescent="0.4">
      <c r="A364" t="s">
        <v>238</v>
      </c>
      <c r="B364">
        <v>80</v>
      </c>
      <c r="C364" t="s">
        <v>4</v>
      </c>
      <c r="D364">
        <v>81</v>
      </c>
      <c r="E364" t="s">
        <v>550</v>
      </c>
      <c r="F364">
        <v>1154</v>
      </c>
      <c r="G364" t="s">
        <v>1044</v>
      </c>
      <c r="I364">
        <v>10049595</v>
      </c>
      <c r="J364" t="s">
        <v>1831</v>
      </c>
      <c r="K364">
        <v>800157</v>
      </c>
      <c r="L364">
        <v>1</v>
      </c>
      <c r="M364" t="s">
        <v>230</v>
      </c>
      <c r="N364" t="s">
        <v>233</v>
      </c>
      <c r="O364">
        <v>790400</v>
      </c>
    </row>
    <row r="365" spans="1:15" x14ac:dyDescent="0.4">
      <c r="A365" t="s">
        <v>1596</v>
      </c>
      <c r="B365">
        <v>80</v>
      </c>
      <c r="C365" t="s">
        <v>4</v>
      </c>
      <c r="D365">
        <v>81</v>
      </c>
      <c r="E365" t="s">
        <v>550</v>
      </c>
      <c r="F365">
        <v>1322</v>
      </c>
      <c r="G365" t="s">
        <v>961</v>
      </c>
      <c r="I365">
        <v>20008976</v>
      </c>
      <c r="J365" t="s">
        <v>1832</v>
      </c>
      <c r="K365">
        <v>800159</v>
      </c>
      <c r="L365">
        <v>1</v>
      </c>
      <c r="M365" t="s">
        <v>268</v>
      </c>
      <c r="N365" t="s">
        <v>214</v>
      </c>
      <c r="O365">
        <v>1379400</v>
      </c>
    </row>
    <row r="366" spans="1:15" x14ac:dyDescent="0.4">
      <c r="A366" t="s">
        <v>1469</v>
      </c>
      <c r="B366">
        <v>70</v>
      </c>
      <c r="C366" t="s">
        <v>2</v>
      </c>
      <c r="D366">
        <v>41</v>
      </c>
      <c r="E366" t="s">
        <v>306</v>
      </c>
      <c r="F366">
        <v>1298</v>
      </c>
      <c r="G366" t="s">
        <v>1277</v>
      </c>
      <c r="I366">
        <v>20008861</v>
      </c>
      <c r="J366" t="s">
        <v>1833</v>
      </c>
      <c r="K366">
        <v>800157</v>
      </c>
      <c r="L366">
        <v>1</v>
      </c>
      <c r="M366" t="s">
        <v>1475</v>
      </c>
      <c r="N366" t="s">
        <v>187</v>
      </c>
      <c r="O366">
        <v>784000</v>
      </c>
    </row>
    <row r="367" spans="1:15" x14ac:dyDescent="0.4">
      <c r="A367" t="s">
        <v>353</v>
      </c>
      <c r="B367">
        <v>76</v>
      </c>
      <c r="C367" t="s">
        <v>6</v>
      </c>
      <c r="D367">
        <v>61</v>
      </c>
      <c r="E367" t="s">
        <v>703</v>
      </c>
      <c r="F367">
        <v>1472</v>
      </c>
      <c r="G367" t="s">
        <v>998</v>
      </c>
      <c r="I367">
        <v>10053633</v>
      </c>
      <c r="J367" t="s">
        <v>1834</v>
      </c>
      <c r="K367">
        <v>800157</v>
      </c>
      <c r="L367">
        <v>1</v>
      </c>
      <c r="M367" t="s">
        <v>220</v>
      </c>
      <c r="N367" t="s">
        <v>223</v>
      </c>
      <c r="O367">
        <v>896000</v>
      </c>
    </row>
    <row r="368" spans="1:15" x14ac:dyDescent="0.4">
      <c r="A368" t="s">
        <v>1589</v>
      </c>
      <c r="B368">
        <v>60</v>
      </c>
      <c r="C368" t="s">
        <v>3</v>
      </c>
      <c r="D368">
        <v>33</v>
      </c>
      <c r="E368" t="s">
        <v>451</v>
      </c>
      <c r="F368">
        <v>1220</v>
      </c>
      <c r="G368" t="s">
        <v>1343</v>
      </c>
      <c r="I368">
        <v>20008850</v>
      </c>
      <c r="J368" t="s">
        <v>1835</v>
      </c>
      <c r="K368">
        <v>800159</v>
      </c>
      <c r="L368">
        <v>1</v>
      </c>
      <c r="M368" t="s">
        <v>1594</v>
      </c>
      <c r="N368" t="s">
        <v>294</v>
      </c>
      <c r="O368">
        <v>1395600</v>
      </c>
    </row>
    <row r="369" spans="1:15" x14ac:dyDescent="0.4">
      <c r="A369" t="s">
        <v>1479</v>
      </c>
      <c r="B369">
        <v>76</v>
      </c>
      <c r="C369" t="s">
        <v>6</v>
      </c>
      <c r="D369">
        <v>61</v>
      </c>
      <c r="E369" t="s">
        <v>703</v>
      </c>
      <c r="F369">
        <v>1472</v>
      </c>
      <c r="G369" t="s">
        <v>998</v>
      </c>
      <c r="I369">
        <v>20009036</v>
      </c>
      <c r="J369" t="s">
        <v>1836</v>
      </c>
      <c r="K369">
        <v>800157</v>
      </c>
      <c r="L369">
        <v>1</v>
      </c>
      <c r="M369" t="s">
        <v>1487</v>
      </c>
      <c r="N369" t="s">
        <v>243</v>
      </c>
      <c r="O369">
        <v>867200</v>
      </c>
    </row>
    <row r="370" spans="1:15" x14ac:dyDescent="0.4">
      <c r="A370" t="s">
        <v>353</v>
      </c>
      <c r="B370">
        <v>76</v>
      </c>
      <c r="C370" t="s">
        <v>6</v>
      </c>
      <c r="D370">
        <v>61</v>
      </c>
      <c r="E370" t="s">
        <v>703</v>
      </c>
      <c r="F370">
        <v>1389</v>
      </c>
      <c r="G370" t="s">
        <v>1197</v>
      </c>
      <c r="I370">
        <v>10086699</v>
      </c>
      <c r="J370" t="s">
        <v>1837</v>
      </c>
      <c r="K370">
        <v>800159</v>
      </c>
      <c r="L370">
        <v>1</v>
      </c>
      <c r="M370" t="s">
        <v>220</v>
      </c>
      <c r="N370" t="s">
        <v>225</v>
      </c>
      <c r="O370">
        <v>1438800</v>
      </c>
    </row>
    <row r="371" spans="1:15" x14ac:dyDescent="0.4">
      <c r="A371" t="s">
        <v>1475</v>
      </c>
      <c r="B371">
        <v>50</v>
      </c>
      <c r="C371" t="s">
        <v>1</v>
      </c>
      <c r="D371">
        <v>21</v>
      </c>
      <c r="E371" t="s">
        <v>182</v>
      </c>
      <c r="F371">
        <v>1264</v>
      </c>
      <c r="G371" t="s">
        <v>1023</v>
      </c>
      <c r="I371">
        <v>10078466</v>
      </c>
      <c r="J371" t="s">
        <v>1838</v>
      </c>
      <c r="K371">
        <v>800157</v>
      </c>
      <c r="L371">
        <v>1</v>
      </c>
      <c r="M371" t="s">
        <v>1479</v>
      </c>
      <c r="N371" t="s">
        <v>231</v>
      </c>
      <c r="O371">
        <v>784000</v>
      </c>
    </row>
    <row r="372" spans="1:15" x14ac:dyDescent="0.4">
      <c r="A372" t="s">
        <v>1596</v>
      </c>
      <c r="B372">
        <v>70</v>
      </c>
      <c r="C372" t="s">
        <v>2</v>
      </c>
      <c r="D372">
        <v>41</v>
      </c>
      <c r="E372" t="s">
        <v>306</v>
      </c>
      <c r="F372">
        <v>1118</v>
      </c>
      <c r="G372" t="s">
        <v>1471</v>
      </c>
      <c r="I372">
        <v>20009034</v>
      </c>
      <c r="J372" t="s">
        <v>1839</v>
      </c>
      <c r="K372">
        <v>800159</v>
      </c>
      <c r="L372">
        <v>1</v>
      </c>
      <c r="M372" t="s">
        <v>268</v>
      </c>
      <c r="N372" t="s">
        <v>214</v>
      </c>
      <c r="O372">
        <v>1368600</v>
      </c>
    </row>
    <row r="373" spans="1:15" x14ac:dyDescent="0.4">
      <c r="A373" t="s">
        <v>353</v>
      </c>
      <c r="B373">
        <v>60</v>
      </c>
      <c r="C373" t="s">
        <v>3</v>
      </c>
      <c r="D373">
        <v>31</v>
      </c>
      <c r="E373" t="s">
        <v>447</v>
      </c>
      <c r="F373">
        <v>1543</v>
      </c>
      <c r="G373" t="s">
        <v>1183</v>
      </c>
      <c r="I373">
        <v>20009086</v>
      </c>
      <c r="J373" t="s">
        <v>1840</v>
      </c>
      <c r="K373">
        <v>800159</v>
      </c>
      <c r="L373">
        <v>1</v>
      </c>
      <c r="M373" t="s">
        <v>220</v>
      </c>
      <c r="N373" t="s">
        <v>225</v>
      </c>
      <c r="O373">
        <v>1330800</v>
      </c>
    </row>
    <row r="374" spans="1:15" x14ac:dyDescent="0.4">
      <c r="A374" t="s">
        <v>1475</v>
      </c>
      <c r="B374">
        <v>76</v>
      </c>
      <c r="C374" t="s">
        <v>6</v>
      </c>
      <c r="D374">
        <v>61</v>
      </c>
      <c r="E374" t="s">
        <v>703</v>
      </c>
      <c r="F374">
        <v>1389</v>
      </c>
      <c r="G374" t="s">
        <v>1197</v>
      </c>
      <c r="I374">
        <v>20009087</v>
      </c>
      <c r="J374" t="s">
        <v>1841</v>
      </c>
      <c r="K374">
        <v>800157</v>
      </c>
      <c r="L374">
        <v>1</v>
      </c>
      <c r="M374" t="s">
        <v>1479</v>
      </c>
      <c r="N374" t="s">
        <v>231</v>
      </c>
      <c r="O374">
        <v>784000</v>
      </c>
    </row>
    <row r="375" spans="1:15" x14ac:dyDescent="0.4">
      <c r="A375" t="s">
        <v>290</v>
      </c>
      <c r="B375">
        <v>80</v>
      </c>
      <c r="C375" t="s">
        <v>4</v>
      </c>
      <c r="D375">
        <v>81</v>
      </c>
      <c r="E375" t="s">
        <v>550</v>
      </c>
      <c r="F375">
        <v>1322</v>
      </c>
      <c r="G375" t="s">
        <v>961</v>
      </c>
      <c r="I375">
        <v>10040755</v>
      </c>
      <c r="J375" t="s">
        <v>1842</v>
      </c>
      <c r="K375">
        <v>800159</v>
      </c>
      <c r="L375">
        <v>1</v>
      </c>
      <c r="M375" t="s">
        <v>250</v>
      </c>
      <c r="N375" t="s">
        <v>255</v>
      </c>
      <c r="O375">
        <v>1357800</v>
      </c>
    </row>
    <row r="376" spans="1:15" x14ac:dyDescent="0.4">
      <c r="A376" t="s">
        <v>1589</v>
      </c>
      <c r="B376">
        <v>60</v>
      </c>
      <c r="C376" t="s">
        <v>3</v>
      </c>
      <c r="D376">
        <v>33</v>
      </c>
      <c r="E376" t="s">
        <v>451</v>
      </c>
      <c r="F376">
        <v>1273</v>
      </c>
      <c r="G376" t="s">
        <v>1084</v>
      </c>
      <c r="I376">
        <v>20009065</v>
      </c>
      <c r="J376" t="s">
        <v>1843</v>
      </c>
      <c r="K376">
        <v>800157</v>
      </c>
      <c r="L376">
        <v>1</v>
      </c>
      <c r="M376" t="s">
        <v>1594</v>
      </c>
      <c r="N376" t="s">
        <v>292</v>
      </c>
      <c r="O376">
        <v>838400</v>
      </c>
    </row>
    <row r="377" spans="1:15" x14ac:dyDescent="0.4">
      <c r="A377" t="s">
        <v>1523</v>
      </c>
      <c r="B377">
        <v>76</v>
      </c>
      <c r="C377" t="s">
        <v>6</v>
      </c>
      <c r="D377">
        <v>61</v>
      </c>
      <c r="E377" t="s">
        <v>703</v>
      </c>
      <c r="F377">
        <v>1468</v>
      </c>
      <c r="G377" t="s">
        <v>914</v>
      </c>
      <c r="I377">
        <v>20009085</v>
      </c>
      <c r="J377" t="s">
        <v>1844</v>
      </c>
      <c r="K377">
        <v>800157</v>
      </c>
      <c r="L377">
        <v>1</v>
      </c>
      <c r="M377" t="s">
        <v>1587</v>
      </c>
      <c r="N377" t="s">
        <v>259</v>
      </c>
      <c r="O377">
        <v>784000</v>
      </c>
    </row>
    <row r="378" spans="1:15" x14ac:dyDescent="0.4">
      <c r="A378" t="s">
        <v>1548</v>
      </c>
      <c r="B378">
        <v>60</v>
      </c>
      <c r="C378" t="s">
        <v>3</v>
      </c>
      <c r="D378">
        <v>33</v>
      </c>
      <c r="E378" t="s">
        <v>451</v>
      </c>
      <c r="F378">
        <v>1505</v>
      </c>
      <c r="G378" t="s">
        <v>900</v>
      </c>
      <c r="I378">
        <v>10078357</v>
      </c>
      <c r="J378" t="s">
        <v>1845</v>
      </c>
      <c r="K378">
        <v>800159</v>
      </c>
      <c r="L378">
        <v>1</v>
      </c>
      <c r="M378" t="s">
        <v>1586</v>
      </c>
      <c r="N378" t="s">
        <v>224</v>
      </c>
      <c r="O378">
        <v>1341600</v>
      </c>
    </row>
    <row r="379" spans="1:15" x14ac:dyDescent="0.4">
      <c r="A379" t="s">
        <v>220</v>
      </c>
      <c r="B379">
        <v>60</v>
      </c>
      <c r="C379" t="s">
        <v>3</v>
      </c>
      <c r="D379">
        <v>31</v>
      </c>
      <c r="E379" t="s">
        <v>447</v>
      </c>
      <c r="F379">
        <v>1543</v>
      </c>
      <c r="G379" t="s">
        <v>1183</v>
      </c>
      <c r="I379">
        <v>20008816</v>
      </c>
      <c r="J379" t="s">
        <v>1846</v>
      </c>
      <c r="K379">
        <v>800159</v>
      </c>
      <c r="L379">
        <v>1</v>
      </c>
      <c r="M379" t="s">
        <v>203</v>
      </c>
      <c r="N379" t="s">
        <v>208</v>
      </c>
      <c r="O379">
        <v>1422600</v>
      </c>
    </row>
    <row r="380" spans="1:15" x14ac:dyDescent="0.4">
      <c r="A380" t="s">
        <v>1479</v>
      </c>
      <c r="B380">
        <v>80</v>
      </c>
      <c r="C380" t="s">
        <v>4</v>
      </c>
      <c r="D380">
        <v>71</v>
      </c>
      <c r="E380" t="s">
        <v>556</v>
      </c>
      <c r="F380">
        <v>1296</v>
      </c>
      <c r="G380" t="s">
        <v>964</v>
      </c>
      <c r="I380">
        <v>20008793</v>
      </c>
      <c r="J380" t="s">
        <v>1847</v>
      </c>
      <c r="K380">
        <v>800157</v>
      </c>
      <c r="L380">
        <v>1</v>
      </c>
      <c r="M380" t="s">
        <v>1487</v>
      </c>
      <c r="N380" t="s">
        <v>243</v>
      </c>
      <c r="O380">
        <v>787200</v>
      </c>
    </row>
    <row r="381" spans="1:15" x14ac:dyDescent="0.4">
      <c r="A381" t="s">
        <v>1475</v>
      </c>
      <c r="B381">
        <v>75</v>
      </c>
      <c r="C381" t="s">
        <v>5</v>
      </c>
      <c r="D381">
        <v>51</v>
      </c>
      <c r="E381" t="s">
        <v>657</v>
      </c>
      <c r="F381">
        <v>1415</v>
      </c>
      <c r="G381" t="s">
        <v>1038</v>
      </c>
      <c r="I381">
        <v>20009154</v>
      </c>
      <c r="J381" t="s">
        <v>1848</v>
      </c>
      <c r="K381">
        <v>800157</v>
      </c>
      <c r="L381">
        <v>1</v>
      </c>
      <c r="M381" t="s">
        <v>1479</v>
      </c>
      <c r="N381" t="s">
        <v>231</v>
      </c>
      <c r="O381">
        <v>809600</v>
      </c>
    </row>
    <row r="382" spans="1:15" x14ac:dyDescent="0.4">
      <c r="A382" t="s">
        <v>1475</v>
      </c>
      <c r="B382">
        <v>75</v>
      </c>
      <c r="C382" t="s">
        <v>5</v>
      </c>
      <c r="D382">
        <v>51</v>
      </c>
      <c r="E382" t="s">
        <v>657</v>
      </c>
      <c r="F382">
        <v>1365</v>
      </c>
      <c r="G382" t="s">
        <v>1148</v>
      </c>
      <c r="I382">
        <v>20009120</v>
      </c>
      <c r="J382" t="s">
        <v>1849</v>
      </c>
      <c r="K382">
        <v>800157</v>
      </c>
      <c r="L382">
        <v>1</v>
      </c>
      <c r="M382" t="s">
        <v>1479</v>
      </c>
      <c r="N382" t="s">
        <v>231</v>
      </c>
      <c r="O382">
        <v>844800</v>
      </c>
    </row>
    <row r="383" spans="1:15" x14ac:dyDescent="0.4">
      <c r="A383" t="s">
        <v>1469</v>
      </c>
      <c r="B383">
        <v>60</v>
      </c>
      <c r="C383" t="s">
        <v>3</v>
      </c>
      <c r="D383">
        <v>31</v>
      </c>
      <c r="E383" t="s">
        <v>447</v>
      </c>
      <c r="F383">
        <v>1116</v>
      </c>
      <c r="G383" t="s">
        <v>1075</v>
      </c>
      <c r="I383">
        <v>20009124</v>
      </c>
      <c r="J383" t="s">
        <v>1850</v>
      </c>
      <c r="K383">
        <v>800157</v>
      </c>
      <c r="L383">
        <v>1</v>
      </c>
      <c r="M383" t="s">
        <v>1475</v>
      </c>
      <c r="N383" t="s">
        <v>187</v>
      </c>
      <c r="O383">
        <v>996000</v>
      </c>
    </row>
    <row r="384" spans="1:15" x14ac:dyDescent="0.4">
      <c r="A384" t="s">
        <v>1470</v>
      </c>
      <c r="B384">
        <v>76</v>
      </c>
      <c r="C384" t="s">
        <v>6</v>
      </c>
      <c r="D384">
        <v>61</v>
      </c>
      <c r="E384" t="s">
        <v>703</v>
      </c>
      <c r="F384">
        <v>1602</v>
      </c>
      <c r="G384" t="s">
        <v>1013</v>
      </c>
      <c r="I384">
        <v>20009080</v>
      </c>
      <c r="J384" t="s">
        <v>1851</v>
      </c>
      <c r="K384">
        <v>800157</v>
      </c>
      <c r="L384">
        <v>1</v>
      </c>
      <c r="M384" t="s">
        <v>1469</v>
      </c>
      <c r="N384" t="s">
        <v>197</v>
      </c>
      <c r="O384">
        <v>822400</v>
      </c>
    </row>
    <row r="385" spans="1:15" x14ac:dyDescent="0.4">
      <c r="A385" t="s">
        <v>220</v>
      </c>
      <c r="B385">
        <v>80</v>
      </c>
      <c r="C385" t="s">
        <v>4</v>
      </c>
      <c r="D385">
        <v>71</v>
      </c>
      <c r="E385" t="s">
        <v>556</v>
      </c>
      <c r="F385">
        <v>1296</v>
      </c>
      <c r="G385" t="s">
        <v>964</v>
      </c>
      <c r="I385">
        <v>10086983</v>
      </c>
      <c r="J385" t="s">
        <v>1852</v>
      </c>
      <c r="K385">
        <v>800157</v>
      </c>
      <c r="L385">
        <v>1</v>
      </c>
      <c r="M385" t="s">
        <v>203</v>
      </c>
      <c r="N385" t="s">
        <v>206</v>
      </c>
      <c r="O385">
        <v>816000</v>
      </c>
    </row>
    <row r="386" spans="1:15" x14ac:dyDescent="0.4">
      <c r="A386" t="s">
        <v>1469</v>
      </c>
      <c r="B386">
        <v>70</v>
      </c>
      <c r="C386" t="s">
        <v>2</v>
      </c>
      <c r="D386">
        <v>41</v>
      </c>
      <c r="E386" t="s">
        <v>306</v>
      </c>
      <c r="F386">
        <v>1552</v>
      </c>
      <c r="G386" t="s">
        <v>929</v>
      </c>
      <c r="I386">
        <v>20009152</v>
      </c>
      <c r="J386" t="s">
        <v>1853</v>
      </c>
      <c r="K386">
        <v>800157</v>
      </c>
      <c r="L386">
        <v>1</v>
      </c>
      <c r="M386" t="s">
        <v>1475</v>
      </c>
      <c r="N386" t="s">
        <v>187</v>
      </c>
      <c r="O386">
        <v>784000</v>
      </c>
    </row>
    <row r="387" spans="1:15" x14ac:dyDescent="0.4">
      <c r="A387" t="s">
        <v>1475</v>
      </c>
      <c r="B387">
        <v>60</v>
      </c>
      <c r="C387" t="s">
        <v>3</v>
      </c>
      <c r="D387">
        <v>31</v>
      </c>
      <c r="E387" t="s">
        <v>447</v>
      </c>
      <c r="F387">
        <v>1367</v>
      </c>
      <c r="G387" t="s">
        <v>977</v>
      </c>
      <c r="I387">
        <v>20005288</v>
      </c>
      <c r="J387" t="s">
        <v>1854</v>
      </c>
      <c r="K387">
        <v>800157</v>
      </c>
      <c r="L387">
        <v>1</v>
      </c>
      <c r="M387" t="s">
        <v>1479</v>
      </c>
      <c r="N387" t="s">
        <v>231</v>
      </c>
      <c r="O387">
        <v>793600</v>
      </c>
    </row>
    <row r="388" spans="1:15" x14ac:dyDescent="0.4">
      <c r="A388" t="s">
        <v>1587</v>
      </c>
      <c r="B388">
        <v>60</v>
      </c>
      <c r="C388" t="s">
        <v>3</v>
      </c>
      <c r="D388">
        <v>33</v>
      </c>
      <c r="E388" t="s">
        <v>451</v>
      </c>
      <c r="F388">
        <v>1372</v>
      </c>
      <c r="G388" t="s">
        <v>992</v>
      </c>
      <c r="I388">
        <v>20004921</v>
      </c>
      <c r="J388" t="s">
        <v>1855</v>
      </c>
      <c r="K388">
        <v>800157</v>
      </c>
      <c r="L388">
        <v>1</v>
      </c>
      <c r="M388" t="s">
        <v>1548</v>
      </c>
      <c r="N388" t="s">
        <v>327</v>
      </c>
      <c r="O388">
        <v>924800</v>
      </c>
    </row>
    <row r="389" spans="1:15" x14ac:dyDescent="0.4">
      <c r="A389" t="s">
        <v>290</v>
      </c>
      <c r="B389">
        <v>70</v>
      </c>
      <c r="C389" t="s">
        <v>2</v>
      </c>
      <c r="D389">
        <v>41</v>
      </c>
      <c r="E389" t="s">
        <v>306</v>
      </c>
      <c r="F389">
        <v>1510</v>
      </c>
      <c r="G389" t="s">
        <v>870</v>
      </c>
      <c r="I389">
        <v>20005243</v>
      </c>
      <c r="J389" t="s">
        <v>1856</v>
      </c>
      <c r="K389">
        <v>800159</v>
      </c>
      <c r="L389">
        <v>1</v>
      </c>
      <c r="M389" t="s">
        <v>250</v>
      </c>
      <c r="N389" t="s">
        <v>255</v>
      </c>
      <c r="O389">
        <v>1320000</v>
      </c>
    </row>
    <row r="390" spans="1:15" x14ac:dyDescent="0.4">
      <c r="A390" t="s">
        <v>1594</v>
      </c>
      <c r="B390">
        <v>70</v>
      </c>
      <c r="C390" t="s">
        <v>2</v>
      </c>
      <c r="D390">
        <v>41</v>
      </c>
      <c r="E390" t="s">
        <v>306</v>
      </c>
      <c r="F390">
        <v>1383</v>
      </c>
      <c r="G390" t="s">
        <v>957</v>
      </c>
      <c r="I390">
        <v>20005353</v>
      </c>
      <c r="J390" t="s">
        <v>1857</v>
      </c>
      <c r="K390">
        <v>800157</v>
      </c>
      <c r="L390">
        <v>1</v>
      </c>
      <c r="M390" t="s">
        <v>1596</v>
      </c>
      <c r="N390" t="s">
        <v>252</v>
      </c>
      <c r="O390">
        <v>803200</v>
      </c>
    </row>
    <row r="391" spans="1:15" x14ac:dyDescent="0.4">
      <c r="A391" t="s">
        <v>1586</v>
      </c>
      <c r="B391">
        <v>50</v>
      </c>
      <c r="C391" t="s">
        <v>1</v>
      </c>
      <c r="D391">
        <v>11</v>
      </c>
      <c r="E391" t="s">
        <v>192</v>
      </c>
      <c r="F391">
        <v>1353</v>
      </c>
      <c r="G391" t="s">
        <v>1017</v>
      </c>
      <c r="I391">
        <v>20005366</v>
      </c>
      <c r="J391" t="s">
        <v>1858</v>
      </c>
      <c r="K391">
        <v>800159</v>
      </c>
      <c r="L391">
        <v>1</v>
      </c>
      <c r="M391" t="s">
        <v>1589</v>
      </c>
      <c r="N391" t="s">
        <v>207</v>
      </c>
      <c r="O391">
        <v>1110000</v>
      </c>
    </row>
    <row r="392" spans="1:15" x14ac:dyDescent="0.4">
      <c r="A392" t="s">
        <v>1548</v>
      </c>
      <c r="B392">
        <v>60</v>
      </c>
      <c r="C392" t="s">
        <v>3</v>
      </c>
      <c r="D392">
        <v>33</v>
      </c>
      <c r="E392" t="s">
        <v>451</v>
      </c>
      <c r="F392">
        <v>1372</v>
      </c>
      <c r="G392" t="s">
        <v>992</v>
      </c>
      <c r="I392">
        <v>10024113</v>
      </c>
      <c r="J392" t="s">
        <v>1859</v>
      </c>
      <c r="K392">
        <v>800157</v>
      </c>
      <c r="L392">
        <v>1</v>
      </c>
      <c r="M392" t="s">
        <v>1586</v>
      </c>
      <c r="N392" t="s">
        <v>222</v>
      </c>
      <c r="O392">
        <v>793600</v>
      </c>
    </row>
    <row r="393" spans="1:15" x14ac:dyDescent="0.4">
      <c r="A393" t="s">
        <v>268</v>
      </c>
      <c r="B393">
        <v>70</v>
      </c>
      <c r="C393" t="s">
        <v>2</v>
      </c>
      <c r="D393">
        <v>41</v>
      </c>
      <c r="E393" t="s">
        <v>306</v>
      </c>
      <c r="F393">
        <v>1445</v>
      </c>
      <c r="G393" t="s">
        <v>886</v>
      </c>
      <c r="I393">
        <v>10011710</v>
      </c>
      <c r="J393" t="s">
        <v>1860</v>
      </c>
      <c r="K393">
        <v>800157</v>
      </c>
      <c r="L393">
        <v>1</v>
      </c>
      <c r="M393" t="s">
        <v>195</v>
      </c>
      <c r="N393" t="s">
        <v>198</v>
      </c>
      <c r="O393">
        <v>918400</v>
      </c>
    </row>
    <row r="394" spans="1:15" x14ac:dyDescent="0.4">
      <c r="A394" t="s">
        <v>1475</v>
      </c>
      <c r="B394">
        <v>60</v>
      </c>
      <c r="C394" t="s">
        <v>3</v>
      </c>
      <c r="D394">
        <v>31</v>
      </c>
      <c r="E394" t="s">
        <v>447</v>
      </c>
      <c r="F394">
        <v>1299</v>
      </c>
      <c r="G394" t="s">
        <v>947</v>
      </c>
      <c r="I394">
        <v>20005278</v>
      </c>
      <c r="J394" t="s">
        <v>1861</v>
      </c>
      <c r="K394">
        <v>800157</v>
      </c>
      <c r="L394">
        <v>1</v>
      </c>
      <c r="M394" t="s">
        <v>1479</v>
      </c>
      <c r="N394" t="s">
        <v>231</v>
      </c>
      <c r="O394">
        <v>787200</v>
      </c>
    </row>
    <row r="395" spans="1:15" x14ac:dyDescent="0.4">
      <c r="A395" t="s">
        <v>220</v>
      </c>
      <c r="B395">
        <v>75</v>
      </c>
      <c r="C395" t="s">
        <v>5</v>
      </c>
      <c r="D395">
        <v>52</v>
      </c>
      <c r="E395" t="s">
        <v>665</v>
      </c>
      <c r="F395">
        <v>1403</v>
      </c>
      <c r="G395" t="s">
        <v>925</v>
      </c>
      <c r="I395">
        <v>10010008</v>
      </c>
      <c r="J395" t="s">
        <v>1517</v>
      </c>
      <c r="K395">
        <v>800157</v>
      </c>
      <c r="L395">
        <v>1</v>
      </c>
      <c r="M395" t="s">
        <v>203</v>
      </c>
      <c r="N395" t="s">
        <v>206</v>
      </c>
      <c r="O395">
        <v>784000</v>
      </c>
    </row>
    <row r="396" spans="1:15" x14ac:dyDescent="0.4">
      <c r="A396" t="s">
        <v>363</v>
      </c>
      <c r="B396">
        <v>60</v>
      </c>
      <c r="C396" t="s">
        <v>3</v>
      </c>
      <c r="D396">
        <v>33</v>
      </c>
      <c r="E396" t="s">
        <v>451</v>
      </c>
      <c r="F396">
        <v>1220</v>
      </c>
      <c r="G396" t="s">
        <v>1343</v>
      </c>
      <c r="I396">
        <v>10058783</v>
      </c>
      <c r="J396" t="s">
        <v>1862</v>
      </c>
      <c r="K396">
        <v>800159</v>
      </c>
      <c r="L396">
        <v>1</v>
      </c>
      <c r="M396" t="s">
        <v>376</v>
      </c>
      <c r="N396" t="s">
        <v>262</v>
      </c>
      <c r="O396">
        <v>1530600</v>
      </c>
    </row>
    <row r="397" spans="1:15" x14ac:dyDescent="0.4">
      <c r="A397" t="s">
        <v>196</v>
      </c>
      <c r="B397">
        <v>60</v>
      </c>
      <c r="C397" t="s">
        <v>3</v>
      </c>
      <c r="D397">
        <v>33</v>
      </c>
      <c r="E397" t="s">
        <v>451</v>
      </c>
      <c r="F397">
        <v>1220</v>
      </c>
      <c r="G397" t="s">
        <v>1343</v>
      </c>
      <c r="I397">
        <v>10024924</v>
      </c>
      <c r="J397" t="s">
        <v>1863</v>
      </c>
      <c r="K397">
        <v>800159</v>
      </c>
      <c r="L397">
        <v>1</v>
      </c>
      <c r="M397" t="s">
        <v>186</v>
      </c>
      <c r="N397" t="s">
        <v>302</v>
      </c>
      <c r="O397">
        <v>1465800</v>
      </c>
    </row>
    <row r="398" spans="1:15" x14ac:dyDescent="0.4">
      <c r="A398" t="s">
        <v>238</v>
      </c>
      <c r="B398">
        <v>70</v>
      </c>
      <c r="C398" t="s">
        <v>2</v>
      </c>
      <c r="D398">
        <v>41</v>
      </c>
      <c r="E398" t="s">
        <v>306</v>
      </c>
      <c r="F398">
        <v>1510</v>
      </c>
      <c r="G398" t="s">
        <v>870</v>
      </c>
      <c r="I398">
        <v>20005373</v>
      </c>
      <c r="J398" t="s">
        <v>1864</v>
      </c>
      <c r="K398">
        <v>800159</v>
      </c>
      <c r="L398">
        <v>1</v>
      </c>
      <c r="M398" t="s">
        <v>230</v>
      </c>
      <c r="N398" t="s">
        <v>235</v>
      </c>
      <c r="O398">
        <v>1390200</v>
      </c>
    </row>
    <row r="399" spans="1:15" x14ac:dyDescent="0.4">
      <c r="A399" t="s">
        <v>311</v>
      </c>
      <c r="B399">
        <v>80</v>
      </c>
      <c r="C399" t="s">
        <v>4</v>
      </c>
      <c r="D399">
        <v>81</v>
      </c>
      <c r="E399" t="s">
        <v>550</v>
      </c>
      <c r="F399">
        <v>1154</v>
      </c>
      <c r="G399" t="s">
        <v>1044</v>
      </c>
      <c r="I399">
        <v>20005379</v>
      </c>
      <c r="J399" t="s">
        <v>1865</v>
      </c>
      <c r="K399">
        <v>800159</v>
      </c>
      <c r="L399">
        <v>1</v>
      </c>
      <c r="M399" t="s">
        <v>258</v>
      </c>
      <c r="N399" t="s">
        <v>263</v>
      </c>
      <c r="O399">
        <v>1320000</v>
      </c>
    </row>
    <row r="400" spans="1:15" x14ac:dyDescent="0.4">
      <c r="A400" t="s">
        <v>1586</v>
      </c>
      <c r="B400">
        <v>60</v>
      </c>
      <c r="C400" t="s">
        <v>3</v>
      </c>
      <c r="D400">
        <v>31</v>
      </c>
      <c r="E400" t="s">
        <v>447</v>
      </c>
      <c r="F400">
        <v>1616</v>
      </c>
      <c r="G400" t="s">
        <v>1659</v>
      </c>
      <c r="I400">
        <v>10026858</v>
      </c>
      <c r="J400" t="s">
        <v>1866</v>
      </c>
      <c r="K400">
        <v>800155</v>
      </c>
      <c r="L400">
        <v>1</v>
      </c>
      <c r="M400" t="s">
        <v>1589</v>
      </c>
      <c r="N400" t="s">
        <v>220</v>
      </c>
      <c r="O400">
        <v>254400</v>
      </c>
    </row>
    <row r="401" spans="1:15" x14ac:dyDescent="0.4">
      <c r="A401" t="s">
        <v>258</v>
      </c>
      <c r="B401">
        <v>60</v>
      </c>
      <c r="C401" t="s">
        <v>3</v>
      </c>
      <c r="D401">
        <v>31</v>
      </c>
      <c r="E401" t="s">
        <v>447</v>
      </c>
      <c r="F401">
        <v>1616</v>
      </c>
      <c r="G401" t="s">
        <v>1659</v>
      </c>
      <c r="I401">
        <v>10022303</v>
      </c>
      <c r="J401" t="s">
        <v>1867</v>
      </c>
      <c r="K401">
        <v>800159</v>
      </c>
      <c r="L401">
        <v>1</v>
      </c>
      <c r="M401" t="s">
        <v>221</v>
      </c>
      <c r="N401" t="s">
        <v>331</v>
      </c>
      <c r="O401">
        <v>1260000</v>
      </c>
    </row>
    <row r="402" spans="1:15" x14ac:dyDescent="0.4">
      <c r="A402" t="s">
        <v>1475</v>
      </c>
      <c r="B402">
        <v>80</v>
      </c>
      <c r="C402" t="s">
        <v>4</v>
      </c>
      <c r="D402">
        <v>81</v>
      </c>
      <c r="E402" t="s">
        <v>550</v>
      </c>
      <c r="F402">
        <v>1154</v>
      </c>
      <c r="G402" t="s">
        <v>1044</v>
      </c>
      <c r="I402">
        <v>10035077</v>
      </c>
      <c r="J402" t="s">
        <v>1868</v>
      </c>
      <c r="K402">
        <v>800157</v>
      </c>
      <c r="L402">
        <v>1</v>
      </c>
      <c r="M402" t="s">
        <v>1479</v>
      </c>
      <c r="N402" t="s">
        <v>231</v>
      </c>
      <c r="O402">
        <v>864000</v>
      </c>
    </row>
    <row r="403" spans="1:15" x14ac:dyDescent="0.4">
      <c r="A403" t="s">
        <v>186</v>
      </c>
      <c r="B403">
        <v>60</v>
      </c>
      <c r="C403" t="s">
        <v>3</v>
      </c>
      <c r="D403">
        <v>33</v>
      </c>
      <c r="E403" t="s">
        <v>451</v>
      </c>
      <c r="F403">
        <v>1372</v>
      </c>
      <c r="G403" t="s">
        <v>992</v>
      </c>
      <c r="I403">
        <v>10036302</v>
      </c>
      <c r="J403" t="s">
        <v>1869</v>
      </c>
      <c r="K403">
        <v>800159</v>
      </c>
      <c r="L403">
        <v>1</v>
      </c>
      <c r="M403" t="s">
        <v>238</v>
      </c>
      <c r="N403" t="s">
        <v>239</v>
      </c>
      <c r="O403">
        <v>1320000</v>
      </c>
    </row>
    <row r="404" spans="1:15" x14ac:dyDescent="0.4">
      <c r="A404" t="s">
        <v>1487</v>
      </c>
      <c r="B404">
        <v>80</v>
      </c>
      <c r="C404" t="s">
        <v>4</v>
      </c>
      <c r="D404">
        <v>81</v>
      </c>
      <c r="E404" t="s">
        <v>550</v>
      </c>
      <c r="F404">
        <v>1322</v>
      </c>
      <c r="G404" t="s">
        <v>961</v>
      </c>
      <c r="I404">
        <v>10053775</v>
      </c>
      <c r="J404" t="s">
        <v>1870</v>
      </c>
      <c r="K404">
        <v>800157</v>
      </c>
      <c r="L404">
        <v>1</v>
      </c>
      <c r="M404" t="s">
        <v>1523</v>
      </c>
      <c r="N404" t="s">
        <v>312</v>
      </c>
      <c r="O404">
        <v>471600</v>
      </c>
    </row>
    <row r="405" spans="1:15" x14ac:dyDescent="0.4">
      <c r="A405" t="s">
        <v>196</v>
      </c>
      <c r="B405">
        <v>80</v>
      </c>
      <c r="C405" t="s">
        <v>4</v>
      </c>
      <c r="D405">
        <v>71</v>
      </c>
      <c r="E405" t="s">
        <v>556</v>
      </c>
      <c r="F405">
        <v>1296</v>
      </c>
      <c r="G405" t="s">
        <v>964</v>
      </c>
      <c r="I405">
        <v>20005344</v>
      </c>
      <c r="J405" t="s">
        <v>1871</v>
      </c>
      <c r="K405">
        <v>800157</v>
      </c>
      <c r="L405">
        <v>1</v>
      </c>
      <c r="M405" t="s">
        <v>186</v>
      </c>
      <c r="N405" t="s">
        <v>199</v>
      </c>
      <c r="O405">
        <v>809600</v>
      </c>
    </row>
    <row r="406" spans="1:15" x14ac:dyDescent="0.4">
      <c r="A406" t="s">
        <v>242</v>
      </c>
      <c r="B406">
        <v>70</v>
      </c>
      <c r="C406" t="s">
        <v>2</v>
      </c>
      <c r="D406">
        <v>41</v>
      </c>
      <c r="E406" t="s">
        <v>306</v>
      </c>
      <c r="F406">
        <v>1118</v>
      </c>
      <c r="G406" t="s">
        <v>1471</v>
      </c>
      <c r="I406">
        <v>20010200</v>
      </c>
      <c r="J406" t="s">
        <v>1872</v>
      </c>
      <c r="K406">
        <v>800159</v>
      </c>
      <c r="L406">
        <v>1</v>
      </c>
      <c r="M406" t="s">
        <v>311</v>
      </c>
      <c r="N406" t="s">
        <v>316</v>
      </c>
      <c r="O406">
        <v>1390200</v>
      </c>
    </row>
    <row r="407" spans="1:15" x14ac:dyDescent="0.4">
      <c r="A407" t="s">
        <v>290</v>
      </c>
      <c r="B407">
        <v>60</v>
      </c>
      <c r="C407" t="s">
        <v>3</v>
      </c>
      <c r="D407">
        <v>33</v>
      </c>
      <c r="E407" t="s">
        <v>451</v>
      </c>
      <c r="F407">
        <v>1505</v>
      </c>
      <c r="G407" t="s">
        <v>900</v>
      </c>
      <c r="I407">
        <v>20009302</v>
      </c>
      <c r="J407" t="s">
        <v>1873</v>
      </c>
      <c r="K407">
        <v>800159</v>
      </c>
      <c r="L407">
        <v>1</v>
      </c>
      <c r="M407" t="s">
        <v>250</v>
      </c>
      <c r="N407" t="s">
        <v>255</v>
      </c>
      <c r="O407">
        <v>1592000</v>
      </c>
    </row>
    <row r="408" spans="1:15" x14ac:dyDescent="0.4">
      <c r="A408" t="s">
        <v>1587</v>
      </c>
      <c r="B408">
        <v>80</v>
      </c>
      <c r="C408" t="s">
        <v>4</v>
      </c>
      <c r="D408">
        <v>81</v>
      </c>
      <c r="E408" t="s">
        <v>550</v>
      </c>
      <c r="F408">
        <v>1154</v>
      </c>
      <c r="G408" t="s">
        <v>1044</v>
      </c>
      <c r="I408">
        <v>10032289</v>
      </c>
      <c r="J408" t="s">
        <v>1874</v>
      </c>
      <c r="K408">
        <v>800157</v>
      </c>
      <c r="L408">
        <v>1</v>
      </c>
      <c r="M408" t="s">
        <v>1548</v>
      </c>
      <c r="N408" t="s">
        <v>327</v>
      </c>
      <c r="O408">
        <v>812800</v>
      </c>
    </row>
    <row r="409" spans="1:15" x14ac:dyDescent="0.4">
      <c r="A409" t="s">
        <v>221</v>
      </c>
      <c r="B409">
        <v>75</v>
      </c>
      <c r="C409" t="s">
        <v>5</v>
      </c>
      <c r="D409">
        <v>51</v>
      </c>
      <c r="E409" t="s">
        <v>657</v>
      </c>
      <c r="F409">
        <v>1415</v>
      </c>
      <c r="G409" t="s">
        <v>1038</v>
      </c>
      <c r="I409">
        <v>10022088</v>
      </c>
      <c r="J409" t="s">
        <v>1875</v>
      </c>
      <c r="K409">
        <v>800159</v>
      </c>
      <c r="L409">
        <v>1</v>
      </c>
      <c r="M409" t="s">
        <v>204</v>
      </c>
      <c r="O409">
        <v>1284000</v>
      </c>
    </row>
    <row r="410" spans="1:15" x14ac:dyDescent="0.4">
      <c r="A410" t="s">
        <v>353</v>
      </c>
      <c r="B410">
        <v>76</v>
      </c>
      <c r="C410" t="s">
        <v>6</v>
      </c>
      <c r="D410">
        <v>61</v>
      </c>
      <c r="E410" t="s">
        <v>703</v>
      </c>
      <c r="F410">
        <v>1602</v>
      </c>
      <c r="G410" t="s">
        <v>1013</v>
      </c>
      <c r="I410">
        <v>10020850</v>
      </c>
      <c r="J410" t="s">
        <v>1876</v>
      </c>
      <c r="K410">
        <v>800159</v>
      </c>
      <c r="L410">
        <v>1</v>
      </c>
      <c r="M410" t="s">
        <v>220</v>
      </c>
      <c r="N410" t="s">
        <v>225</v>
      </c>
      <c r="O410">
        <v>1363200</v>
      </c>
    </row>
    <row r="411" spans="1:15" x14ac:dyDescent="0.4">
      <c r="A411" t="s">
        <v>230</v>
      </c>
      <c r="B411">
        <v>80</v>
      </c>
      <c r="C411" t="s">
        <v>4</v>
      </c>
      <c r="D411">
        <v>81</v>
      </c>
      <c r="E411" t="s">
        <v>550</v>
      </c>
      <c r="F411">
        <v>1154</v>
      </c>
      <c r="G411" t="s">
        <v>1044</v>
      </c>
      <c r="I411">
        <v>20005395</v>
      </c>
      <c r="J411" t="s">
        <v>1877</v>
      </c>
      <c r="K411">
        <v>800159</v>
      </c>
      <c r="L411">
        <v>1</v>
      </c>
      <c r="M411" t="s">
        <v>242</v>
      </c>
      <c r="N411" t="s">
        <v>247</v>
      </c>
      <c r="O411">
        <v>1320000</v>
      </c>
    </row>
    <row r="412" spans="1:15" x14ac:dyDescent="0.4">
      <c r="A412" t="s">
        <v>281</v>
      </c>
      <c r="B412">
        <v>76</v>
      </c>
      <c r="C412" t="s">
        <v>6</v>
      </c>
      <c r="D412">
        <v>61</v>
      </c>
      <c r="E412" t="s">
        <v>703</v>
      </c>
      <c r="F412">
        <v>1472</v>
      </c>
      <c r="G412" t="s">
        <v>998</v>
      </c>
      <c r="I412">
        <v>20009798</v>
      </c>
      <c r="J412" t="s">
        <v>1878</v>
      </c>
      <c r="K412">
        <v>800159</v>
      </c>
      <c r="L412">
        <v>1</v>
      </c>
      <c r="M412" t="s">
        <v>363</v>
      </c>
      <c r="N412" t="s">
        <v>315</v>
      </c>
      <c r="O412">
        <v>1428000</v>
      </c>
    </row>
    <row r="413" spans="1:15" x14ac:dyDescent="0.4">
      <c r="A413" t="s">
        <v>1587</v>
      </c>
      <c r="B413">
        <v>70</v>
      </c>
      <c r="C413" t="s">
        <v>2</v>
      </c>
      <c r="D413">
        <v>41</v>
      </c>
      <c r="E413" t="s">
        <v>306</v>
      </c>
      <c r="F413">
        <v>1561</v>
      </c>
      <c r="G413" t="s">
        <v>1070</v>
      </c>
      <c r="I413">
        <v>10050792</v>
      </c>
      <c r="J413" t="s">
        <v>1879</v>
      </c>
      <c r="K413">
        <v>800157</v>
      </c>
      <c r="L413">
        <v>1</v>
      </c>
      <c r="M413" t="s">
        <v>1548</v>
      </c>
      <c r="N413" t="s">
        <v>327</v>
      </c>
      <c r="O413">
        <v>799200</v>
      </c>
    </row>
    <row r="414" spans="1:15" x14ac:dyDescent="0.4">
      <c r="A414" t="s">
        <v>250</v>
      </c>
      <c r="B414">
        <v>76</v>
      </c>
      <c r="C414" t="s">
        <v>6</v>
      </c>
      <c r="D414">
        <v>61</v>
      </c>
      <c r="E414" t="s">
        <v>703</v>
      </c>
      <c r="F414">
        <v>1389</v>
      </c>
      <c r="G414" t="s">
        <v>1197</v>
      </c>
      <c r="I414">
        <v>10036930</v>
      </c>
      <c r="J414" t="s">
        <v>1880</v>
      </c>
      <c r="K414">
        <v>800159</v>
      </c>
      <c r="L414">
        <v>1</v>
      </c>
      <c r="M414" t="s">
        <v>196</v>
      </c>
      <c r="N414" t="s">
        <v>215</v>
      </c>
      <c r="O414">
        <v>1401000</v>
      </c>
    </row>
    <row r="415" spans="1:15" x14ac:dyDescent="0.4">
      <c r="A415" t="s">
        <v>311</v>
      </c>
      <c r="B415">
        <v>60</v>
      </c>
      <c r="C415" t="s">
        <v>3</v>
      </c>
      <c r="D415">
        <v>33</v>
      </c>
      <c r="E415" t="s">
        <v>451</v>
      </c>
      <c r="F415">
        <v>1372</v>
      </c>
      <c r="G415" t="s">
        <v>992</v>
      </c>
      <c r="I415">
        <v>10025073</v>
      </c>
      <c r="J415" t="s">
        <v>1881</v>
      </c>
      <c r="K415">
        <v>800157</v>
      </c>
      <c r="L415">
        <v>1</v>
      </c>
      <c r="M415" t="s">
        <v>258</v>
      </c>
      <c r="N415" t="s">
        <v>261</v>
      </c>
      <c r="O415">
        <v>806400</v>
      </c>
    </row>
    <row r="416" spans="1:15" x14ac:dyDescent="0.4">
      <c r="A416" t="s">
        <v>290</v>
      </c>
      <c r="B416">
        <v>60</v>
      </c>
      <c r="C416" t="s">
        <v>3</v>
      </c>
      <c r="D416">
        <v>31</v>
      </c>
      <c r="E416" t="s">
        <v>447</v>
      </c>
      <c r="F416">
        <v>1299</v>
      </c>
      <c r="G416" t="s">
        <v>947</v>
      </c>
      <c r="I416">
        <v>10050017</v>
      </c>
      <c r="J416" t="s">
        <v>1882</v>
      </c>
      <c r="K416">
        <v>800159</v>
      </c>
      <c r="L416">
        <v>1</v>
      </c>
      <c r="M416" t="s">
        <v>250</v>
      </c>
      <c r="N416" t="s">
        <v>255</v>
      </c>
      <c r="O416">
        <v>1014000</v>
      </c>
    </row>
    <row r="417" spans="1:15" x14ac:dyDescent="0.4">
      <c r="A417" t="s">
        <v>1487</v>
      </c>
      <c r="B417">
        <v>76</v>
      </c>
      <c r="C417" t="s">
        <v>6</v>
      </c>
      <c r="D417">
        <v>61</v>
      </c>
      <c r="E417" t="s">
        <v>703</v>
      </c>
      <c r="F417">
        <v>1472</v>
      </c>
      <c r="G417" t="s">
        <v>998</v>
      </c>
      <c r="I417">
        <v>10025788</v>
      </c>
      <c r="J417" t="s">
        <v>1883</v>
      </c>
      <c r="K417">
        <v>800157</v>
      </c>
      <c r="L417">
        <v>1</v>
      </c>
      <c r="M417" t="s">
        <v>1523</v>
      </c>
      <c r="N417" t="s">
        <v>312</v>
      </c>
      <c r="O417">
        <v>908800</v>
      </c>
    </row>
    <row r="418" spans="1:15" x14ac:dyDescent="0.4">
      <c r="A418" t="s">
        <v>230</v>
      </c>
      <c r="B418">
        <v>75</v>
      </c>
      <c r="C418" t="s">
        <v>5</v>
      </c>
      <c r="D418">
        <v>52</v>
      </c>
      <c r="E418" t="s">
        <v>665</v>
      </c>
      <c r="F418">
        <v>1403</v>
      </c>
      <c r="G418" t="s">
        <v>925</v>
      </c>
      <c r="I418">
        <v>10047363</v>
      </c>
      <c r="J418" t="s">
        <v>1884</v>
      </c>
      <c r="K418">
        <v>800157</v>
      </c>
      <c r="L418">
        <v>1</v>
      </c>
      <c r="M418" t="s">
        <v>242</v>
      </c>
      <c r="N418" t="s">
        <v>245</v>
      </c>
      <c r="O418">
        <v>822400</v>
      </c>
    </row>
    <row r="419" spans="1:15" x14ac:dyDescent="0.4">
      <c r="A419" t="s">
        <v>203</v>
      </c>
      <c r="B419">
        <v>80</v>
      </c>
      <c r="C419" t="s">
        <v>4</v>
      </c>
      <c r="D419">
        <v>71</v>
      </c>
      <c r="E419" t="s">
        <v>556</v>
      </c>
      <c r="F419">
        <v>1296</v>
      </c>
      <c r="G419" t="s">
        <v>964</v>
      </c>
      <c r="I419">
        <v>10019029</v>
      </c>
      <c r="J419" t="s">
        <v>1885</v>
      </c>
      <c r="K419">
        <v>800159</v>
      </c>
      <c r="L419">
        <v>1</v>
      </c>
      <c r="M419" t="s">
        <v>290</v>
      </c>
      <c r="N419" t="s">
        <v>295</v>
      </c>
      <c r="O419">
        <v>1347000</v>
      </c>
    </row>
    <row r="420" spans="1:15" x14ac:dyDescent="0.4">
      <c r="A420" t="s">
        <v>1487</v>
      </c>
      <c r="B420">
        <v>75</v>
      </c>
      <c r="C420" t="s">
        <v>5</v>
      </c>
      <c r="D420">
        <v>52</v>
      </c>
      <c r="E420" t="s">
        <v>665</v>
      </c>
      <c r="F420">
        <v>1403</v>
      </c>
      <c r="G420" t="s">
        <v>925</v>
      </c>
      <c r="I420">
        <v>20009491</v>
      </c>
      <c r="J420" t="s">
        <v>1886</v>
      </c>
      <c r="K420">
        <v>800157</v>
      </c>
      <c r="L420">
        <v>1</v>
      </c>
      <c r="M420" t="s">
        <v>1523</v>
      </c>
      <c r="N420" t="s">
        <v>312</v>
      </c>
      <c r="O420">
        <v>825600</v>
      </c>
    </row>
    <row r="421" spans="1:15" x14ac:dyDescent="0.4">
      <c r="A421" t="s">
        <v>311</v>
      </c>
      <c r="B421">
        <v>60</v>
      </c>
      <c r="C421" t="s">
        <v>3</v>
      </c>
      <c r="D421">
        <v>33</v>
      </c>
      <c r="E421" t="s">
        <v>451</v>
      </c>
      <c r="F421">
        <v>1273</v>
      </c>
      <c r="G421" t="s">
        <v>1084</v>
      </c>
      <c r="I421">
        <v>20005240</v>
      </c>
      <c r="J421" t="s">
        <v>1887</v>
      </c>
      <c r="K421">
        <v>800157</v>
      </c>
      <c r="L421">
        <v>1</v>
      </c>
      <c r="M421" t="s">
        <v>258</v>
      </c>
      <c r="N421" t="s">
        <v>261</v>
      </c>
      <c r="O421">
        <v>787200</v>
      </c>
    </row>
    <row r="422" spans="1:15" x14ac:dyDescent="0.4">
      <c r="A422" t="s">
        <v>185</v>
      </c>
      <c r="B422">
        <v>80</v>
      </c>
      <c r="C422" t="s">
        <v>4</v>
      </c>
      <c r="D422">
        <v>81</v>
      </c>
      <c r="E422" t="s">
        <v>550</v>
      </c>
      <c r="F422">
        <v>1154</v>
      </c>
      <c r="G422" t="s">
        <v>1044</v>
      </c>
      <c r="I422">
        <v>10011677</v>
      </c>
      <c r="J422" t="s">
        <v>1888</v>
      </c>
      <c r="K422">
        <v>800159</v>
      </c>
      <c r="L422">
        <v>1</v>
      </c>
      <c r="M422" t="s">
        <v>275</v>
      </c>
      <c r="N422" t="s">
        <v>234</v>
      </c>
      <c r="O422">
        <v>1417200</v>
      </c>
    </row>
    <row r="423" spans="1:15" x14ac:dyDescent="0.4">
      <c r="A423" t="s">
        <v>230</v>
      </c>
      <c r="B423">
        <v>76</v>
      </c>
      <c r="C423" t="s">
        <v>6</v>
      </c>
      <c r="D423">
        <v>61</v>
      </c>
      <c r="E423" t="s">
        <v>703</v>
      </c>
      <c r="F423">
        <v>1389</v>
      </c>
      <c r="G423" t="s">
        <v>1197</v>
      </c>
      <c r="I423">
        <v>20005465</v>
      </c>
      <c r="J423" t="s">
        <v>1889</v>
      </c>
      <c r="K423">
        <v>800159</v>
      </c>
      <c r="L423">
        <v>1</v>
      </c>
      <c r="M423" t="s">
        <v>242</v>
      </c>
      <c r="N423" t="s">
        <v>247</v>
      </c>
      <c r="O423">
        <v>1320000</v>
      </c>
    </row>
    <row r="424" spans="1:15" x14ac:dyDescent="0.4">
      <c r="A424" t="s">
        <v>258</v>
      </c>
      <c r="B424">
        <v>80</v>
      </c>
      <c r="C424" t="s">
        <v>4</v>
      </c>
      <c r="D424">
        <v>81</v>
      </c>
      <c r="E424" t="s">
        <v>550</v>
      </c>
      <c r="F424">
        <v>1154</v>
      </c>
      <c r="G424" t="s">
        <v>1044</v>
      </c>
      <c r="I424">
        <v>10008235</v>
      </c>
      <c r="J424" t="s">
        <v>1890</v>
      </c>
      <c r="K424">
        <v>800159</v>
      </c>
      <c r="L424">
        <v>1</v>
      </c>
      <c r="M424" t="s">
        <v>221</v>
      </c>
      <c r="N424" t="s">
        <v>331</v>
      </c>
      <c r="O424">
        <v>1325400</v>
      </c>
    </row>
    <row r="425" spans="1:15" x14ac:dyDescent="0.4">
      <c r="A425" t="s">
        <v>1594</v>
      </c>
      <c r="B425">
        <v>60</v>
      </c>
      <c r="C425" t="s">
        <v>3</v>
      </c>
      <c r="D425">
        <v>31</v>
      </c>
      <c r="E425" t="s">
        <v>447</v>
      </c>
      <c r="F425">
        <v>1299</v>
      </c>
      <c r="G425" t="s">
        <v>947</v>
      </c>
      <c r="I425">
        <v>10072545</v>
      </c>
      <c r="J425" t="s">
        <v>1891</v>
      </c>
      <c r="K425">
        <v>800159</v>
      </c>
      <c r="L425">
        <v>1</v>
      </c>
      <c r="M425" t="s">
        <v>1596</v>
      </c>
      <c r="N425" t="s">
        <v>254</v>
      </c>
      <c r="O425">
        <v>1368000</v>
      </c>
    </row>
    <row r="426" spans="1:15" x14ac:dyDescent="0.4">
      <c r="A426" t="s">
        <v>196</v>
      </c>
      <c r="B426">
        <v>50</v>
      </c>
      <c r="C426" t="s">
        <v>1</v>
      </c>
      <c r="D426">
        <v>21</v>
      </c>
      <c r="E426" t="s">
        <v>182</v>
      </c>
      <c r="F426">
        <v>1264</v>
      </c>
      <c r="G426" t="s">
        <v>1023</v>
      </c>
      <c r="I426">
        <v>10029442</v>
      </c>
      <c r="J426" t="s">
        <v>1892</v>
      </c>
      <c r="K426">
        <v>800159</v>
      </c>
      <c r="L426">
        <v>1</v>
      </c>
      <c r="M426" t="s">
        <v>186</v>
      </c>
      <c r="N426" t="s">
        <v>302</v>
      </c>
      <c r="O426">
        <v>1260000</v>
      </c>
    </row>
    <row r="427" spans="1:15" x14ac:dyDescent="0.4">
      <c r="A427" t="s">
        <v>1475</v>
      </c>
      <c r="B427">
        <v>60</v>
      </c>
      <c r="C427" t="s">
        <v>3</v>
      </c>
      <c r="D427">
        <v>31</v>
      </c>
      <c r="E427" t="s">
        <v>447</v>
      </c>
      <c r="F427">
        <v>1299</v>
      </c>
      <c r="G427" t="s">
        <v>947</v>
      </c>
      <c r="I427">
        <v>10042130</v>
      </c>
      <c r="J427" t="s">
        <v>1893</v>
      </c>
      <c r="K427">
        <v>800157</v>
      </c>
      <c r="L427">
        <v>1</v>
      </c>
      <c r="M427" t="s">
        <v>1479</v>
      </c>
      <c r="N427" t="s">
        <v>231</v>
      </c>
      <c r="O427">
        <v>741600</v>
      </c>
    </row>
    <row r="428" spans="1:15" x14ac:dyDescent="0.4">
      <c r="A428" t="s">
        <v>1596</v>
      </c>
      <c r="B428">
        <v>60</v>
      </c>
      <c r="C428" t="s">
        <v>3</v>
      </c>
      <c r="D428">
        <v>31</v>
      </c>
      <c r="E428" t="s">
        <v>447</v>
      </c>
      <c r="F428">
        <v>1299</v>
      </c>
      <c r="G428" t="s">
        <v>947</v>
      </c>
      <c r="I428">
        <v>10062208</v>
      </c>
      <c r="J428" t="s">
        <v>1894</v>
      </c>
      <c r="K428">
        <v>800159</v>
      </c>
      <c r="L428">
        <v>1</v>
      </c>
      <c r="M428" t="s">
        <v>268</v>
      </c>
      <c r="N428" t="s">
        <v>214</v>
      </c>
      <c r="O428">
        <v>1266000</v>
      </c>
    </row>
    <row r="429" spans="1:15" x14ac:dyDescent="0.4">
      <c r="A429" t="s">
        <v>1589</v>
      </c>
      <c r="B429">
        <v>60</v>
      </c>
      <c r="C429" t="s">
        <v>3</v>
      </c>
      <c r="D429">
        <v>31</v>
      </c>
      <c r="E429" t="s">
        <v>447</v>
      </c>
      <c r="F429">
        <v>1616</v>
      </c>
      <c r="G429" t="s">
        <v>1659</v>
      </c>
      <c r="I429">
        <v>10055333</v>
      </c>
      <c r="J429" t="s">
        <v>1895</v>
      </c>
      <c r="K429">
        <v>800159</v>
      </c>
      <c r="L429">
        <v>1</v>
      </c>
      <c r="M429" t="s">
        <v>1594</v>
      </c>
      <c r="N429" t="s">
        <v>294</v>
      </c>
      <c r="O429">
        <v>1386000</v>
      </c>
    </row>
    <row r="430" spans="1:15" x14ac:dyDescent="0.4">
      <c r="A430" t="s">
        <v>311</v>
      </c>
      <c r="B430">
        <v>80</v>
      </c>
      <c r="C430" t="s">
        <v>4</v>
      </c>
      <c r="D430">
        <v>81</v>
      </c>
      <c r="E430" t="s">
        <v>550</v>
      </c>
      <c r="F430">
        <v>1322</v>
      </c>
      <c r="G430" t="s">
        <v>961</v>
      </c>
      <c r="I430">
        <v>10077689</v>
      </c>
      <c r="J430" t="s">
        <v>1896</v>
      </c>
      <c r="K430">
        <v>800159</v>
      </c>
      <c r="L430">
        <v>1</v>
      </c>
      <c r="M430" t="s">
        <v>258</v>
      </c>
      <c r="N430" t="s">
        <v>263</v>
      </c>
      <c r="O430">
        <v>1332000</v>
      </c>
    </row>
    <row r="431" spans="1:15" x14ac:dyDescent="0.4">
      <c r="A431" t="s">
        <v>238</v>
      </c>
      <c r="B431">
        <v>75</v>
      </c>
      <c r="C431" t="s">
        <v>5</v>
      </c>
      <c r="D431">
        <v>51</v>
      </c>
      <c r="E431" t="s">
        <v>657</v>
      </c>
      <c r="F431">
        <v>1365</v>
      </c>
      <c r="G431" t="s">
        <v>1148</v>
      </c>
      <c r="I431">
        <v>10063405</v>
      </c>
      <c r="J431" t="s">
        <v>1633</v>
      </c>
      <c r="K431">
        <v>800159</v>
      </c>
      <c r="L431">
        <v>1</v>
      </c>
      <c r="M431" t="s">
        <v>230</v>
      </c>
      <c r="N431" t="s">
        <v>235</v>
      </c>
      <c r="O431">
        <v>1374000</v>
      </c>
    </row>
    <row r="432" spans="1:15" x14ac:dyDescent="0.4">
      <c r="A432" t="s">
        <v>275</v>
      </c>
      <c r="B432">
        <v>76</v>
      </c>
      <c r="C432" t="s">
        <v>6</v>
      </c>
      <c r="D432">
        <v>61</v>
      </c>
      <c r="E432" t="s">
        <v>703</v>
      </c>
      <c r="F432">
        <v>1563</v>
      </c>
      <c r="G432" t="s">
        <v>942</v>
      </c>
      <c r="I432">
        <v>20007394</v>
      </c>
      <c r="J432" t="s">
        <v>1897</v>
      </c>
      <c r="K432">
        <v>800159</v>
      </c>
      <c r="L432">
        <v>1</v>
      </c>
      <c r="M432" t="s">
        <v>281</v>
      </c>
      <c r="N432" t="s">
        <v>246</v>
      </c>
      <c r="O432">
        <v>1525200</v>
      </c>
    </row>
    <row r="433" spans="1:15" x14ac:dyDescent="0.4">
      <c r="A433" t="s">
        <v>1589</v>
      </c>
      <c r="B433">
        <v>76</v>
      </c>
      <c r="C433" t="s">
        <v>6</v>
      </c>
      <c r="D433">
        <v>61</v>
      </c>
      <c r="E433" t="s">
        <v>703</v>
      </c>
      <c r="F433">
        <v>1602</v>
      </c>
      <c r="G433" t="s">
        <v>1013</v>
      </c>
      <c r="I433">
        <v>10066711</v>
      </c>
      <c r="J433" t="s">
        <v>336</v>
      </c>
      <c r="K433">
        <v>800159</v>
      </c>
      <c r="L433">
        <v>1</v>
      </c>
      <c r="M433" t="s">
        <v>1594</v>
      </c>
      <c r="N433" t="s">
        <v>294</v>
      </c>
      <c r="O433">
        <v>1330800</v>
      </c>
    </row>
    <row r="434" spans="1:15" x14ac:dyDescent="0.4">
      <c r="A434" t="s">
        <v>242</v>
      </c>
      <c r="B434">
        <v>80</v>
      </c>
      <c r="C434" t="s">
        <v>4</v>
      </c>
      <c r="D434">
        <v>81</v>
      </c>
      <c r="E434" t="s">
        <v>550</v>
      </c>
      <c r="F434">
        <v>1378</v>
      </c>
      <c r="G434" t="s">
        <v>881</v>
      </c>
      <c r="I434">
        <v>10020161</v>
      </c>
      <c r="J434" t="s">
        <v>1898</v>
      </c>
      <c r="K434">
        <v>800159</v>
      </c>
      <c r="L434">
        <v>1</v>
      </c>
      <c r="M434" t="s">
        <v>311</v>
      </c>
      <c r="N434" t="s">
        <v>316</v>
      </c>
      <c r="O434">
        <v>1314000</v>
      </c>
    </row>
    <row r="435" spans="1:15" x14ac:dyDescent="0.4">
      <c r="A435" t="s">
        <v>230</v>
      </c>
      <c r="B435">
        <v>50</v>
      </c>
      <c r="C435" t="s">
        <v>1</v>
      </c>
      <c r="D435">
        <v>21</v>
      </c>
      <c r="E435" t="s">
        <v>182</v>
      </c>
      <c r="F435">
        <v>1345</v>
      </c>
      <c r="G435" t="s">
        <v>874</v>
      </c>
      <c r="I435">
        <v>10078469</v>
      </c>
      <c r="J435" t="s">
        <v>1899</v>
      </c>
      <c r="K435">
        <v>800159</v>
      </c>
      <c r="L435">
        <v>1</v>
      </c>
      <c r="M435" t="s">
        <v>242</v>
      </c>
      <c r="N435" t="s">
        <v>247</v>
      </c>
      <c r="O435">
        <v>1347000</v>
      </c>
    </row>
    <row r="436" spans="1:15" x14ac:dyDescent="0.4">
      <c r="A436" t="s">
        <v>242</v>
      </c>
      <c r="B436">
        <v>75</v>
      </c>
      <c r="C436" t="s">
        <v>5</v>
      </c>
      <c r="D436">
        <v>51</v>
      </c>
      <c r="E436" t="s">
        <v>657</v>
      </c>
      <c r="F436">
        <v>1435</v>
      </c>
      <c r="G436" t="s">
        <v>860</v>
      </c>
      <c r="I436">
        <v>20007299</v>
      </c>
      <c r="J436" t="s">
        <v>1900</v>
      </c>
      <c r="K436">
        <v>800159</v>
      </c>
      <c r="L436">
        <v>1</v>
      </c>
      <c r="M436" t="s">
        <v>311</v>
      </c>
      <c r="N436" t="s">
        <v>316</v>
      </c>
      <c r="O436">
        <v>1320000</v>
      </c>
    </row>
    <row r="437" spans="1:15" x14ac:dyDescent="0.4">
      <c r="A437" t="s">
        <v>1587</v>
      </c>
      <c r="B437">
        <v>76</v>
      </c>
      <c r="C437" t="s">
        <v>6</v>
      </c>
      <c r="D437">
        <v>61</v>
      </c>
      <c r="E437" t="s">
        <v>703</v>
      </c>
      <c r="F437">
        <v>1389</v>
      </c>
      <c r="G437" t="s">
        <v>1197</v>
      </c>
      <c r="I437">
        <v>10043265</v>
      </c>
      <c r="J437" t="s">
        <v>1901</v>
      </c>
      <c r="K437">
        <v>800159</v>
      </c>
      <c r="L437">
        <v>1</v>
      </c>
      <c r="M437" t="s">
        <v>1548</v>
      </c>
      <c r="N437" t="s">
        <v>329</v>
      </c>
      <c r="O437">
        <v>1320000</v>
      </c>
    </row>
    <row r="438" spans="1:15" x14ac:dyDescent="0.4">
      <c r="A438" t="s">
        <v>1548</v>
      </c>
      <c r="B438">
        <v>70</v>
      </c>
      <c r="C438" t="s">
        <v>2</v>
      </c>
      <c r="D438">
        <v>41</v>
      </c>
      <c r="E438" t="s">
        <v>306</v>
      </c>
      <c r="F438">
        <v>1118</v>
      </c>
      <c r="G438" t="s">
        <v>1471</v>
      </c>
      <c r="I438">
        <v>20009060</v>
      </c>
      <c r="J438" t="s">
        <v>1902</v>
      </c>
      <c r="K438">
        <v>800157</v>
      </c>
      <c r="L438">
        <v>1</v>
      </c>
      <c r="M438" t="s">
        <v>1586</v>
      </c>
      <c r="N438" t="s">
        <v>222</v>
      </c>
      <c r="O438">
        <v>809600</v>
      </c>
    </row>
    <row r="439" spans="1:15" x14ac:dyDescent="0.4">
      <c r="A439" t="s">
        <v>196</v>
      </c>
      <c r="B439">
        <v>80</v>
      </c>
      <c r="C439" t="s">
        <v>4</v>
      </c>
      <c r="D439">
        <v>81</v>
      </c>
      <c r="E439" t="s">
        <v>550</v>
      </c>
      <c r="F439">
        <v>1154</v>
      </c>
      <c r="G439" t="s">
        <v>1044</v>
      </c>
      <c r="I439">
        <v>10071698</v>
      </c>
      <c r="J439" t="s">
        <v>1903</v>
      </c>
      <c r="K439">
        <v>800159</v>
      </c>
      <c r="L439">
        <v>1</v>
      </c>
      <c r="M439" t="s">
        <v>186</v>
      </c>
      <c r="N439" t="s">
        <v>302</v>
      </c>
      <c r="O439">
        <v>1320000</v>
      </c>
    </row>
    <row r="440" spans="1:15" x14ac:dyDescent="0.4">
      <c r="A440" t="s">
        <v>1469</v>
      </c>
      <c r="B440">
        <v>75</v>
      </c>
      <c r="C440" t="s">
        <v>5</v>
      </c>
      <c r="D440">
        <v>51</v>
      </c>
      <c r="E440" t="s">
        <v>657</v>
      </c>
      <c r="F440">
        <v>1415</v>
      </c>
      <c r="G440" t="s">
        <v>1038</v>
      </c>
      <c r="I440">
        <v>10056814</v>
      </c>
      <c r="J440" t="s">
        <v>1904</v>
      </c>
      <c r="K440">
        <v>800157</v>
      </c>
      <c r="L440">
        <v>1</v>
      </c>
      <c r="M440" t="s">
        <v>1475</v>
      </c>
      <c r="N440" t="s">
        <v>187</v>
      </c>
      <c r="O440">
        <v>781200</v>
      </c>
    </row>
    <row r="441" spans="1:15" x14ac:dyDescent="0.4">
      <c r="A441" t="s">
        <v>1589</v>
      </c>
      <c r="B441">
        <v>60</v>
      </c>
      <c r="C441" t="s">
        <v>3</v>
      </c>
      <c r="D441">
        <v>33</v>
      </c>
      <c r="E441" t="s">
        <v>451</v>
      </c>
      <c r="F441">
        <v>1505</v>
      </c>
      <c r="G441" t="s">
        <v>900</v>
      </c>
      <c r="I441">
        <v>20005547</v>
      </c>
      <c r="J441" t="s">
        <v>1905</v>
      </c>
      <c r="K441">
        <v>800157</v>
      </c>
      <c r="L441">
        <v>1</v>
      </c>
      <c r="M441" t="s">
        <v>1594</v>
      </c>
      <c r="N441" t="s">
        <v>292</v>
      </c>
      <c r="O441">
        <v>889600</v>
      </c>
    </row>
    <row r="442" spans="1:15" x14ac:dyDescent="0.4">
      <c r="A442" t="s">
        <v>220</v>
      </c>
      <c r="B442">
        <v>50</v>
      </c>
      <c r="C442" t="s">
        <v>1</v>
      </c>
      <c r="D442">
        <v>11</v>
      </c>
      <c r="E442" t="s">
        <v>192</v>
      </c>
      <c r="F442">
        <v>1353</v>
      </c>
      <c r="G442" t="s">
        <v>1017</v>
      </c>
      <c r="I442">
        <v>20006561</v>
      </c>
      <c r="J442" t="s">
        <v>1906</v>
      </c>
      <c r="K442">
        <v>800157</v>
      </c>
      <c r="L442">
        <v>1</v>
      </c>
      <c r="M442" t="s">
        <v>203</v>
      </c>
      <c r="N442" t="s">
        <v>206</v>
      </c>
      <c r="O442">
        <v>790400</v>
      </c>
    </row>
    <row r="443" spans="1:15" x14ac:dyDescent="0.4">
      <c r="A443" t="s">
        <v>1594</v>
      </c>
      <c r="B443">
        <v>80</v>
      </c>
      <c r="C443" t="s">
        <v>4</v>
      </c>
      <c r="D443">
        <v>81</v>
      </c>
      <c r="E443" t="s">
        <v>550</v>
      </c>
      <c r="F443">
        <v>1154</v>
      </c>
      <c r="G443" t="s">
        <v>1044</v>
      </c>
      <c r="I443">
        <v>20005566</v>
      </c>
      <c r="J443" t="s">
        <v>1907</v>
      </c>
      <c r="K443">
        <v>800157</v>
      </c>
      <c r="L443">
        <v>1</v>
      </c>
      <c r="M443" t="s">
        <v>1596</v>
      </c>
      <c r="N443" t="s">
        <v>252</v>
      </c>
      <c r="O443">
        <v>712800</v>
      </c>
    </row>
    <row r="444" spans="1:15" x14ac:dyDescent="0.4">
      <c r="A444" t="s">
        <v>185</v>
      </c>
      <c r="B444">
        <v>60</v>
      </c>
      <c r="C444" t="s">
        <v>3</v>
      </c>
      <c r="D444">
        <v>33</v>
      </c>
      <c r="E444" t="s">
        <v>451</v>
      </c>
      <c r="F444">
        <v>1273</v>
      </c>
      <c r="G444" t="s">
        <v>1084</v>
      </c>
      <c r="I444">
        <v>20009573</v>
      </c>
      <c r="J444" t="s">
        <v>1908</v>
      </c>
      <c r="K444">
        <v>800159</v>
      </c>
      <c r="L444">
        <v>1</v>
      </c>
      <c r="M444" t="s">
        <v>275</v>
      </c>
      <c r="N444" t="s">
        <v>234</v>
      </c>
      <c r="O444">
        <v>1320000</v>
      </c>
    </row>
    <row r="445" spans="1:15" x14ac:dyDescent="0.4">
      <c r="A445" t="s">
        <v>250</v>
      </c>
      <c r="B445">
        <v>76</v>
      </c>
      <c r="C445" t="s">
        <v>6</v>
      </c>
      <c r="D445">
        <v>61</v>
      </c>
      <c r="E445" t="s">
        <v>703</v>
      </c>
      <c r="F445">
        <v>1475</v>
      </c>
      <c r="G445" t="s">
        <v>909</v>
      </c>
      <c r="I445">
        <v>20005534</v>
      </c>
      <c r="J445" t="s">
        <v>1796</v>
      </c>
      <c r="K445">
        <v>800159</v>
      </c>
      <c r="L445">
        <v>1</v>
      </c>
      <c r="M445" t="s">
        <v>196</v>
      </c>
      <c r="N445" t="s">
        <v>215</v>
      </c>
      <c r="O445">
        <v>1357800</v>
      </c>
    </row>
    <row r="446" spans="1:15" x14ac:dyDescent="0.4">
      <c r="A446" t="s">
        <v>185</v>
      </c>
      <c r="B446">
        <v>60</v>
      </c>
      <c r="C446" t="s">
        <v>3</v>
      </c>
      <c r="D446">
        <v>33</v>
      </c>
      <c r="E446" t="s">
        <v>451</v>
      </c>
      <c r="F446">
        <v>1372</v>
      </c>
      <c r="G446" t="s">
        <v>992</v>
      </c>
      <c r="I446">
        <v>20005876</v>
      </c>
      <c r="J446" t="s">
        <v>201</v>
      </c>
      <c r="K446">
        <v>800159</v>
      </c>
      <c r="L446">
        <v>1</v>
      </c>
      <c r="M446" t="s">
        <v>275</v>
      </c>
      <c r="N446" t="s">
        <v>234</v>
      </c>
      <c r="O446">
        <v>1248000</v>
      </c>
    </row>
    <row r="447" spans="1:15" x14ac:dyDescent="0.4">
      <c r="A447" t="s">
        <v>203</v>
      </c>
      <c r="B447">
        <v>70</v>
      </c>
      <c r="C447" t="s">
        <v>2</v>
      </c>
      <c r="D447">
        <v>41</v>
      </c>
      <c r="E447" t="s">
        <v>306</v>
      </c>
      <c r="F447">
        <v>1118</v>
      </c>
      <c r="G447" t="s">
        <v>1471</v>
      </c>
      <c r="I447">
        <v>20009037</v>
      </c>
      <c r="J447" t="s">
        <v>1909</v>
      </c>
      <c r="K447">
        <v>800159</v>
      </c>
      <c r="L447">
        <v>1</v>
      </c>
      <c r="M447" t="s">
        <v>290</v>
      </c>
      <c r="N447" t="s">
        <v>295</v>
      </c>
      <c r="O447">
        <v>1347000</v>
      </c>
    </row>
    <row r="448" spans="1:15" x14ac:dyDescent="0.4">
      <c r="A448" t="s">
        <v>1548</v>
      </c>
      <c r="B448">
        <v>50</v>
      </c>
      <c r="C448" t="s">
        <v>1</v>
      </c>
      <c r="D448">
        <v>11</v>
      </c>
      <c r="E448" t="s">
        <v>192</v>
      </c>
      <c r="F448">
        <v>1353</v>
      </c>
      <c r="G448" t="s">
        <v>1017</v>
      </c>
      <c r="I448">
        <v>10066302</v>
      </c>
      <c r="J448" t="s">
        <v>1910</v>
      </c>
      <c r="K448">
        <v>800159</v>
      </c>
      <c r="L448">
        <v>1</v>
      </c>
      <c r="M448" t="s">
        <v>1586</v>
      </c>
      <c r="N448" t="s">
        <v>224</v>
      </c>
      <c r="O448">
        <v>1320000</v>
      </c>
    </row>
    <row r="449" spans="1:15" x14ac:dyDescent="0.4">
      <c r="A449" t="s">
        <v>1523</v>
      </c>
      <c r="B449">
        <v>76</v>
      </c>
      <c r="C449" t="s">
        <v>6</v>
      </c>
      <c r="D449">
        <v>61</v>
      </c>
      <c r="E449" t="s">
        <v>703</v>
      </c>
      <c r="F449">
        <v>1389</v>
      </c>
      <c r="G449" t="s">
        <v>1197</v>
      </c>
      <c r="I449">
        <v>20008932</v>
      </c>
      <c r="J449" t="s">
        <v>1911</v>
      </c>
      <c r="K449">
        <v>800157</v>
      </c>
      <c r="L449">
        <v>1</v>
      </c>
      <c r="M449" t="s">
        <v>1587</v>
      </c>
      <c r="N449" t="s">
        <v>259</v>
      </c>
      <c r="O449">
        <v>864000</v>
      </c>
    </row>
    <row r="450" spans="1:15" x14ac:dyDescent="0.4">
      <c r="A450" t="s">
        <v>1475</v>
      </c>
      <c r="B450">
        <v>76</v>
      </c>
      <c r="C450" t="s">
        <v>6</v>
      </c>
      <c r="D450">
        <v>61</v>
      </c>
      <c r="E450" t="s">
        <v>703</v>
      </c>
      <c r="F450">
        <v>1475</v>
      </c>
      <c r="G450" t="s">
        <v>909</v>
      </c>
      <c r="I450">
        <v>20009133</v>
      </c>
      <c r="J450" t="s">
        <v>1912</v>
      </c>
      <c r="K450">
        <v>800157</v>
      </c>
      <c r="L450">
        <v>1</v>
      </c>
      <c r="M450" t="s">
        <v>1479</v>
      </c>
      <c r="N450" t="s">
        <v>231</v>
      </c>
      <c r="O450">
        <v>790400</v>
      </c>
    </row>
    <row r="451" spans="1:15" x14ac:dyDescent="0.4">
      <c r="A451" t="s">
        <v>1469</v>
      </c>
      <c r="B451">
        <v>70</v>
      </c>
      <c r="C451" t="s">
        <v>2</v>
      </c>
      <c r="D451">
        <v>41</v>
      </c>
      <c r="E451" t="s">
        <v>306</v>
      </c>
      <c r="F451">
        <v>1298</v>
      </c>
      <c r="G451" t="s">
        <v>1277</v>
      </c>
      <c r="I451">
        <v>20008863</v>
      </c>
      <c r="J451" t="s">
        <v>1913</v>
      </c>
      <c r="K451">
        <v>800157</v>
      </c>
      <c r="L451">
        <v>1</v>
      </c>
      <c r="M451" t="s">
        <v>1475</v>
      </c>
      <c r="N451" t="s">
        <v>187</v>
      </c>
      <c r="O451">
        <v>928000</v>
      </c>
    </row>
    <row r="452" spans="1:15" x14ac:dyDescent="0.4">
      <c r="A452" t="s">
        <v>1587</v>
      </c>
      <c r="B452">
        <v>80</v>
      </c>
      <c r="C452" t="s">
        <v>4</v>
      </c>
      <c r="D452">
        <v>81</v>
      </c>
      <c r="E452" t="s">
        <v>550</v>
      </c>
      <c r="F452">
        <v>1436</v>
      </c>
      <c r="G452" t="s">
        <v>918</v>
      </c>
      <c r="I452">
        <v>20005932</v>
      </c>
      <c r="J452" t="s">
        <v>1914</v>
      </c>
      <c r="K452">
        <v>800159</v>
      </c>
      <c r="L452">
        <v>1</v>
      </c>
      <c r="M452" t="s">
        <v>1548</v>
      </c>
      <c r="N452" t="s">
        <v>329</v>
      </c>
      <c r="O452">
        <v>1296000</v>
      </c>
    </row>
    <row r="453" spans="1:15" x14ac:dyDescent="0.4">
      <c r="A453" t="s">
        <v>221</v>
      </c>
      <c r="B453">
        <v>80</v>
      </c>
      <c r="C453" t="s">
        <v>4</v>
      </c>
      <c r="D453">
        <v>71</v>
      </c>
      <c r="E453" t="s">
        <v>556</v>
      </c>
      <c r="F453">
        <v>1296</v>
      </c>
      <c r="G453" t="s">
        <v>964</v>
      </c>
      <c r="I453">
        <v>10056775</v>
      </c>
      <c r="J453" t="s">
        <v>1915</v>
      </c>
      <c r="K453">
        <v>800159</v>
      </c>
      <c r="L453">
        <v>1</v>
      </c>
      <c r="M453" t="s">
        <v>204</v>
      </c>
      <c r="O453">
        <v>1325400</v>
      </c>
    </row>
    <row r="454" spans="1:15" x14ac:dyDescent="0.4">
      <c r="A454" t="s">
        <v>1589</v>
      </c>
      <c r="B454">
        <v>60</v>
      </c>
      <c r="C454" t="s">
        <v>3</v>
      </c>
      <c r="D454">
        <v>33</v>
      </c>
      <c r="E454" t="s">
        <v>451</v>
      </c>
      <c r="F454">
        <v>1220</v>
      </c>
      <c r="G454" t="s">
        <v>1343</v>
      </c>
      <c r="I454">
        <v>20009097</v>
      </c>
      <c r="J454" t="s">
        <v>1916</v>
      </c>
      <c r="K454">
        <v>800159</v>
      </c>
      <c r="L454">
        <v>1</v>
      </c>
      <c r="M454" t="s">
        <v>1594</v>
      </c>
      <c r="N454" t="s">
        <v>294</v>
      </c>
      <c r="O454">
        <v>1758400</v>
      </c>
    </row>
    <row r="455" spans="1:15" x14ac:dyDescent="0.4">
      <c r="A455" t="s">
        <v>1470</v>
      </c>
      <c r="B455">
        <v>60</v>
      </c>
      <c r="C455" t="s">
        <v>3</v>
      </c>
      <c r="D455">
        <v>31</v>
      </c>
      <c r="E455" t="s">
        <v>447</v>
      </c>
      <c r="F455">
        <v>1367</v>
      </c>
      <c r="G455" t="s">
        <v>977</v>
      </c>
      <c r="I455">
        <v>20009193</v>
      </c>
      <c r="J455" t="s">
        <v>1917</v>
      </c>
      <c r="K455">
        <v>800157</v>
      </c>
      <c r="L455">
        <v>1</v>
      </c>
      <c r="M455" t="s">
        <v>1469</v>
      </c>
      <c r="N455" t="s">
        <v>197</v>
      </c>
      <c r="O455">
        <v>803200</v>
      </c>
    </row>
    <row r="456" spans="1:15" x14ac:dyDescent="0.4">
      <c r="A456" t="s">
        <v>185</v>
      </c>
      <c r="B456">
        <v>80</v>
      </c>
      <c r="C456" t="s">
        <v>4</v>
      </c>
      <c r="D456">
        <v>71</v>
      </c>
      <c r="E456" t="s">
        <v>556</v>
      </c>
      <c r="F456">
        <v>1296</v>
      </c>
      <c r="G456" t="s">
        <v>964</v>
      </c>
      <c r="I456">
        <v>10021842</v>
      </c>
      <c r="J456" t="s">
        <v>1918</v>
      </c>
      <c r="K456">
        <v>800159</v>
      </c>
      <c r="L456">
        <v>1</v>
      </c>
      <c r="M456" t="s">
        <v>275</v>
      </c>
      <c r="N456" t="s">
        <v>234</v>
      </c>
      <c r="O456">
        <v>1514400</v>
      </c>
    </row>
    <row r="457" spans="1:15" x14ac:dyDescent="0.4">
      <c r="A457" t="s">
        <v>311</v>
      </c>
      <c r="B457">
        <v>80</v>
      </c>
      <c r="C457" t="s">
        <v>4</v>
      </c>
      <c r="D457">
        <v>81</v>
      </c>
      <c r="E457" t="s">
        <v>550</v>
      </c>
      <c r="F457">
        <v>1436</v>
      </c>
      <c r="G457" t="s">
        <v>918</v>
      </c>
      <c r="I457">
        <v>20009210</v>
      </c>
      <c r="J457" t="s">
        <v>1919</v>
      </c>
      <c r="K457">
        <v>800159</v>
      </c>
      <c r="L457">
        <v>1</v>
      </c>
      <c r="M457" t="s">
        <v>258</v>
      </c>
      <c r="N457" t="s">
        <v>263</v>
      </c>
      <c r="O457">
        <v>1320000</v>
      </c>
    </row>
    <row r="458" spans="1:15" x14ac:dyDescent="0.4">
      <c r="A458" t="s">
        <v>1470</v>
      </c>
      <c r="B458">
        <v>70</v>
      </c>
      <c r="C458" t="s">
        <v>2</v>
      </c>
      <c r="D458">
        <v>41</v>
      </c>
      <c r="E458" t="s">
        <v>306</v>
      </c>
      <c r="F458">
        <v>1510</v>
      </c>
      <c r="G458" t="s">
        <v>870</v>
      </c>
      <c r="I458">
        <v>20009106</v>
      </c>
      <c r="J458" t="s">
        <v>1920</v>
      </c>
      <c r="K458">
        <v>800157</v>
      </c>
      <c r="L458">
        <v>1</v>
      </c>
      <c r="M458" t="s">
        <v>1469</v>
      </c>
      <c r="N458" t="s">
        <v>197</v>
      </c>
      <c r="O458">
        <v>787200</v>
      </c>
    </row>
    <row r="459" spans="1:15" x14ac:dyDescent="0.4">
      <c r="A459" t="s">
        <v>1469</v>
      </c>
      <c r="B459">
        <v>70</v>
      </c>
      <c r="C459" t="s">
        <v>2</v>
      </c>
      <c r="D459">
        <v>41</v>
      </c>
      <c r="E459" t="s">
        <v>306</v>
      </c>
      <c r="F459">
        <v>1552</v>
      </c>
      <c r="G459" t="s">
        <v>929</v>
      </c>
      <c r="I459">
        <v>20009147</v>
      </c>
      <c r="J459" t="s">
        <v>1921</v>
      </c>
      <c r="K459">
        <v>800157</v>
      </c>
      <c r="L459">
        <v>1</v>
      </c>
      <c r="M459" t="s">
        <v>1475</v>
      </c>
      <c r="N459" t="s">
        <v>187</v>
      </c>
      <c r="O459">
        <v>787200</v>
      </c>
    </row>
    <row r="460" spans="1:15" x14ac:dyDescent="0.4">
      <c r="A460" t="s">
        <v>1469</v>
      </c>
      <c r="B460">
        <v>70</v>
      </c>
      <c r="C460" t="s">
        <v>2</v>
      </c>
      <c r="D460">
        <v>41</v>
      </c>
      <c r="E460" t="s">
        <v>306</v>
      </c>
      <c r="F460">
        <v>1552</v>
      </c>
      <c r="G460" t="s">
        <v>929</v>
      </c>
      <c r="I460">
        <v>20009262</v>
      </c>
      <c r="J460" t="s">
        <v>1922</v>
      </c>
      <c r="K460">
        <v>800157</v>
      </c>
      <c r="L460">
        <v>1</v>
      </c>
      <c r="M460" t="s">
        <v>1475</v>
      </c>
      <c r="N460" t="s">
        <v>187</v>
      </c>
      <c r="O460">
        <v>816000</v>
      </c>
    </row>
    <row r="461" spans="1:15" x14ac:dyDescent="0.4">
      <c r="A461" t="s">
        <v>275</v>
      </c>
      <c r="B461">
        <v>75</v>
      </c>
      <c r="C461" t="s">
        <v>5</v>
      </c>
      <c r="D461">
        <v>51</v>
      </c>
      <c r="E461" t="s">
        <v>657</v>
      </c>
      <c r="F461">
        <v>1415</v>
      </c>
      <c r="G461" t="s">
        <v>1038</v>
      </c>
      <c r="I461">
        <v>10048734</v>
      </c>
      <c r="J461" t="s">
        <v>1923</v>
      </c>
      <c r="K461">
        <v>800159</v>
      </c>
      <c r="L461">
        <v>1</v>
      </c>
      <c r="M461" t="s">
        <v>281</v>
      </c>
      <c r="N461" t="s">
        <v>246</v>
      </c>
      <c r="O461">
        <v>1411800</v>
      </c>
    </row>
    <row r="462" spans="1:15" x14ac:dyDescent="0.4">
      <c r="A462" t="s">
        <v>1475</v>
      </c>
      <c r="B462">
        <v>76</v>
      </c>
      <c r="C462" t="s">
        <v>6</v>
      </c>
      <c r="D462">
        <v>61</v>
      </c>
      <c r="E462" t="s">
        <v>703</v>
      </c>
      <c r="F462">
        <v>1475</v>
      </c>
      <c r="G462" t="s">
        <v>909</v>
      </c>
      <c r="I462">
        <v>20009096</v>
      </c>
      <c r="J462" t="s">
        <v>1924</v>
      </c>
      <c r="K462">
        <v>800157</v>
      </c>
      <c r="L462">
        <v>1</v>
      </c>
      <c r="M462" t="s">
        <v>1479</v>
      </c>
      <c r="N462" t="s">
        <v>231</v>
      </c>
      <c r="O462">
        <v>950400</v>
      </c>
    </row>
    <row r="463" spans="1:15" x14ac:dyDescent="0.4">
      <c r="A463" t="s">
        <v>186</v>
      </c>
      <c r="B463">
        <v>76</v>
      </c>
      <c r="C463" t="s">
        <v>6</v>
      </c>
      <c r="D463">
        <v>61</v>
      </c>
      <c r="E463" t="s">
        <v>703</v>
      </c>
      <c r="F463">
        <v>1563</v>
      </c>
      <c r="G463" t="s">
        <v>942</v>
      </c>
      <c r="I463">
        <v>20009192</v>
      </c>
      <c r="J463" t="s">
        <v>1925</v>
      </c>
      <c r="K463">
        <v>800159</v>
      </c>
      <c r="L463">
        <v>1</v>
      </c>
      <c r="M463" t="s">
        <v>238</v>
      </c>
      <c r="N463" t="s">
        <v>239</v>
      </c>
      <c r="O463">
        <v>1330800</v>
      </c>
    </row>
    <row r="464" spans="1:15" x14ac:dyDescent="0.4">
      <c r="A464" t="s">
        <v>1470</v>
      </c>
      <c r="B464">
        <v>70</v>
      </c>
      <c r="C464" t="s">
        <v>2</v>
      </c>
      <c r="D464">
        <v>41</v>
      </c>
      <c r="E464" t="s">
        <v>306</v>
      </c>
      <c r="F464">
        <v>1445</v>
      </c>
      <c r="G464" t="s">
        <v>886</v>
      </c>
      <c r="I464">
        <v>20009185</v>
      </c>
      <c r="J464" t="s">
        <v>1926</v>
      </c>
      <c r="K464">
        <v>800157</v>
      </c>
      <c r="L464">
        <v>1</v>
      </c>
      <c r="M464" t="s">
        <v>1469</v>
      </c>
      <c r="N464" t="s">
        <v>197</v>
      </c>
      <c r="O464">
        <v>816000</v>
      </c>
    </row>
    <row r="465" spans="1:15" x14ac:dyDescent="0.4">
      <c r="A465" t="s">
        <v>1479</v>
      </c>
      <c r="B465">
        <v>80</v>
      </c>
      <c r="C465" t="s">
        <v>4</v>
      </c>
      <c r="D465">
        <v>81</v>
      </c>
      <c r="E465" t="s">
        <v>550</v>
      </c>
      <c r="F465">
        <v>1436</v>
      </c>
      <c r="G465" t="s">
        <v>918</v>
      </c>
      <c r="I465">
        <v>10070212</v>
      </c>
      <c r="J465" t="s">
        <v>1927</v>
      </c>
      <c r="K465">
        <v>800157</v>
      </c>
      <c r="L465">
        <v>1</v>
      </c>
      <c r="M465" t="s">
        <v>1487</v>
      </c>
      <c r="N465" t="s">
        <v>243</v>
      </c>
      <c r="O465">
        <v>905600</v>
      </c>
    </row>
    <row r="466" spans="1:15" x14ac:dyDescent="0.4">
      <c r="A466" t="s">
        <v>230</v>
      </c>
      <c r="B466">
        <v>80</v>
      </c>
      <c r="C466" t="s">
        <v>4</v>
      </c>
      <c r="D466">
        <v>81</v>
      </c>
      <c r="E466" t="s">
        <v>550</v>
      </c>
      <c r="F466">
        <v>1322</v>
      </c>
      <c r="G466" t="s">
        <v>961</v>
      </c>
      <c r="I466">
        <v>20009265</v>
      </c>
      <c r="J466" t="s">
        <v>1928</v>
      </c>
      <c r="K466">
        <v>800159</v>
      </c>
      <c r="L466">
        <v>1</v>
      </c>
      <c r="M466" t="s">
        <v>242</v>
      </c>
      <c r="N466" t="s">
        <v>247</v>
      </c>
      <c r="O466">
        <v>1622400</v>
      </c>
    </row>
    <row r="467" spans="1:15" x14ac:dyDescent="0.4">
      <c r="A467" t="s">
        <v>1475</v>
      </c>
      <c r="B467">
        <v>76</v>
      </c>
      <c r="C467" t="s">
        <v>6</v>
      </c>
      <c r="D467">
        <v>61</v>
      </c>
      <c r="E467" t="s">
        <v>703</v>
      </c>
      <c r="F467">
        <v>1475</v>
      </c>
      <c r="G467" t="s">
        <v>909</v>
      </c>
      <c r="I467">
        <v>10040383</v>
      </c>
      <c r="J467" t="s">
        <v>1929</v>
      </c>
      <c r="K467">
        <v>800155</v>
      </c>
      <c r="L467">
        <v>1</v>
      </c>
      <c r="M467" t="s">
        <v>1479</v>
      </c>
      <c r="N467" t="s">
        <v>185</v>
      </c>
      <c r="O467">
        <v>280800</v>
      </c>
    </row>
    <row r="468" spans="1:15" x14ac:dyDescent="0.4">
      <c r="A468" t="s">
        <v>185</v>
      </c>
      <c r="B468">
        <v>50</v>
      </c>
      <c r="C468" t="s">
        <v>1</v>
      </c>
      <c r="D468">
        <v>21</v>
      </c>
      <c r="E468" t="s">
        <v>182</v>
      </c>
      <c r="F468">
        <v>1264</v>
      </c>
      <c r="G468" t="s">
        <v>1023</v>
      </c>
      <c r="I468">
        <v>20009313</v>
      </c>
      <c r="J468" t="s">
        <v>1543</v>
      </c>
      <c r="K468">
        <v>800159</v>
      </c>
      <c r="L468">
        <v>1</v>
      </c>
      <c r="M468" t="s">
        <v>275</v>
      </c>
      <c r="N468" t="s">
        <v>234</v>
      </c>
      <c r="O468">
        <v>1482000</v>
      </c>
    </row>
    <row r="469" spans="1:15" x14ac:dyDescent="0.4">
      <c r="A469" t="s">
        <v>1587</v>
      </c>
      <c r="B469">
        <v>76</v>
      </c>
      <c r="C469" t="s">
        <v>6</v>
      </c>
      <c r="D469">
        <v>61</v>
      </c>
      <c r="E469" t="s">
        <v>703</v>
      </c>
      <c r="F469">
        <v>1602</v>
      </c>
      <c r="G469" t="s">
        <v>1013</v>
      </c>
      <c r="I469">
        <v>20009027</v>
      </c>
      <c r="J469" t="s">
        <v>1930</v>
      </c>
      <c r="K469">
        <v>800159</v>
      </c>
      <c r="L469">
        <v>1</v>
      </c>
      <c r="M469" t="s">
        <v>1548</v>
      </c>
      <c r="N469" t="s">
        <v>329</v>
      </c>
      <c r="O469">
        <v>1471200</v>
      </c>
    </row>
    <row r="470" spans="1:15" x14ac:dyDescent="0.4">
      <c r="A470" t="s">
        <v>1475</v>
      </c>
      <c r="B470">
        <v>70</v>
      </c>
      <c r="C470" t="s">
        <v>2</v>
      </c>
      <c r="D470">
        <v>41</v>
      </c>
      <c r="E470" t="s">
        <v>306</v>
      </c>
      <c r="F470">
        <v>1383</v>
      </c>
      <c r="G470" t="s">
        <v>957</v>
      </c>
      <c r="I470">
        <v>10082981</v>
      </c>
      <c r="J470" t="s">
        <v>1931</v>
      </c>
      <c r="K470">
        <v>800157</v>
      </c>
      <c r="L470">
        <v>1</v>
      </c>
      <c r="M470" t="s">
        <v>1479</v>
      </c>
      <c r="N470" t="s">
        <v>231</v>
      </c>
      <c r="O470">
        <v>800000</v>
      </c>
    </row>
    <row r="471" spans="1:15" x14ac:dyDescent="0.4">
      <c r="A471" t="s">
        <v>1479</v>
      </c>
      <c r="B471">
        <v>60</v>
      </c>
      <c r="C471" t="s">
        <v>3</v>
      </c>
      <c r="D471">
        <v>31</v>
      </c>
      <c r="E471" t="s">
        <v>447</v>
      </c>
      <c r="F471">
        <v>1116</v>
      </c>
      <c r="G471" t="s">
        <v>1075</v>
      </c>
      <c r="I471">
        <v>20009339</v>
      </c>
      <c r="J471" t="s">
        <v>1932</v>
      </c>
      <c r="K471">
        <v>800157</v>
      </c>
      <c r="L471">
        <v>1</v>
      </c>
      <c r="M471" t="s">
        <v>1487</v>
      </c>
      <c r="N471" t="s">
        <v>243</v>
      </c>
      <c r="O471">
        <v>880000</v>
      </c>
    </row>
    <row r="472" spans="1:15" x14ac:dyDescent="0.4">
      <c r="A472" t="s">
        <v>1475</v>
      </c>
      <c r="B472">
        <v>80</v>
      </c>
      <c r="C472" t="s">
        <v>4</v>
      </c>
      <c r="D472">
        <v>81</v>
      </c>
      <c r="E472" t="s">
        <v>550</v>
      </c>
      <c r="F472">
        <v>1436</v>
      </c>
      <c r="G472" t="s">
        <v>918</v>
      </c>
      <c r="I472">
        <v>10021558</v>
      </c>
      <c r="J472" t="s">
        <v>1933</v>
      </c>
      <c r="K472">
        <v>800157</v>
      </c>
      <c r="L472">
        <v>1</v>
      </c>
      <c r="M472" t="s">
        <v>1479</v>
      </c>
      <c r="N472" t="s">
        <v>231</v>
      </c>
      <c r="O472">
        <v>793600</v>
      </c>
    </row>
    <row r="473" spans="1:15" x14ac:dyDescent="0.4">
      <c r="A473" t="s">
        <v>1523</v>
      </c>
      <c r="B473">
        <v>60</v>
      </c>
      <c r="C473" t="s">
        <v>3</v>
      </c>
      <c r="D473">
        <v>33</v>
      </c>
      <c r="E473" t="s">
        <v>451</v>
      </c>
      <c r="F473">
        <v>1372</v>
      </c>
      <c r="G473" t="s">
        <v>992</v>
      </c>
      <c r="I473">
        <v>20009372</v>
      </c>
      <c r="J473" t="s">
        <v>1934</v>
      </c>
      <c r="K473">
        <v>800157</v>
      </c>
      <c r="L473">
        <v>1</v>
      </c>
      <c r="M473" t="s">
        <v>1587</v>
      </c>
      <c r="N473" t="s">
        <v>259</v>
      </c>
      <c r="O473">
        <v>819200</v>
      </c>
    </row>
    <row r="474" spans="1:15" x14ac:dyDescent="0.4">
      <c r="A474" t="s">
        <v>195</v>
      </c>
      <c r="B474">
        <v>76</v>
      </c>
      <c r="C474" t="s">
        <v>6</v>
      </c>
      <c r="D474">
        <v>61</v>
      </c>
      <c r="E474" t="s">
        <v>703</v>
      </c>
      <c r="F474">
        <v>1472</v>
      </c>
      <c r="G474" t="s">
        <v>998</v>
      </c>
      <c r="I474">
        <v>10055486</v>
      </c>
      <c r="J474" t="s">
        <v>1935</v>
      </c>
      <c r="K474">
        <v>800157</v>
      </c>
      <c r="L474">
        <v>1</v>
      </c>
      <c r="M474" t="s">
        <v>185</v>
      </c>
      <c r="N474" t="s">
        <v>188</v>
      </c>
      <c r="O474">
        <v>784000</v>
      </c>
    </row>
    <row r="475" spans="1:15" x14ac:dyDescent="0.4">
      <c r="A475" t="s">
        <v>1596</v>
      </c>
      <c r="B475">
        <v>50</v>
      </c>
      <c r="C475" t="s">
        <v>1</v>
      </c>
      <c r="D475">
        <v>21</v>
      </c>
      <c r="E475" t="s">
        <v>182</v>
      </c>
      <c r="F475">
        <v>1264</v>
      </c>
      <c r="G475" t="s">
        <v>1023</v>
      </c>
      <c r="I475">
        <v>20009385</v>
      </c>
      <c r="J475" t="s">
        <v>256</v>
      </c>
      <c r="K475">
        <v>800157</v>
      </c>
      <c r="L475">
        <v>1</v>
      </c>
      <c r="M475" t="s">
        <v>268</v>
      </c>
      <c r="N475" t="s">
        <v>212</v>
      </c>
      <c r="O475">
        <v>947200</v>
      </c>
    </row>
    <row r="476" spans="1:15" x14ac:dyDescent="0.4">
      <c r="A476" t="s">
        <v>195</v>
      </c>
      <c r="B476">
        <v>80</v>
      </c>
      <c r="C476" t="s">
        <v>4</v>
      </c>
      <c r="D476">
        <v>81</v>
      </c>
      <c r="E476" t="s">
        <v>550</v>
      </c>
      <c r="F476">
        <v>1322</v>
      </c>
      <c r="G476" t="s">
        <v>961</v>
      </c>
      <c r="I476">
        <v>10026041</v>
      </c>
      <c r="J476" t="s">
        <v>626</v>
      </c>
      <c r="K476">
        <v>800159</v>
      </c>
      <c r="L476">
        <v>1</v>
      </c>
      <c r="M476" t="s">
        <v>185</v>
      </c>
      <c r="N476" t="s">
        <v>190</v>
      </c>
      <c r="O476">
        <v>1384800</v>
      </c>
    </row>
    <row r="477" spans="1:15" x14ac:dyDescent="0.4">
      <c r="A477" t="s">
        <v>1587</v>
      </c>
      <c r="B477">
        <v>80</v>
      </c>
      <c r="C477" t="s">
        <v>4</v>
      </c>
      <c r="D477">
        <v>81</v>
      </c>
      <c r="E477" t="s">
        <v>550</v>
      </c>
      <c r="F477">
        <v>1322</v>
      </c>
      <c r="G477" t="s">
        <v>961</v>
      </c>
      <c r="I477">
        <v>10023312</v>
      </c>
      <c r="J477" t="s">
        <v>1936</v>
      </c>
      <c r="K477">
        <v>800159</v>
      </c>
      <c r="L477">
        <v>1</v>
      </c>
      <c r="M477" t="s">
        <v>1548</v>
      </c>
      <c r="N477" t="s">
        <v>329</v>
      </c>
      <c r="O477">
        <v>1617000</v>
      </c>
    </row>
    <row r="478" spans="1:15" x14ac:dyDescent="0.4">
      <c r="A478" t="s">
        <v>1523</v>
      </c>
      <c r="B478">
        <v>76</v>
      </c>
      <c r="C478" t="s">
        <v>6</v>
      </c>
      <c r="D478">
        <v>61</v>
      </c>
      <c r="E478" t="s">
        <v>703</v>
      </c>
      <c r="F478">
        <v>1468</v>
      </c>
      <c r="G478" t="s">
        <v>914</v>
      </c>
      <c r="I478">
        <v>20009401</v>
      </c>
      <c r="J478" t="s">
        <v>1937</v>
      </c>
      <c r="K478">
        <v>800157</v>
      </c>
      <c r="L478">
        <v>1</v>
      </c>
      <c r="M478" t="s">
        <v>1587</v>
      </c>
      <c r="N478" t="s">
        <v>259</v>
      </c>
      <c r="O478">
        <v>854400</v>
      </c>
    </row>
    <row r="479" spans="1:15" x14ac:dyDescent="0.4">
      <c r="A479" t="s">
        <v>1523</v>
      </c>
      <c r="B479">
        <v>60</v>
      </c>
      <c r="C479" t="s">
        <v>3</v>
      </c>
      <c r="D479">
        <v>33</v>
      </c>
      <c r="E479" t="s">
        <v>451</v>
      </c>
      <c r="F479">
        <v>1273</v>
      </c>
      <c r="G479" t="s">
        <v>1084</v>
      </c>
      <c r="I479">
        <v>20009354</v>
      </c>
      <c r="J479" t="s">
        <v>1938</v>
      </c>
      <c r="K479">
        <v>800157</v>
      </c>
      <c r="L479">
        <v>1</v>
      </c>
      <c r="M479" t="s">
        <v>1587</v>
      </c>
      <c r="N479" t="s">
        <v>259</v>
      </c>
      <c r="O479">
        <v>819200</v>
      </c>
    </row>
    <row r="480" spans="1:15" x14ac:dyDescent="0.4">
      <c r="A480" t="s">
        <v>1487</v>
      </c>
      <c r="B480">
        <v>80</v>
      </c>
      <c r="C480" t="s">
        <v>4</v>
      </c>
      <c r="D480">
        <v>81</v>
      </c>
      <c r="E480" t="s">
        <v>550</v>
      </c>
      <c r="F480">
        <v>1436</v>
      </c>
      <c r="G480" t="s">
        <v>918</v>
      </c>
      <c r="I480">
        <v>10080395</v>
      </c>
      <c r="J480" t="s">
        <v>1939</v>
      </c>
      <c r="K480">
        <v>800157</v>
      </c>
      <c r="L480">
        <v>1</v>
      </c>
      <c r="M480" t="s">
        <v>1523</v>
      </c>
      <c r="N480" t="s">
        <v>312</v>
      </c>
      <c r="O480">
        <v>806400</v>
      </c>
    </row>
    <row r="481" spans="1:15" x14ac:dyDescent="0.4">
      <c r="A481" t="s">
        <v>1523</v>
      </c>
      <c r="B481">
        <v>76</v>
      </c>
      <c r="C481" t="s">
        <v>6</v>
      </c>
      <c r="D481">
        <v>61</v>
      </c>
      <c r="E481" t="s">
        <v>703</v>
      </c>
      <c r="F481">
        <v>1389</v>
      </c>
      <c r="G481" t="s">
        <v>1197</v>
      </c>
      <c r="I481">
        <v>20009300</v>
      </c>
      <c r="J481" t="s">
        <v>1940</v>
      </c>
      <c r="K481">
        <v>800157</v>
      </c>
      <c r="L481">
        <v>1</v>
      </c>
      <c r="M481" t="s">
        <v>1587</v>
      </c>
      <c r="N481" t="s">
        <v>259</v>
      </c>
      <c r="O481">
        <v>828800</v>
      </c>
    </row>
    <row r="482" spans="1:15" x14ac:dyDescent="0.4">
      <c r="A482" t="s">
        <v>1487</v>
      </c>
      <c r="B482">
        <v>80</v>
      </c>
      <c r="C482" t="s">
        <v>4</v>
      </c>
      <c r="D482">
        <v>81</v>
      </c>
      <c r="E482" t="s">
        <v>550</v>
      </c>
      <c r="F482">
        <v>1154</v>
      </c>
      <c r="G482" t="s">
        <v>1044</v>
      </c>
      <c r="I482">
        <v>20009426</v>
      </c>
      <c r="J482" t="s">
        <v>1941</v>
      </c>
      <c r="K482">
        <v>800157</v>
      </c>
      <c r="L482">
        <v>1</v>
      </c>
      <c r="M482" t="s">
        <v>1523</v>
      </c>
      <c r="N482" t="s">
        <v>312</v>
      </c>
      <c r="O482">
        <v>841600</v>
      </c>
    </row>
    <row r="483" spans="1:15" x14ac:dyDescent="0.4">
      <c r="A483" t="s">
        <v>1523</v>
      </c>
      <c r="B483">
        <v>60</v>
      </c>
      <c r="C483" t="s">
        <v>3</v>
      </c>
      <c r="D483">
        <v>33</v>
      </c>
      <c r="E483" t="s">
        <v>451</v>
      </c>
      <c r="F483">
        <v>1220</v>
      </c>
      <c r="G483" t="s">
        <v>1343</v>
      </c>
      <c r="I483">
        <v>20009427</v>
      </c>
      <c r="J483" t="s">
        <v>1942</v>
      </c>
      <c r="K483">
        <v>800159</v>
      </c>
      <c r="L483">
        <v>1</v>
      </c>
      <c r="M483" t="s">
        <v>1587</v>
      </c>
      <c r="N483" t="s">
        <v>261</v>
      </c>
      <c r="O483">
        <v>1395600</v>
      </c>
    </row>
    <row r="484" spans="1:15" x14ac:dyDescent="0.4">
      <c r="A484" t="s">
        <v>195</v>
      </c>
      <c r="B484">
        <v>76</v>
      </c>
      <c r="C484" t="s">
        <v>6</v>
      </c>
      <c r="D484">
        <v>61</v>
      </c>
      <c r="E484" t="s">
        <v>703</v>
      </c>
      <c r="F484">
        <v>1475</v>
      </c>
      <c r="G484" t="s">
        <v>909</v>
      </c>
      <c r="I484">
        <v>10016163</v>
      </c>
      <c r="J484" t="s">
        <v>1943</v>
      </c>
      <c r="K484">
        <v>800159</v>
      </c>
      <c r="L484">
        <v>1</v>
      </c>
      <c r="M484" t="s">
        <v>185</v>
      </c>
      <c r="N484" t="s">
        <v>190</v>
      </c>
      <c r="O484">
        <v>1320000</v>
      </c>
    </row>
    <row r="485" spans="1:15" x14ac:dyDescent="0.4">
      <c r="A485" t="s">
        <v>1479</v>
      </c>
      <c r="B485">
        <v>76</v>
      </c>
      <c r="C485" t="s">
        <v>6</v>
      </c>
      <c r="D485">
        <v>61</v>
      </c>
      <c r="E485" t="s">
        <v>703</v>
      </c>
      <c r="F485">
        <v>1472</v>
      </c>
      <c r="G485" t="s">
        <v>998</v>
      </c>
      <c r="I485">
        <v>10086245</v>
      </c>
      <c r="J485" t="s">
        <v>1944</v>
      </c>
      <c r="K485">
        <v>800157</v>
      </c>
      <c r="L485">
        <v>1</v>
      </c>
      <c r="M485" t="s">
        <v>1487</v>
      </c>
      <c r="N485" t="s">
        <v>243</v>
      </c>
      <c r="O485">
        <v>784000</v>
      </c>
    </row>
    <row r="486" spans="1:15" x14ac:dyDescent="0.4">
      <c r="A486" t="s">
        <v>1589</v>
      </c>
      <c r="B486">
        <v>60</v>
      </c>
      <c r="C486" t="s">
        <v>3</v>
      </c>
      <c r="D486">
        <v>31</v>
      </c>
      <c r="E486" t="s">
        <v>447</v>
      </c>
      <c r="F486">
        <v>1367</v>
      </c>
      <c r="G486" t="s">
        <v>977</v>
      </c>
      <c r="I486">
        <v>10051170</v>
      </c>
      <c r="J486" t="s">
        <v>1945</v>
      </c>
      <c r="K486">
        <v>800159</v>
      </c>
      <c r="L486">
        <v>1</v>
      </c>
      <c r="M486" t="s">
        <v>1594</v>
      </c>
      <c r="N486" t="s">
        <v>294</v>
      </c>
      <c r="O486">
        <v>1449600</v>
      </c>
    </row>
    <row r="487" spans="1:15" x14ac:dyDescent="0.4">
      <c r="A487" t="s">
        <v>1469</v>
      </c>
      <c r="B487">
        <v>60</v>
      </c>
      <c r="C487" t="s">
        <v>3</v>
      </c>
      <c r="D487">
        <v>33</v>
      </c>
      <c r="E487" t="s">
        <v>451</v>
      </c>
      <c r="F487">
        <v>1372</v>
      </c>
      <c r="G487" t="s">
        <v>992</v>
      </c>
      <c r="I487">
        <v>10010981</v>
      </c>
      <c r="J487" t="s">
        <v>1946</v>
      </c>
      <c r="K487">
        <v>800157</v>
      </c>
      <c r="L487">
        <v>1</v>
      </c>
      <c r="M487" t="s">
        <v>1475</v>
      </c>
      <c r="N487" t="s">
        <v>187</v>
      </c>
      <c r="O487">
        <v>787200</v>
      </c>
    </row>
    <row r="488" spans="1:15" x14ac:dyDescent="0.4">
      <c r="A488" t="s">
        <v>1469</v>
      </c>
      <c r="B488">
        <v>75</v>
      </c>
      <c r="C488" t="s">
        <v>5</v>
      </c>
      <c r="D488">
        <v>51</v>
      </c>
      <c r="E488" t="s">
        <v>657</v>
      </c>
      <c r="F488">
        <v>1415</v>
      </c>
      <c r="G488" t="s">
        <v>1038</v>
      </c>
      <c r="I488">
        <v>20005868</v>
      </c>
      <c r="J488" t="s">
        <v>1947</v>
      </c>
      <c r="K488">
        <v>800157</v>
      </c>
      <c r="L488">
        <v>1</v>
      </c>
      <c r="M488" t="s">
        <v>1475</v>
      </c>
      <c r="N488" t="s">
        <v>187</v>
      </c>
      <c r="O488">
        <v>784000</v>
      </c>
    </row>
    <row r="489" spans="1:15" x14ac:dyDescent="0.4">
      <c r="A489" t="s">
        <v>1479</v>
      </c>
      <c r="B489">
        <v>70</v>
      </c>
      <c r="C489" t="s">
        <v>2</v>
      </c>
      <c r="D489">
        <v>41</v>
      </c>
      <c r="E489" t="s">
        <v>306</v>
      </c>
      <c r="F489">
        <v>1510</v>
      </c>
      <c r="G489" t="s">
        <v>870</v>
      </c>
      <c r="I489">
        <v>10020234</v>
      </c>
      <c r="J489" t="s">
        <v>1948</v>
      </c>
      <c r="K489">
        <v>800157</v>
      </c>
      <c r="L489">
        <v>1</v>
      </c>
      <c r="M489" t="s">
        <v>1487</v>
      </c>
      <c r="N489" t="s">
        <v>243</v>
      </c>
      <c r="O489">
        <v>493200</v>
      </c>
    </row>
    <row r="490" spans="1:15" x14ac:dyDescent="0.4">
      <c r="A490" t="s">
        <v>186</v>
      </c>
      <c r="B490">
        <v>75</v>
      </c>
      <c r="C490" t="s">
        <v>5</v>
      </c>
      <c r="D490">
        <v>51</v>
      </c>
      <c r="E490" t="s">
        <v>657</v>
      </c>
      <c r="F490">
        <v>1415</v>
      </c>
      <c r="G490" t="s">
        <v>1038</v>
      </c>
      <c r="I490">
        <v>10030372</v>
      </c>
      <c r="J490" t="s">
        <v>1949</v>
      </c>
      <c r="K490">
        <v>800159</v>
      </c>
      <c r="L490">
        <v>1</v>
      </c>
      <c r="M490" t="s">
        <v>238</v>
      </c>
      <c r="N490" t="s">
        <v>239</v>
      </c>
      <c r="O490">
        <v>1411800</v>
      </c>
    </row>
    <row r="491" spans="1:15" x14ac:dyDescent="0.4">
      <c r="A491" t="s">
        <v>230</v>
      </c>
      <c r="B491">
        <v>80</v>
      </c>
      <c r="C491" t="s">
        <v>4</v>
      </c>
      <c r="D491">
        <v>71</v>
      </c>
      <c r="E491" t="s">
        <v>556</v>
      </c>
      <c r="F491">
        <v>1296</v>
      </c>
      <c r="G491" t="s">
        <v>964</v>
      </c>
      <c r="I491">
        <v>10036979</v>
      </c>
      <c r="J491" t="s">
        <v>1950</v>
      </c>
      <c r="K491">
        <v>800159</v>
      </c>
      <c r="L491">
        <v>1</v>
      </c>
      <c r="M491" t="s">
        <v>242</v>
      </c>
      <c r="N491" t="s">
        <v>247</v>
      </c>
      <c r="O491">
        <v>1341600</v>
      </c>
    </row>
    <row r="492" spans="1:15" x14ac:dyDescent="0.4">
      <c r="A492" t="s">
        <v>311</v>
      </c>
      <c r="B492">
        <v>75</v>
      </c>
      <c r="C492" t="s">
        <v>5</v>
      </c>
      <c r="D492">
        <v>51</v>
      </c>
      <c r="E492" t="s">
        <v>657</v>
      </c>
      <c r="F492">
        <v>1365</v>
      </c>
      <c r="G492" t="s">
        <v>1148</v>
      </c>
      <c r="I492">
        <v>10031849</v>
      </c>
      <c r="J492" t="s">
        <v>1951</v>
      </c>
      <c r="K492">
        <v>800159</v>
      </c>
      <c r="L492">
        <v>1</v>
      </c>
      <c r="M492" t="s">
        <v>258</v>
      </c>
      <c r="N492" t="s">
        <v>263</v>
      </c>
      <c r="O492">
        <v>1401000</v>
      </c>
    </row>
    <row r="493" spans="1:15" x14ac:dyDescent="0.4">
      <c r="A493" t="s">
        <v>1469</v>
      </c>
      <c r="B493">
        <v>70</v>
      </c>
      <c r="C493" t="s">
        <v>2</v>
      </c>
      <c r="D493">
        <v>41</v>
      </c>
      <c r="E493" t="s">
        <v>306</v>
      </c>
      <c r="F493">
        <v>1298</v>
      </c>
      <c r="G493" t="s">
        <v>1277</v>
      </c>
      <c r="I493">
        <v>20005502</v>
      </c>
      <c r="J493" t="s">
        <v>1952</v>
      </c>
      <c r="K493">
        <v>800157</v>
      </c>
      <c r="L493">
        <v>1</v>
      </c>
      <c r="M493" t="s">
        <v>1475</v>
      </c>
      <c r="N493" t="s">
        <v>187</v>
      </c>
      <c r="O493">
        <v>619200</v>
      </c>
    </row>
    <row r="494" spans="1:15" x14ac:dyDescent="0.4">
      <c r="A494" t="s">
        <v>1523</v>
      </c>
      <c r="B494">
        <v>75</v>
      </c>
      <c r="C494" t="s">
        <v>5</v>
      </c>
      <c r="D494">
        <v>51</v>
      </c>
      <c r="E494" t="s">
        <v>657</v>
      </c>
      <c r="F494">
        <v>1435</v>
      </c>
      <c r="G494" t="s">
        <v>860</v>
      </c>
      <c r="I494">
        <v>10040361</v>
      </c>
      <c r="J494" t="s">
        <v>1953</v>
      </c>
      <c r="K494">
        <v>800157</v>
      </c>
      <c r="L494">
        <v>1</v>
      </c>
      <c r="M494" t="s">
        <v>1587</v>
      </c>
      <c r="N494" t="s">
        <v>259</v>
      </c>
      <c r="O494">
        <v>784000</v>
      </c>
    </row>
    <row r="495" spans="1:15" x14ac:dyDescent="0.4">
      <c r="A495" t="s">
        <v>1589</v>
      </c>
      <c r="B495">
        <v>50</v>
      </c>
      <c r="C495" t="s">
        <v>1</v>
      </c>
      <c r="D495">
        <v>11</v>
      </c>
      <c r="E495" t="s">
        <v>192</v>
      </c>
      <c r="F495">
        <v>1353</v>
      </c>
      <c r="G495" t="s">
        <v>1017</v>
      </c>
      <c r="I495">
        <v>10053577</v>
      </c>
      <c r="J495" t="s">
        <v>1954</v>
      </c>
      <c r="K495">
        <v>800159</v>
      </c>
      <c r="L495">
        <v>1</v>
      </c>
      <c r="M495" t="s">
        <v>1594</v>
      </c>
      <c r="N495" t="s">
        <v>294</v>
      </c>
      <c r="O495">
        <v>1272000</v>
      </c>
    </row>
    <row r="496" spans="1:15" x14ac:dyDescent="0.4">
      <c r="A496" t="s">
        <v>250</v>
      </c>
      <c r="B496">
        <v>60</v>
      </c>
      <c r="C496" t="s">
        <v>3</v>
      </c>
      <c r="D496">
        <v>33</v>
      </c>
      <c r="E496" t="s">
        <v>451</v>
      </c>
      <c r="F496">
        <v>1273</v>
      </c>
      <c r="G496" t="s">
        <v>1084</v>
      </c>
      <c r="I496">
        <v>20005753</v>
      </c>
      <c r="J496" t="s">
        <v>1955</v>
      </c>
      <c r="K496">
        <v>800159</v>
      </c>
      <c r="L496">
        <v>1</v>
      </c>
      <c r="M496" t="s">
        <v>196</v>
      </c>
      <c r="N496" t="s">
        <v>215</v>
      </c>
      <c r="O496">
        <v>1344000</v>
      </c>
    </row>
    <row r="497" spans="1:15" x14ac:dyDescent="0.4">
      <c r="A497" t="s">
        <v>268</v>
      </c>
      <c r="B497">
        <v>60</v>
      </c>
      <c r="C497" t="s">
        <v>3</v>
      </c>
      <c r="D497">
        <v>31</v>
      </c>
      <c r="E497" t="s">
        <v>447</v>
      </c>
      <c r="F497">
        <v>1299</v>
      </c>
      <c r="G497" t="s">
        <v>947</v>
      </c>
      <c r="I497">
        <v>10048063</v>
      </c>
      <c r="J497" t="s">
        <v>1956</v>
      </c>
      <c r="K497">
        <v>800159</v>
      </c>
      <c r="L497">
        <v>1</v>
      </c>
      <c r="M497" t="s">
        <v>195</v>
      </c>
      <c r="N497" t="s">
        <v>200</v>
      </c>
      <c r="O497">
        <v>1098000</v>
      </c>
    </row>
    <row r="498" spans="1:15" x14ac:dyDescent="0.4">
      <c r="A498" t="s">
        <v>203</v>
      </c>
      <c r="B498">
        <v>76</v>
      </c>
      <c r="C498" t="s">
        <v>6</v>
      </c>
      <c r="D498">
        <v>61</v>
      </c>
      <c r="E498" t="s">
        <v>703</v>
      </c>
      <c r="F498">
        <v>1468</v>
      </c>
      <c r="G498" t="s">
        <v>914</v>
      </c>
      <c r="I498">
        <v>10048275</v>
      </c>
      <c r="J498" t="s">
        <v>1957</v>
      </c>
      <c r="K498">
        <v>800157</v>
      </c>
      <c r="L498">
        <v>1</v>
      </c>
      <c r="M498" t="s">
        <v>290</v>
      </c>
      <c r="N498" t="s">
        <v>293</v>
      </c>
      <c r="O498">
        <v>816000</v>
      </c>
    </row>
    <row r="499" spans="1:15" x14ac:dyDescent="0.4">
      <c r="A499" t="s">
        <v>268</v>
      </c>
      <c r="B499">
        <v>76</v>
      </c>
      <c r="C499" t="s">
        <v>6</v>
      </c>
      <c r="D499">
        <v>61</v>
      </c>
      <c r="E499" t="s">
        <v>703</v>
      </c>
      <c r="F499">
        <v>1468</v>
      </c>
      <c r="G499" t="s">
        <v>914</v>
      </c>
      <c r="I499">
        <v>10016119</v>
      </c>
      <c r="J499" t="s">
        <v>1662</v>
      </c>
      <c r="K499">
        <v>800159</v>
      </c>
      <c r="L499">
        <v>1</v>
      </c>
      <c r="M499" t="s">
        <v>195</v>
      </c>
      <c r="N499" t="s">
        <v>200</v>
      </c>
      <c r="O499">
        <v>1352400</v>
      </c>
    </row>
    <row r="500" spans="1:15" x14ac:dyDescent="0.4">
      <c r="A500" t="s">
        <v>196</v>
      </c>
      <c r="B500">
        <v>75</v>
      </c>
      <c r="C500" t="s">
        <v>5</v>
      </c>
      <c r="D500">
        <v>52</v>
      </c>
      <c r="E500" t="s">
        <v>665</v>
      </c>
      <c r="F500">
        <v>1403</v>
      </c>
      <c r="G500" t="s">
        <v>925</v>
      </c>
      <c r="I500">
        <v>10063521</v>
      </c>
      <c r="J500" t="s">
        <v>1633</v>
      </c>
      <c r="K500">
        <v>800159</v>
      </c>
      <c r="L500">
        <v>1</v>
      </c>
      <c r="M500" t="s">
        <v>186</v>
      </c>
      <c r="N500" t="s">
        <v>302</v>
      </c>
      <c r="O500">
        <v>1336200</v>
      </c>
    </row>
    <row r="501" spans="1:15" x14ac:dyDescent="0.4">
      <c r="A501" t="s">
        <v>258</v>
      </c>
      <c r="B501">
        <v>50</v>
      </c>
      <c r="C501" t="s">
        <v>1</v>
      </c>
      <c r="D501">
        <v>11</v>
      </c>
      <c r="E501" t="s">
        <v>192</v>
      </c>
      <c r="F501">
        <v>1085</v>
      </c>
      <c r="G501" t="s">
        <v>854</v>
      </c>
      <c r="I501">
        <v>20005748</v>
      </c>
      <c r="J501" t="s">
        <v>1958</v>
      </c>
      <c r="K501">
        <v>800157</v>
      </c>
      <c r="L501">
        <v>1</v>
      </c>
      <c r="M501" t="s">
        <v>221</v>
      </c>
      <c r="N501" t="s">
        <v>329</v>
      </c>
      <c r="O501">
        <v>924000</v>
      </c>
    </row>
    <row r="502" spans="1:15" x14ac:dyDescent="0.4">
      <c r="A502" t="s">
        <v>1469</v>
      </c>
      <c r="B502">
        <v>60</v>
      </c>
      <c r="C502" t="s">
        <v>3</v>
      </c>
      <c r="D502">
        <v>31</v>
      </c>
      <c r="E502" t="s">
        <v>447</v>
      </c>
      <c r="F502">
        <v>1299</v>
      </c>
      <c r="G502" t="s">
        <v>947</v>
      </c>
      <c r="I502">
        <v>20005807</v>
      </c>
      <c r="J502" t="s">
        <v>1959</v>
      </c>
      <c r="K502">
        <v>800157</v>
      </c>
      <c r="L502">
        <v>1</v>
      </c>
      <c r="M502" t="s">
        <v>1475</v>
      </c>
      <c r="N502" t="s">
        <v>187</v>
      </c>
      <c r="O502">
        <v>825600</v>
      </c>
    </row>
    <row r="503" spans="1:15" x14ac:dyDescent="0.4">
      <c r="A503" t="s">
        <v>196</v>
      </c>
      <c r="B503">
        <v>60</v>
      </c>
      <c r="C503" t="s">
        <v>3</v>
      </c>
      <c r="D503">
        <v>31</v>
      </c>
      <c r="E503" t="s">
        <v>447</v>
      </c>
      <c r="F503">
        <v>1616</v>
      </c>
      <c r="G503" t="s">
        <v>1659</v>
      </c>
      <c r="I503">
        <v>10072675</v>
      </c>
      <c r="J503" t="s">
        <v>1960</v>
      </c>
      <c r="K503">
        <v>800159</v>
      </c>
      <c r="L503">
        <v>1</v>
      </c>
      <c r="M503" t="s">
        <v>186</v>
      </c>
      <c r="N503" t="s">
        <v>302</v>
      </c>
      <c r="O503">
        <v>1296000</v>
      </c>
    </row>
    <row r="504" spans="1:15" x14ac:dyDescent="0.4">
      <c r="A504" t="s">
        <v>1523</v>
      </c>
      <c r="B504">
        <v>60</v>
      </c>
      <c r="C504" t="s">
        <v>3</v>
      </c>
      <c r="D504">
        <v>33</v>
      </c>
      <c r="E504" t="s">
        <v>451</v>
      </c>
      <c r="F504">
        <v>1372</v>
      </c>
      <c r="G504" t="s">
        <v>992</v>
      </c>
      <c r="I504">
        <v>20006005</v>
      </c>
      <c r="J504" t="s">
        <v>1961</v>
      </c>
      <c r="K504">
        <v>800157</v>
      </c>
      <c r="L504">
        <v>1</v>
      </c>
      <c r="M504" t="s">
        <v>1587</v>
      </c>
      <c r="N504" t="s">
        <v>259</v>
      </c>
      <c r="O504">
        <v>803200</v>
      </c>
    </row>
    <row r="505" spans="1:15" x14ac:dyDescent="0.4">
      <c r="A505" t="s">
        <v>238</v>
      </c>
      <c r="B505">
        <v>76</v>
      </c>
      <c r="C505" t="s">
        <v>6</v>
      </c>
      <c r="D505">
        <v>61</v>
      </c>
      <c r="E505" t="s">
        <v>703</v>
      </c>
      <c r="F505">
        <v>1602</v>
      </c>
      <c r="G505" t="s">
        <v>1013</v>
      </c>
      <c r="I505">
        <v>10049982</v>
      </c>
      <c r="J505" t="s">
        <v>1962</v>
      </c>
      <c r="K505">
        <v>800157</v>
      </c>
      <c r="L505">
        <v>1</v>
      </c>
      <c r="M505" t="s">
        <v>230</v>
      </c>
      <c r="N505" t="s">
        <v>233</v>
      </c>
      <c r="O505">
        <v>784000</v>
      </c>
    </row>
    <row r="506" spans="1:15" x14ac:dyDescent="0.4">
      <c r="A506" t="s">
        <v>1596</v>
      </c>
      <c r="B506">
        <v>60</v>
      </c>
      <c r="C506" t="s">
        <v>3</v>
      </c>
      <c r="D506">
        <v>31</v>
      </c>
      <c r="E506" t="s">
        <v>447</v>
      </c>
      <c r="F506">
        <v>1299</v>
      </c>
      <c r="G506" t="s">
        <v>947</v>
      </c>
      <c r="I506">
        <v>10059163</v>
      </c>
      <c r="J506" t="s">
        <v>1963</v>
      </c>
      <c r="K506">
        <v>800159</v>
      </c>
      <c r="L506">
        <v>1</v>
      </c>
      <c r="M506" t="s">
        <v>268</v>
      </c>
      <c r="N506" t="s">
        <v>214</v>
      </c>
      <c r="O506">
        <v>1236000</v>
      </c>
    </row>
    <row r="507" spans="1:15" x14ac:dyDescent="0.4">
      <c r="A507" t="s">
        <v>230</v>
      </c>
      <c r="B507">
        <v>76</v>
      </c>
      <c r="C507" t="s">
        <v>6</v>
      </c>
      <c r="D507">
        <v>61</v>
      </c>
      <c r="E507" t="s">
        <v>703</v>
      </c>
      <c r="F507">
        <v>1389</v>
      </c>
      <c r="G507" t="s">
        <v>1197</v>
      </c>
      <c r="I507">
        <v>10042113</v>
      </c>
      <c r="J507" t="s">
        <v>1964</v>
      </c>
      <c r="K507">
        <v>800157</v>
      </c>
      <c r="L507">
        <v>1</v>
      </c>
      <c r="M507" t="s">
        <v>242</v>
      </c>
      <c r="N507" t="s">
        <v>245</v>
      </c>
      <c r="O507">
        <v>784000</v>
      </c>
    </row>
    <row r="508" spans="1:15" x14ac:dyDescent="0.4">
      <c r="A508" t="s">
        <v>196</v>
      </c>
      <c r="B508">
        <v>75</v>
      </c>
      <c r="C508" t="s">
        <v>5</v>
      </c>
      <c r="D508">
        <v>51</v>
      </c>
      <c r="E508" t="s">
        <v>657</v>
      </c>
      <c r="F508">
        <v>1435</v>
      </c>
      <c r="G508" t="s">
        <v>860</v>
      </c>
      <c r="I508">
        <v>20005689</v>
      </c>
      <c r="J508" t="s">
        <v>1965</v>
      </c>
      <c r="K508">
        <v>800159</v>
      </c>
      <c r="L508">
        <v>1</v>
      </c>
      <c r="M508" t="s">
        <v>186</v>
      </c>
      <c r="N508" t="s">
        <v>302</v>
      </c>
      <c r="O508">
        <v>1182000</v>
      </c>
    </row>
    <row r="509" spans="1:15" x14ac:dyDescent="0.4">
      <c r="A509" t="s">
        <v>220</v>
      </c>
      <c r="B509">
        <v>50</v>
      </c>
      <c r="C509" t="s">
        <v>1</v>
      </c>
      <c r="D509">
        <v>11</v>
      </c>
      <c r="E509" t="s">
        <v>192</v>
      </c>
      <c r="F509">
        <v>1085</v>
      </c>
      <c r="G509" t="s">
        <v>854</v>
      </c>
      <c r="I509">
        <v>20010007</v>
      </c>
      <c r="J509" t="s">
        <v>1966</v>
      </c>
      <c r="K509">
        <v>800159</v>
      </c>
      <c r="L509">
        <v>1</v>
      </c>
      <c r="M509" t="s">
        <v>203</v>
      </c>
      <c r="N509" t="s">
        <v>208</v>
      </c>
      <c r="O509">
        <v>1449600</v>
      </c>
    </row>
    <row r="510" spans="1:15" x14ac:dyDescent="0.4">
      <c r="A510" t="s">
        <v>250</v>
      </c>
      <c r="B510">
        <v>60</v>
      </c>
      <c r="C510" t="s">
        <v>3</v>
      </c>
      <c r="D510">
        <v>33</v>
      </c>
      <c r="E510" t="s">
        <v>451</v>
      </c>
      <c r="F510">
        <v>1505</v>
      </c>
      <c r="G510" t="s">
        <v>900</v>
      </c>
      <c r="I510">
        <v>10053242</v>
      </c>
      <c r="J510" t="s">
        <v>1967</v>
      </c>
      <c r="K510">
        <v>800155</v>
      </c>
      <c r="L510">
        <v>1</v>
      </c>
      <c r="M510" t="s">
        <v>196</v>
      </c>
      <c r="N510" t="s">
        <v>211</v>
      </c>
      <c r="O510">
        <v>205200</v>
      </c>
    </row>
    <row r="511" spans="1:15" x14ac:dyDescent="0.4">
      <c r="A511" t="s">
        <v>238</v>
      </c>
      <c r="B511">
        <v>76</v>
      </c>
      <c r="C511" t="s">
        <v>6</v>
      </c>
      <c r="D511">
        <v>61</v>
      </c>
      <c r="E511" t="s">
        <v>703</v>
      </c>
      <c r="F511">
        <v>1475</v>
      </c>
      <c r="G511" t="s">
        <v>909</v>
      </c>
      <c r="I511">
        <v>20010074</v>
      </c>
      <c r="J511" t="s">
        <v>1968</v>
      </c>
      <c r="K511">
        <v>800159</v>
      </c>
      <c r="L511">
        <v>1</v>
      </c>
      <c r="M511" t="s">
        <v>230</v>
      </c>
      <c r="N511" t="s">
        <v>235</v>
      </c>
      <c r="O511">
        <v>1347000</v>
      </c>
    </row>
    <row r="512" spans="1:15" x14ac:dyDescent="0.4">
      <c r="A512" t="s">
        <v>230</v>
      </c>
      <c r="B512">
        <v>60</v>
      </c>
      <c r="C512" t="s">
        <v>3</v>
      </c>
      <c r="D512">
        <v>33</v>
      </c>
      <c r="E512" t="s">
        <v>451</v>
      </c>
      <c r="F512">
        <v>1372</v>
      </c>
      <c r="G512" t="s">
        <v>992</v>
      </c>
      <c r="I512">
        <v>10063356</v>
      </c>
      <c r="J512" t="s">
        <v>1633</v>
      </c>
      <c r="K512">
        <v>800159</v>
      </c>
      <c r="L512">
        <v>1</v>
      </c>
      <c r="M512" t="s">
        <v>242</v>
      </c>
      <c r="N512" t="s">
        <v>247</v>
      </c>
      <c r="O512">
        <v>1325400</v>
      </c>
    </row>
    <row r="513" spans="1:15" x14ac:dyDescent="0.4">
      <c r="A513" t="s">
        <v>238</v>
      </c>
      <c r="B513">
        <v>60</v>
      </c>
      <c r="C513" t="s">
        <v>3</v>
      </c>
      <c r="D513">
        <v>31</v>
      </c>
      <c r="E513" t="s">
        <v>447</v>
      </c>
      <c r="F513">
        <v>1612</v>
      </c>
      <c r="G513" t="s">
        <v>1720</v>
      </c>
      <c r="I513">
        <v>10046475</v>
      </c>
      <c r="J513" t="s">
        <v>1703</v>
      </c>
      <c r="K513">
        <v>800159</v>
      </c>
      <c r="L513">
        <v>1</v>
      </c>
      <c r="M513" t="s">
        <v>230</v>
      </c>
      <c r="N513" t="s">
        <v>235</v>
      </c>
      <c r="O513">
        <v>1352400</v>
      </c>
    </row>
    <row r="514" spans="1:15" x14ac:dyDescent="0.4">
      <c r="A514" t="s">
        <v>1479</v>
      </c>
      <c r="B514">
        <v>60</v>
      </c>
      <c r="C514" t="s">
        <v>3</v>
      </c>
      <c r="D514">
        <v>33</v>
      </c>
      <c r="E514" t="s">
        <v>451</v>
      </c>
      <c r="F514">
        <v>1505</v>
      </c>
      <c r="G514" t="s">
        <v>900</v>
      </c>
      <c r="I514">
        <v>20006699</v>
      </c>
      <c r="J514" t="s">
        <v>1969</v>
      </c>
      <c r="K514">
        <v>800157</v>
      </c>
      <c r="L514">
        <v>1</v>
      </c>
      <c r="M514" t="s">
        <v>1487</v>
      </c>
      <c r="N514" t="s">
        <v>243</v>
      </c>
      <c r="O514">
        <v>790400</v>
      </c>
    </row>
    <row r="515" spans="1:15" x14ac:dyDescent="0.4">
      <c r="A515" t="s">
        <v>281</v>
      </c>
      <c r="B515">
        <v>80</v>
      </c>
      <c r="C515" t="s">
        <v>4</v>
      </c>
      <c r="D515">
        <v>81</v>
      </c>
      <c r="E515" t="s">
        <v>550</v>
      </c>
      <c r="F515">
        <v>1378</v>
      </c>
      <c r="G515" t="s">
        <v>881</v>
      </c>
      <c r="I515">
        <v>10023810</v>
      </c>
      <c r="J515" t="s">
        <v>1970</v>
      </c>
      <c r="K515">
        <v>800159</v>
      </c>
      <c r="L515">
        <v>1</v>
      </c>
      <c r="M515" t="s">
        <v>363</v>
      </c>
      <c r="N515" t="s">
        <v>315</v>
      </c>
      <c r="O515">
        <v>1325400</v>
      </c>
    </row>
    <row r="516" spans="1:15" x14ac:dyDescent="0.4">
      <c r="A516" t="s">
        <v>1586</v>
      </c>
      <c r="B516">
        <v>75</v>
      </c>
      <c r="C516" t="s">
        <v>5</v>
      </c>
      <c r="D516">
        <v>52</v>
      </c>
      <c r="E516" t="s">
        <v>665</v>
      </c>
      <c r="F516">
        <v>1403</v>
      </c>
      <c r="G516" t="s">
        <v>925</v>
      </c>
      <c r="I516">
        <v>10056379</v>
      </c>
      <c r="J516" t="s">
        <v>1971</v>
      </c>
      <c r="K516">
        <v>800157</v>
      </c>
      <c r="L516">
        <v>1</v>
      </c>
      <c r="M516" t="s">
        <v>1589</v>
      </c>
      <c r="N516" t="s">
        <v>205</v>
      </c>
      <c r="O516">
        <v>784000</v>
      </c>
    </row>
    <row r="517" spans="1:15" x14ac:dyDescent="0.4">
      <c r="A517" t="s">
        <v>221</v>
      </c>
      <c r="B517">
        <v>60</v>
      </c>
      <c r="C517" t="s">
        <v>3</v>
      </c>
      <c r="D517">
        <v>31</v>
      </c>
      <c r="E517" t="s">
        <v>447</v>
      </c>
      <c r="F517">
        <v>1299</v>
      </c>
      <c r="G517" t="s">
        <v>947</v>
      </c>
      <c r="I517">
        <v>10046078</v>
      </c>
      <c r="J517" t="s">
        <v>1972</v>
      </c>
      <c r="K517">
        <v>800157</v>
      </c>
      <c r="L517">
        <v>1</v>
      </c>
      <c r="M517" t="s">
        <v>204</v>
      </c>
      <c r="O517">
        <v>432000</v>
      </c>
    </row>
    <row r="518" spans="1:15" x14ac:dyDescent="0.4">
      <c r="A518" t="s">
        <v>1548</v>
      </c>
      <c r="B518">
        <v>70</v>
      </c>
      <c r="C518" t="s">
        <v>2</v>
      </c>
      <c r="D518">
        <v>41</v>
      </c>
      <c r="E518" t="s">
        <v>306</v>
      </c>
      <c r="F518">
        <v>1298</v>
      </c>
      <c r="G518" t="s">
        <v>1277</v>
      </c>
      <c r="I518">
        <v>20005095</v>
      </c>
      <c r="J518" t="s">
        <v>1973</v>
      </c>
      <c r="K518">
        <v>800157</v>
      </c>
      <c r="L518">
        <v>1</v>
      </c>
      <c r="M518" t="s">
        <v>1586</v>
      </c>
      <c r="N518" t="s">
        <v>222</v>
      </c>
      <c r="O518">
        <v>784000</v>
      </c>
    </row>
    <row r="519" spans="1:15" x14ac:dyDescent="0.4">
      <c r="A519" t="s">
        <v>1469</v>
      </c>
      <c r="B519">
        <v>76</v>
      </c>
      <c r="C519" t="s">
        <v>6</v>
      </c>
      <c r="D519">
        <v>61</v>
      </c>
      <c r="E519" t="s">
        <v>703</v>
      </c>
      <c r="F519">
        <v>1468</v>
      </c>
      <c r="G519" t="s">
        <v>914</v>
      </c>
      <c r="I519">
        <v>10032186</v>
      </c>
      <c r="J519" t="s">
        <v>1974</v>
      </c>
      <c r="K519">
        <v>800157</v>
      </c>
      <c r="L519">
        <v>1</v>
      </c>
      <c r="M519" t="s">
        <v>1475</v>
      </c>
      <c r="N519" t="s">
        <v>187</v>
      </c>
      <c r="O519">
        <v>828800</v>
      </c>
    </row>
    <row r="520" spans="1:15" x14ac:dyDescent="0.4">
      <c r="A520" t="s">
        <v>376</v>
      </c>
      <c r="B520">
        <v>60</v>
      </c>
      <c r="C520" t="s">
        <v>3</v>
      </c>
      <c r="D520">
        <v>33</v>
      </c>
      <c r="E520" t="s">
        <v>451</v>
      </c>
      <c r="F520">
        <v>1505</v>
      </c>
      <c r="G520" t="s">
        <v>900</v>
      </c>
      <c r="I520">
        <v>20005151</v>
      </c>
      <c r="J520" t="s">
        <v>1975</v>
      </c>
      <c r="K520">
        <v>800159</v>
      </c>
      <c r="L520">
        <v>1</v>
      </c>
      <c r="M520" t="s">
        <v>353</v>
      </c>
      <c r="N520" t="s">
        <v>330</v>
      </c>
      <c r="O520">
        <v>1320000</v>
      </c>
    </row>
    <row r="521" spans="1:15" x14ac:dyDescent="0.4">
      <c r="A521" t="s">
        <v>1523</v>
      </c>
      <c r="B521">
        <v>60</v>
      </c>
      <c r="C521" t="s">
        <v>3</v>
      </c>
      <c r="D521">
        <v>33</v>
      </c>
      <c r="E521" t="s">
        <v>451</v>
      </c>
      <c r="F521">
        <v>1273</v>
      </c>
      <c r="G521" t="s">
        <v>1084</v>
      </c>
      <c r="I521">
        <v>10019115</v>
      </c>
      <c r="J521" t="s">
        <v>1976</v>
      </c>
      <c r="K521">
        <v>800157</v>
      </c>
      <c r="L521">
        <v>1</v>
      </c>
      <c r="M521" t="s">
        <v>1587</v>
      </c>
      <c r="N521" t="s">
        <v>259</v>
      </c>
      <c r="O521">
        <v>723600</v>
      </c>
    </row>
    <row r="522" spans="1:15" x14ac:dyDescent="0.4">
      <c r="A522" t="s">
        <v>185</v>
      </c>
      <c r="B522">
        <v>50</v>
      </c>
      <c r="C522" t="s">
        <v>1</v>
      </c>
      <c r="D522">
        <v>21</v>
      </c>
      <c r="E522" t="s">
        <v>182</v>
      </c>
      <c r="F522">
        <v>1264</v>
      </c>
      <c r="G522" t="s">
        <v>1023</v>
      </c>
      <c r="I522">
        <v>10049473</v>
      </c>
      <c r="J522" t="s">
        <v>1977</v>
      </c>
      <c r="K522">
        <v>800159</v>
      </c>
      <c r="L522">
        <v>1</v>
      </c>
      <c r="M522" t="s">
        <v>275</v>
      </c>
      <c r="N522" t="s">
        <v>234</v>
      </c>
      <c r="O522">
        <v>744000</v>
      </c>
    </row>
    <row r="523" spans="1:15" x14ac:dyDescent="0.4">
      <c r="A523" t="s">
        <v>1589</v>
      </c>
      <c r="B523">
        <v>80</v>
      </c>
      <c r="C523" t="s">
        <v>4</v>
      </c>
      <c r="D523">
        <v>81</v>
      </c>
      <c r="E523" t="s">
        <v>550</v>
      </c>
      <c r="F523">
        <v>1322</v>
      </c>
      <c r="G523" t="s">
        <v>961</v>
      </c>
      <c r="I523">
        <v>10012301</v>
      </c>
      <c r="J523" t="s">
        <v>1978</v>
      </c>
      <c r="K523">
        <v>800157</v>
      </c>
      <c r="L523">
        <v>1</v>
      </c>
      <c r="M523" t="s">
        <v>1594</v>
      </c>
      <c r="N523" t="s">
        <v>292</v>
      </c>
      <c r="O523">
        <v>774000</v>
      </c>
    </row>
    <row r="524" spans="1:15" x14ac:dyDescent="0.4">
      <c r="A524" t="s">
        <v>238</v>
      </c>
      <c r="B524">
        <v>60</v>
      </c>
      <c r="C524" t="s">
        <v>3</v>
      </c>
      <c r="D524">
        <v>33</v>
      </c>
      <c r="E524" t="s">
        <v>451</v>
      </c>
      <c r="F524">
        <v>1273</v>
      </c>
      <c r="G524" t="s">
        <v>1084</v>
      </c>
      <c r="I524">
        <v>20007279</v>
      </c>
      <c r="J524" t="s">
        <v>1979</v>
      </c>
      <c r="K524">
        <v>800157</v>
      </c>
      <c r="L524">
        <v>1</v>
      </c>
      <c r="M524" t="s">
        <v>230</v>
      </c>
      <c r="N524" t="s">
        <v>233</v>
      </c>
      <c r="O524">
        <v>790400</v>
      </c>
    </row>
    <row r="525" spans="1:15" x14ac:dyDescent="0.4">
      <c r="A525" t="s">
        <v>242</v>
      </c>
      <c r="B525">
        <v>75</v>
      </c>
      <c r="C525" t="s">
        <v>5</v>
      </c>
      <c r="D525">
        <v>51</v>
      </c>
      <c r="E525" t="s">
        <v>657</v>
      </c>
      <c r="F525">
        <v>1365</v>
      </c>
      <c r="G525" t="s">
        <v>1148</v>
      </c>
      <c r="I525">
        <v>10069204</v>
      </c>
      <c r="J525" t="s">
        <v>1980</v>
      </c>
      <c r="K525">
        <v>800159</v>
      </c>
      <c r="L525">
        <v>1</v>
      </c>
      <c r="M525" t="s">
        <v>311</v>
      </c>
      <c r="N525" t="s">
        <v>316</v>
      </c>
      <c r="O525">
        <v>1357800</v>
      </c>
    </row>
    <row r="526" spans="1:15" x14ac:dyDescent="0.4">
      <c r="A526" t="s">
        <v>268</v>
      </c>
      <c r="B526">
        <v>76</v>
      </c>
      <c r="C526" t="s">
        <v>6</v>
      </c>
      <c r="D526">
        <v>61</v>
      </c>
      <c r="E526" t="s">
        <v>703</v>
      </c>
      <c r="F526">
        <v>1475</v>
      </c>
      <c r="G526" t="s">
        <v>909</v>
      </c>
      <c r="I526">
        <v>10007052</v>
      </c>
      <c r="J526" t="s">
        <v>1621</v>
      </c>
      <c r="K526">
        <v>800159</v>
      </c>
      <c r="L526">
        <v>1</v>
      </c>
      <c r="M526" t="s">
        <v>195</v>
      </c>
      <c r="N526" t="s">
        <v>200</v>
      </c>
      <c r="O526">
        <v>1498200</v>
      </c>
    </row>
    <row r="527" spans="1:15" x14ac:dyDescent="0.4">
      <c r="A527" t="s">
        <v>242</v>
      </c>
      <c r="B527">
        <v>50</v>
      </c>
      <c r="C527" t="s">
        <v>1</v>
      </c>
      <c r="D527">
        <v>21</v>
      </c>
      <c r="E527" t="s">
        <v>182</v>
      </c>
      <c r="F527">
        <v>1264</v>
      </c>
      <c r="G527" t="s">
        <v>1023</v>
      </c>
      <c r="I527">
        <v>20005969</v>
      </c>
      <c r="J527" t="s">
        <v>1981</v>
      </c>
      <c r="K527">
        <v>800159</v>
      </c>
      <c r="L527">
        <v>1</v>
      </c>
      <c r="M527" t="s">
        <v>311</v>
      </c>
      <c r="N527" t="s">
        <v>316</v>
      </c>
      <c r="O527">
        <v>1487400</v>
      </c>
    </row>
    <row r="528" spans="1:15" x14ac:dyDescent="0.4">
      <c r="A528" t="s">
        <v>1475</v>
      </c>
      <c r="B528">
        <v>75</v>
      </c>
      <c r="C528" t="s">
        <v>5</v>
      </c>
      <c r="D528">
        <v>51</v>
      </c>
      <c r="E528" t="s">
        <v>657</v>
      </c>
      <c r="F528">
        <v>1435</v>
      </c>
      <c r="G528" t="s">
        <v>860</v>
      </c>
      <c r="I528">
        <v>10033633</v>
      </c>
      <c r="J528" t="s">
        <v>1982</v>
      </c>
      <c r="K528">
        <v>800157</v>
      </c>
      <c r="L528">
        <v>1</v>
      </c>
      <c r="M528" t="s">
        <v>1479</v>
      </c>
      <c r="N528" t="s">
        <v>231</v>
      </c>
      <c r="O528">
        <v>937600</v>
      </c>
    </row>
    <row r="529" spans="1:15" x14ac:dyDescent="0.4">
      <c r="A529" t="s">
        <v>290</v>
      </c>
      <c r="B529">
        <v>50</v>
      </c>
      <c r="C529" t="s">
        <v>1</v>
      </c>
      <c r="D529">
        <v>11</v>
      </c>
      <c r="E529" t="s">
        <v>192</v>
      </c>
      <c r="F529">
        <v>1085</v>
      </c>
      <c r="G529" t="s">
        <v>854</v>
      </c>
      <c r="I529">
        <v>10055827</v>
      </c>
      <c r="J529" t="s">
        <v>1983</v>
      </c>
      <c r="K529">
        <v>800159</v>
      </c>
      <c r="L529">
        <v>1</v>
      </c>
      <c r="M529" t="s">
        <v>250</v>
      </c>
      <c r="N529" t="s">
        <v>255</v>
      </c>
      <c r="O529">
        <v>840000</v>
      </c>
    </row>
    <row r="530" spans="1:15" x14ac:dyDescent="0.4">
      <c r="A530" t="s">
        <v>230</v>
      </c>
      <c r="B530">
        <v>70</v>
      </c>
      <c r="C530" t="s">
        <v>2</v>
      </c>
      <c r="D530">
        <v>41</v>
      </c>
      <c r="E530" t="s">
        <v>306</v>
      </c>
      <c r="F530">
        <v>1383</v>
      </c>
      <c r="G530" t="s">
        <v>957</v>
      </c>
      <c r="I530">
        <v>20005857</v>
      </c>
      <c r="J530" t="s">
        <v>1984</v>
      </c>
      <c r="K530">
        <v>800159</v>
      </c>
      <c r="L530">
        <v>1</v>
      </c>
      <c r="M530" t="s">
        <v>242</v>
      </c>
      <c r="N530" t="s">
        <v>247</v>
      </c>
      <c r="O530">
        <v>1536000</v>
      </c>
    </row>
    <row r="531" spans="1:15" x14ac:dyDescent="0.4">
      <c r="A531" t="s">
        <v>311</v>
      </c>
      <c r="B531">
        <v>60</v>
      </c>
      <c r="C531" t="s">
        <v>3</v>
      </c>
      <c r="D531">
        <v>33</v>
      </c>
      <c r="E531" t="s">
        <v>451</v>
      </c>
      <c r="F531">
        <v>1273</v>
      </c>
      <c r="G531" t="s">
        <v>1084</v>
      </c>
      <c r="I531">
        <v>10048972</v>
      </c>
      <c r="J531" t="s">
        <v>1985</v>
      </c>
      <c r="K531">
        <v>800159</v>
      </c>
      <c r="L531">
        <v>1</v>
      </c>
      <c r="M531" t="s">
        <v>258</v>
      </c>
      <c r="N531" t="s">
        <v>263</v>
      </c>
      <c r="O531">
        <v>1032000</v>
      </c>
    </row>
    <row r="532" spans="1:15" x14ac:dyDescent="0.4">
      <c r="A532" t="s">
        <v>242</v>
      </c>
      <c r="B532">
        <v>60</v>
      </c>
      <c r="C532" t="s">
        <v>3</v>
      </c>
      <c r="D532">
        <v>33</v>
      </c>
      <c r="E532" t="s">
        <v>451</v>
      </c>
      <c r="F532">
        <v>1372</v>
      </c>
      <c r="G532" t="s">
        <v>992</v>
      </c>
      <c r="I532">
        <v>10054194</v>
      </c>
      <c r="J532" t="s">
        <v>1986</v>
      </c>
      <c r="K532">
        <v>800159</v>
      </c>
      <c r="L532">
        <v>1</v>
      </c>
      <c r="M532" t="s">
        <v>311</v>
      </c>
      <c r="N532" t="s">
        <v>316</v>
      </c>
      <c r="O532">
        <v>1350000</v>
      </c>
    </row>
    <row r="533" spans="1:15" x14ac:dyDescent="0.4">
      <c r="A533" t="s">
        <v>353</v>
      </c>
      <c r="B533">
        <v>60</v>
      </c>
      <c r="C533" t="s">
        <v>3</v>
      </c>
      <c r="D533">
        <v>31</v>
      </c>
      <c r="E533" t="s">
        <v>447</v>
      </c>
      <c r="F533">
        <v>1116</v>
      </c>
      <c r="G533" t="s">
        <v>1075</v>
      </c>
      <c r="I533">
        <v>20005947</v>
      </c>
      <c r="J533" t="s">
        <v>1987</v>
      </c>
      <c r="K533">
        <v>800159</v>
      </c>
      <c r="L533">
        <v>1</v>
      </c>
      <c r="M533" t="s">
        <v>220</v>
      </c>
      <c r="N533" t="s">
        <v>225</v>
      </c>
      <c r="O533">
        <v>1390200</v>
      </c>
    </row>
    <row r="534" spans="1:15" x14ac:dyDescent="0.4">
      <c r="A534" t="s">
        <v>281</v>
      </c>
      <c r="B534">
        <v>75</v>
      </c>
      <c r="C534" t="s">
        <v>5</v>
      </c>
      <c r="D534">
        <v>51</v>
      </c>
      <c r="E534" t="s">
        <v>657</v>
      </c>
      <c r="F534">
        <v>1365</v>
      </c>
      <c r="G534" t="s">
        <v>1148</v>
      </c>
      <c r="I534">
        <v>20005793</v>
      </c>
      <c r="J534" t="s">
        <v>1988</v>
      </c>
      <c r="K534">
        <v>800159</v>
      </c>
      <c r="L534">
        <v>1</v>
      </c>
      <c r="M534" t="s">
        <v>363</v>
      </c>
      <c r="N534" t="s">
        <v>315</v>
      </c>
      <c r="O534">
        <v>1546800</v>
      </c>
    </row>
    <row r="535" spans="1:15" x14ac:dyDescent="0.4">
      <c r="A535" t="s">
        <v>311</v>
      </c>
      <c r="B535">
        <v>80</v>
      </c>
      <c r="C535" t="s">
        <v>4</v>
      </c>
      <c r="D535">
        <v>71</v>
      </c>
      <c r="E535" t="s">
        <v>556</v>
      </c>
      <c r="F535">
        <v>1296</v>
      </c>
      <c r="G535" t="s">
        <v>964</v>
      </c>
      <c r="I535">
        <v>20007334</v>
      </c>
      <c r="J535" t="s">
        <v>1625</v>
      </c>
      <c r="K535">
        <v>800159</v>
      </c>
      <c r="L535">
        <v>1</v>
      </c>
      <c r="M535" t="s">
        <v>258</v>
      </c>
      <c r="N535" t="s">
        <v>263</v>
      </c>
      <c r="O535">
        <v>1330800</v>
      </c>
    </row>
    <row r="536" spans="1:15" x14ac:dyDescent="0.4">
      <c r="A536" t="s">
        <v>242</v>
      </c>
      <c r="B536">
        <v>60</v>
      </c>
      <c r="C536" t="s">
        <v>3</v>
      </c>
      <c r="D536">
        <v>33</v>
      </c>
      <c r="E536" t="s">
        <v>451</v>
      </c>
      <c r="F536">
        <v>1505</v>
      </c>
      <c r="G536" t="s">
        <v>900</v>
      </c>
      <c r="I536">
        <v>20006030</v>
      </c>
      <c r="J536" t="s">
        <v>1989</v>
      </c>
      <c r="K536">
        <v>800159</v>
      </c>
      <c r="L536">
        <v>1</v>
      </c>
      <c r="M536" t="s">
        <v>311</v>
      </c>
      <c r="N536" t="s">
        <v>316</v>
      </c>
      <c r="O536">
        <v>1546800</v>
      </c>
    </row>
    <row r="537" spans="1:15" x14ac:dyDescent="0.4">
      <c r="A537" t="s">
        <v>1587</v>
      </c>
      <c r="B537">
        <v>80</v>
      </c>
      <c r="C537" t="s">
        <v>4</v>
      </c>
      <c r="D537">
        <v>81</v>
      </c>
      <c r="E537" t="s">
        <v>550</v>
      </c>
      <c r="F537">
        <v>1154</v>
      </c>
      <c r="G537" t="s">
        <v>1044</v>
      </c>
      <c r="I537">
        <v>10042309</v>
      </c>
      <c r="J537" t="s">
        <v>1990</v>
      </c>
      <c r="K537">
        <v>800157</v>
      </c>
      <c r="L537">
        <v>1</v>
      </c>
      <c r="M537" t="s">
        <v>1548</v>
      </c>
      <c r="N537" t="s">
        <v>327</v>
      </c>
      <c r="O537">
        <v>784000</v>
      </c>
    </row>
    <row r="538" spans="1:15" x14ac:dyDescent="0.4">
      <c r="A538" t="s">
        <v>376</v>
      </c>
      <c r="B538">
        <v>70</v>
      </c>
      <c r="C538" t="s">
        <v>2</v>
      </c>
      <c r="D538">
        <v>41</v>
      </c>
      <c r="E538" t="s">
        <v>306</v>
      </c>
      <c r="F538">
        <v>1613</v>
      </c>
      <c r="G538" t="s">
        <v>1413</v>
      </c>
      <c r="I538">
        <v>20005265</v>
      </c>
      <c r="J538" t="s">
        <v>1991</v>
      </c>
      <c r="K538">
        <v>800157</v>
      </c>
      <c r="L538">
        <v>1</v>
      </c>
      <c r="M538" t="s">
        <v>353</v>
      </c>
      <c r="N538" t="s">
        <v>328</v>
      </c>
      <c r="O538">
        <v>803200</v>
      </c>
    </row>
    <row r="539" spans="1:15" x14ac:dyDescent="0.4">
      <c r="A539" t="s">
        <v>220</v>
      </c>
      <c r="B539">
        <v>60</v>
      </c>
      <c r="C539" t="s">
        <v>3</v>
      </c>
      <c r="D539">
        <v>31</v>
      </c>
      <c r="E539" t="s">
        <v>447</v>
      </c>
      <c r="F539">
        <v>1367</v>
      </c>
      <c r="G539" t="s">
        <v>977</v>
      </c>
      <c r="I539">
        <v>20005166</v>
      </c>
      <c r="J539" t="s">
        <v>1992</v>
      </c>
      <c r="K539">
        <v>800159</v>
      </c>
      <c r="L539">
        <v>1</v>
      </c>
      <c r="M539" t="s">
        <v>203</v>
      </c>
      <c r="N539" t="s">
        <v>208</v>
      </c>
      <c r="O539">
        <v>1363200</v>
      </c>
    </row>
    <row r="540" spans="1:15" x14ac:dyDescent="0.4">
      <c r="A540" t="s">
        <v>275</v>
      </c>
      <c r="B540">
        <v>76</v>
      </c>
      <c r="C540" t="s">
        <v>6</v>
      </c>
      <c r="D540">
        <v>61</v>
      </c>
      <c r="E540" t="s">
        <v>703</v>
      </c>
      <c r="F540">
        <v>1563</v>
      </c>
      <c r="G540" t="s">
        <v>942</v>
      </c>
      <c r="I540">
        <v>10057367</v>
      </c>
      <c r="J540" t="s">
        <v>1993</v>
      </c>
      <c r="K540">
        <v>800157</v>
      </c>
      <c r="L540">
        <v>1</v>
      </c>
      <c r="M540" t="s">
        <v>281</v>
      </c>
      <c r="N540" t="s">
        <v>244</v>
      </c>
      <c r="O540">
        <v>784000</v>
      </c>
    </row>
    <row r="541" spans="1:15" x14ac:dyDescent="0.4">
      <c r="A541" t="s">
        <v>196</v>
      </c>
      <c r="B541">
        <v>76</v>
      </c>
      <c r="C541" t="s">
        <v>6</v>
      </c>
      <c r="D541">
        <v>61</v>
      </c>
      <c r="E541" t="s">
        <v>703</v>
      </c>
      <c r="F541">
        <v>1472</v>
      </c>
      <c r="G541" t="s">
        <v>998</v>
      </c>
      <c r="I541">
        <v>20005269</v>
      </c>
      <c r="J541" t="s">
        <v>1994</v>
      </c>
      <c r="K541">
        <v>800159</v>
      </c>
      <c r="L541">
        <v>1</v>
      </c>
      <c r="M541" t="s">
        <v>186</v>
      </c>
      <c r="N541" t="s">
        <v>302</v>
      </c>
      <c r="O541">
        <v>1320000</v>
      </c>
    </row>
    <row r="542" spans="1:15" x14ac:dyDescent="0.4">
      <c r="A542" t="s">
        <v>195</v>
      </c>
      <c r="B542">
        <v>75</v>
      </c>
      <c r="C542" t="s">
        <v>5</v>
      </c>
      <c r="D542">
        <v>51</v>
      </c>
      <c r="E542" t="s">
        <v>657</v>
      </c>
      <c r="F542">
        <v>1435</v>
      </c>
      <c r="G542" t="s">
        <v>860</v>
      </c>
      <c r="I542">
        <v>10051455</v>
      </c>
      <c r="J542" t="s">
        <v>1995</v>
      </c>
      <c r="K542">
        <v>800159</v>
      </c>
      <c r="L542">
        <v>1</v>
      </c>
      <c r="M542" t="s">
        <v>185</v>
      </c>
      <c r="N542" t="s">
        <v>190</v>
      </c>
      <c r="O542">
        <v>1374000</v>
      </c>
    </row>
    <row r="543" spans="1:15" x14ac:dyDescent="0.4">
      <c r="A543" t="s">
        <v>363</v>
      </c>
      <c r="B543">
        <v>50</v>
      </c>
      <c r="C543" t="s">
        <v>1</v>
      </c>
      <c r="D543">
        <v>11</v>
      </c>
      <c r="E543" t="s">
        <v>192</v>
      </c>
      <c r="F543">
        <v>1353</v>
      </c>
      <c r="G543" t="s">
        <v>1017</v>
      </c>
      <c r="I543">
        <v>10025477</v>
      </c>
      <c r="J543" t="s">
        <v>1996</v>
      </c>
      <c r="K543">
        <v>800157</v>
      </c>
      <c r="L543">
        <v>1</v>
      </c>
      <c r="M543" t="s">
        <v>376</v>
      </c>
      <c r="N543" t="s">
        <v>260</v>
      </c>
      <c r="O543">
        <v>787200</v>
      </c>
    </row>
    <row r="544" spans="1:15" x14ac:dyDescent="0.4">
      <c r="A544" t="s">
        <v>1469</v>
      </c>
      <c r="B544">
        <v>75</v>
      </c>
      <c r="C544" t="s">
        <v>5</v>
      </c>
      <c r="D544">
        <v>51</v>
      </c>
      <c r="E544" t="s">
        <v>657</v>
      </c>
      <c r="F544">
        <v>1365</v>
      </c>
      <c r="G544" t="s">
        <v>1148</v>
      </c>
      <c r="I544">
        <v>10038138</v>
      </c>
      <c r="J544" t="s">
        <v>762</v>
      </c>
      <c r="K544">
        <v>800157</v>
      </c>
      <c r="L544">
        <v>1</v>
      </c>
      <c r="M544" t="s">
        <v>1475</v>
      </c>
      <c r="N544" t="s">
        <v>187</v>
      </c>
      <c r="O544">
        <v>848000</v>
      </c>
    </row>
    <row r="545" spans="1:15" x14ac:dyDescent="0.4">
      <c r="A545" t="s">
        <v>1475</v>
      </c>
      <c r="B545">
        <v>60</v>
      </c>
      <c r="C545" t="s">
        <v>3</v>
      </c>
      <c r="D545">
        <v>31</v>
      </c>
      <c r="E545" t="s">
        <v>447</v>
      </c>
      <c r="F545">
        <v>1612</v>
      </c>
      <c r="G545" t="s">
        <v>1720</v>
      </c>
      <c r="I545">
        <v>20005280</v>
      </c>
      <c r="J545" t="s">
        <v>1997</v>
      </c>
      <c r="K545">
        <v>800157</v>
      </c>
      <c r="L545">
        <v>1</v>
      </c>
      <c r="M545" t="s">
        <v>1479</v>
      </c>
      <c r="N545" t="s">
        <v>231</v>
      </c>
      <c r="O545">
        <v>956800</v>
      </c>
    </row>
    <row r="546" spans="1:15" x14ac:dyDescent="0.4">
      <c r="A546" t="s">
        <v>1596</v>
      </c>
      <c r="B546">
        <v>75</v>
      </c>
      <c r="C546" t="s">
        <v>5</v>
      </c>
      <c r="D546">
        <v>51</v>
      </c>
      <c r="E546" t="s">
        <v>657</v>
      </c>
      <c r="F546">
        <v>1365</v>
      </c>
      <c r="G546" t="s">
        <v>1148</v>
      </c>
      <c r="I546">
        <v>20009715</v>
      </c>
      <c r="J546" t="s">
        <v>1998</v>
      </c>
      <c r="K546">
        <v>800159</v>
      </c>
      <c r="L546">
        <v>1</v>
      </c>
      <c r="M546" t="s">
        <v>268</v>
      </c>
      <c r="N546" t="s">
        <v>214</v>
      </c>
      <c r="O546">
        <v>1390200</v>
      </c>
    </row>
    <row r="547" spans="1:15" x14ac:dyDescent="0.4">
      <c r="A547" t="s">
        <v>238</v>
      </c>
      <c r="B547">
        <v>76</v>
      </c>
      <c r="C547" t="s">
        <v>6</v>
      </c>
      <c r="D547">
        <v>61</v>
      </c>
      <c r="E547" t="s">
        <v>703</v>
      </c>
      <c r="F547">
        <v>1468</v>
      </c>
      <c r="G547" t="s">
        <v>914</v>
      </c>
      <c r="I547">
        <v>10051403</v>
      </c>
      <c r="J547" t="s">
        <v>1999</v>
      </c>
      <c r="K547">
        <v>800159</v>
      </c>
      <c r="L547">
        <v>1</v>
      </c>
      <c r="M547" t="s">
        <v>230</v>
      </c>
      <c r="N547" t="s">
        <v>235</v>
      </c>
      <c r="O547">
        <v>1320000</v>
      </c>
    </row>
    <row r="548" spans="1:15" x14ac:dyDescent="0.4">
      <c r="A548" t="s">
        <v>1469</v>
      </c>
      <c r="B548">
        <v>76</v>
      </c>
      <c r="C548" t="s">
        <v>6</v>
      </c>
      <c r="D548">
        <v>61</v>
      </c>
      <c r="E548" t="s">
        <v>703</v>
      </c>
      <c r="F548">
        <v>1468</v>
      </c>
      <c r="G548" t="s">
        <v>914</v>
      </c>
      <c r="I548">
        <v>10049302</v>
      </c>
      <c r="J548" t="s">
        <v>2000</v>
      </c>
      <c r="K548">
        <v>800157</v>
      </c>
      <c r="L548">
        <v>1</v>
      </c>
      <c r="M548" t="s">
        <v>1475</v>
      </c>
      <c r="N548" t="s">
        <v>187</v>
      </c>
      <c r="O548">
        <v>809600</v>
      </c>
    </row>
    <row r="549" spans="1:15" x14ac:dyDescent="0.4">
      <c r="A549" t="s">
        <v>281</v>
      </c>
      <c r="B549">
        <v>75</v>
      </c>
      <c r="C549" t="s">
        <v>5</v>
      </c>
      <c r="D549">
        <v>51</v>
      </c>
      <c r="E549" t="s">
        <v>657</v>
      </c>
      <c r="F549">
        <v>1435</v>
      </c>
      <c r="G549" t="s">
        <v>860</v>
      </c>
      <c r="I549">
        <v>10004724</v>
      </c>
      <c r="J549" t="s">
        <v>2001</v>
      </c>
      <c r="K549">
        <v>800159</v>
      </c>
      <c r="L549">
        <v>1</v>
      </c>
      <c r="M549" t="s">
        <v>363</v>
      </c>
      <c r="N549" t="s">
        <v>315</v>
      </c>
      <c r="O549">
        <v>1320000</v>
      </c>
    </row>
    <row r="550" spans="1:15" x14ac:dyDescent="0.4">
      <c r="A550" t="s">
        <v>242</v>
      </c>
      <c r="B550">
        <v>75</v>
      </c>
      <c r="C550" t="s">
        <v>5</v>
      </c>
      <c r="D550">
        <v>51</v>
      </c>
      <c r="E550" t="s">
        <v>657</v>
      </c>
      <c r="F550">
        <v>1435</v>
      </c>
      <c r="G550" t="s">
        <v>860</v>
      </c>
      <c r="I550">
        <v>10033738</v>
      </c>
      <c r="J550" t="s">
        <v>2002</v>
      </c>
      <c r="K550">
        <v>800159</v>
      </c>
      <c r="L550">
        <v>1</v>
      </c>
      <c r="M550" t="s">
        <v>311</v>
      </c>
      <c r="N550" t="s">
        <v>316</v>
      </c>
      <c r="O550">
        <v>1290000</v>
      </c>
    </row>
    <row r="551" spans="1:15" x14ac:dyDescent="0.4">
      <c r="A551" t="s">
        <v>1586</v>
      </c>
      <c r="B551">
        <v>76</v>
      </c>
      <c r="C551" t="s">
        <v>6</v>
      </c>
      <c r="D551">
        <v>61</v>
      </c>
      <c r="E551" t="s">
        <v>703</v>
      </c>
      <c r="F551">
        <v>1468</v>
      </c>
      <c r="G551" t="s">
        <v>914</v>
      </c>
      <c r="I551">
        <v>10043605</v>
      </c>
      <c r="J551" t="s">
        <v>2003</v>
      </c>
      <c r="K551">
        <v>800157</v>
      </c>
      <c r="L551">
        <v>1</v>
      </c>
      <c r="M551" t="s">
        <v>1589</v>
      </c>
      <c r="N551" t="s">
        <v>205</v>
      </c>
      <c r="O551">
        <v>809600</v>
      </c>
    </row>
    <row r="552" spans="1:15" x14ac:dyDescent="0.4">
      <c r="A552" t="s">
        <v>275</v>
      </c>
      <c r="B552">
        <v>80</v>
      </c>
      <c r="C552" t="s">
        <v>4</v>
      </c>
      <c r="D552">
        <v>81</v>
      </c>
      <c r="E552" t="s">
        <v>550</v>
      </c>
      <c r="F552">
        <v>1436</v>
      </c>
      <c r="G552" t="s">
        <v>918</v>
      </c>
      <c r="I552">
        <v>20009820</v>
      </c>
      <c r="J552" t="s">
        <v>2004</v>
      </c>
      <c r="K552">
        <v>800159</v>
      </c>
      <c r="L552">
        <v>1</v>
      </c>
      <c r="M552" t="s">
        <v>281</v>
      </c>
      <c r="N552" t="s">
        <v>246</v>
      </c>
      <c r="O552">
        <v>1444200</v>
      </c>
    </row>
    <row r="553" spans="1:15" x14ac:dyDescent="0.4">
      <c r="A553" t="s">
        <v>186</v>
      </c>
      <c r="B553">
        <v>50</v>
      </c>
      <c r="C553" t="s">
        <v>1</v>
      </c>
      <c r="D553">
        <v>11</v>
      </c>
      <c r="E553" t="s">
        <v>192</v>
      </c>
      <c r="F553">
        <v>1085</v>
      </c>
      <c r="G553" t="s">
        <v>854</v>
      </c>
      <c r="I553">
        <v>10047333</v>
      </c>
      <c r="J553" t="s">
        <v>2005</v>
      </c>
      <c r="K553">
        <v>800155</v>
      </c>
      <c r="L553">
        <v>1</v>
      </c>
      <c r="M553" t="s">
        <v>238</v>
      </c>
      <c r="N553" t="s">
        <v>187</v>
      </c>
      <c r="O553">
        <v>160800</v>
      </c>
    </row>
    <row r="554" spans="1:15" x14ac:dyDescent="0.4">
      <c r="A554" t="s">
        <v>230</v>
      </c>
      <c r="B554">
        <v>80</v>
      </c>
      <c r="C554" t="s">
        <v>4</v>
      </c>
      <c r="D554">
        <v>71</v>
      </c>
      <c r="E554" t="s">
        <v>556</v>
      </c>
      <c r="F554">
        <v>1296</v>
      </c>
      <c r="G554" t="s">
        <v>964</v>
      </c>
      <c r="I554">
        <v>10025346</v>
      </c>
      <c r="J554" t="s">
        <v>2006</v>
      </c>
      <c r="K554">
        <v>800159</v>
      </c>
      <c r="L554">
        <v>1</v>
      </c>
      <c r="M554" t="s">
        <v>242</v>
      </c>
      <c r="N554" t="s">
        <v>247</v>
      </c>
      <c r="O554">
        <v>1308000</v>
      </c>
    </row>
    <row r="555" spans="1:15" x14ac:dyDescent="0.4">
      <c r="A555" t="s">
        <v>1479</v>
      </c>
      <c r="B555">
        <v>75</v>
      </c>
      <c r="C555" t="s">
        <v>5</v>
      </c>
      <c r="D555">
        <v>51</v>
      </c>
      <c r="E555" t="s">
        <v>657</v>
      </c>
      <c r="F555">
        <v>1365</v>
      </c>
      <c r="G555" t="s">
        <v>1148</v>
      </c>
      <c r="I555">
        <v>10012016</v>
      </c>
      <c r="J555" t="s">
        <v>2007</v>
      </c>
      <c r="K555">
        <v>800157</v>
      </c>
      <c r="L555">
        <v>1</v>
      </c>
      <c r="M555" t="s">
        <v>1487</v>
      </c>
      <c r="N555" t="s">
        <v>243</v>
      </c>
      <c r="O555">
        <v>806400</v>
      </c>
    </row>
    <row r="556" spans="1:15" x14ac:dyDescent="0.4">
      <c r="A556" t="s">
        <v>1594</v>
      </c>
      <c r="B556">
        <v>60</v>
      </c>
      <c r="C556" t="s">
        <v>3</v>
      </c>
      <c r="D556">
        <v>31</v>
      </c>
      <c r="E556" t="s">
        <v>447</v>
      </c>
      <c r="F556">
        <v>1367</v>
      </c>
      <c r="G556" t="s">
        <v>977</v>
      </c>
      <c r="I556">
        <v>10027366</v>
      </c>
      <c r="J556" t="s">
        <v>2008</v>
      </c>
      <c r="K556">
        <v>800159</v>
      </c>
      <c r="L556">
        <v>1</v>
      </c>
      <c r="M556" t="s">
        <v>1596</v>
      </c>
      <c r="N556" t="s">
        <v>254</v>
      </c>
      <c r="O556">
        <v>1332000</v>
      </c>
    </row>
    <row r="557" spans="1:15" x14ac:dyDescent="0.4">
      <c r="A557" t="s">
        <v>1469</v>
      </c>
      <c r="B557">
        <v>70</v>
      </c>
      <c r="C557" t="s">
        <v>2</v>
      </c>
      <c r="D557">
        <v>41</v>
      </c>
      <c r="E557" t="s">
        <v>306</v>
      </c>
      <c r="F557">
        <v>1552</v>
      </c>
      <c r="G557" t="s">
        <v>929</v>
      </c>
      <c r="I557">
        <v>20005311</v>
      </c>
      <c r="J557" t="s">
        <v>2009</v>
      </c>
      <c r="K557">
        <v>800157</v>
      </c>
      <c r="L557">
        <v>1</v>
      </c>
      <c r="M557" t="s">
        <v>1475</v>
      </c>
      <c r="N557" t="s">
        <v>187</v>
      </c>
      <c r="O557">
        <v>796800</v>
      </c>
    </row>
    <row r="558" spans="1:15" x14ac:dyDescent="0.4">
      <c r="A558" t="s">
        <v>1587</v>
      </c>
      <c r="B558">
        <v>70</v>
      </c>
      <c r="C558" t="s">
        <v>2</v>
      </c>
      <c r="D558">
        <v>41</v>
      </c>
      <c r="E558" t="s">
        <v>306</v>
      </c>
      <c r="F558">
        <v>1118</v>
      </c>
      <c r="G558" t="s">
        <v>1471</v>
      </c>
      <c r="I558">
        <v>20005315</v>
      </c>
      <c r="J558" t="s">
        <v>626</v>
      </c>
      <c r="K558">
        <v>800157</v>
      </c>
      <c r="L558">
        <v>1</v>
      </c>
      <c r="M558" t="s">
        <v>1548</v>
      </c>
      <c r="N558" t="s">
        <v>327</v>
      </c>
      <c r="O558">
        <v>784000</v>
      </c>
    </row>
    <row r="559" spans="1:15" x14ac:dyDescent="0.4">
      <c r="A559" t="s">
        <v>376</v>
      </c>
      <c r="B559">
        <v>70</v>
      </c>
      <c r="C559" t="s">
        <v>2</v>
      </c>
      <c r="D559">
        <v>41</v>
      </c>
      <c r="E559" t="s">
        <v>306</v>
      </c>
      <c r="F559">
        <v>1118</v>
      </c>
      <c r="G559" t="s">
        <v>1471</v>
      </c>
      <c r="I559">
        <v>20005317</v>
      </c>
      <c r="J559" t="s">
        <v>2010</v>
      </c>
      <c r="K559">
        <v>800159</v>
      </c>
      <c r="L559">
        <v>1</v>
      </c>
      <c r="M559" t="s">
        <v>353</v>
      </c>
      <c r="N559" t="s">
        <v>330</v>
      </c>
      <c r="O559">
        <v>1320000</v>
      </c>
    </row>
    <row r="560" spans="1:15" x14ac:dyDescent="0.4">
      <c r="A560" t="s">
        <v>203</v>
      </c>
      <c r="B560">
        <v>70</v>
      </c>
      <c r="C560" t="s">
        <v>2</v>
      </c>
      <c r="D560">
        <v>41</v>
      </c>
      <c r="E560" t="s">
        <v>306</v>
      </c>
      <c r="F560">
        <v>1561</v>
      </c>
      <c r="G560" t="s">
        <v>1070</v>
      </c>
      <c r="I560">
        <v>10023590</v>
      </c>
      <c r="J560" t="s">
        <v>2011</v>
      </c>
      <c r="K560">
        <v>800157</v>
      </c>
      <c r="L560">
        <v>1</v>
      </c>
      <c r="M560" t="s">
        <v>290</v>
      </c>
      <c r="N560" t="s">
        <v>293</v>
      </c>
      <c r="O560">
        <v>784000</v>
      </c>
    </row>
    <row r="561" spans="1:15" x14ac:dyDescent="0.4">
      <c r="A561" t="s">
        <v>185</v>
      </c>
      <c r="B561">
        <v>75</v>
      </c>
      <c r="C561" t="s">
        <v>5</v>
      </c>
      <c r="D561">
        <v>51</v>
      </c>
      <c r="E561" t="s">
        <v>657</v>
      </c>
      <c r="F561">
        <v>1365</v>
      </c>
      <c r="G561" t="s">
        <v>1148</v>
      </c>
      <c r="I561">
        <v>10056954</v>
      </c>
      <c r="J561" t="s">
        <v>2012</v>
      </c>
      <c r="K561">
        <v>800159</v>
      </c>
      <c r="L561">
        <v>1</v>
      </c>
      <c r="M561" t="s">
        <v>275</v>
      </c>
      <c r="N561" t="s">
        <v>234</v>
      </c>
      <c r="O561">
        <v>1320000</v>
      </c>
    </row>
    <row r="562" spans="1:15" x14ac:dyDescent="0.4">
      <c r="A562" t="s">
        <v>363</v>
      </c>
      <c r="B562">
        <v>50</v>
      </c>
      <c r="C562" t="s">
        <v>1</v>
      </c>
      <c r="D562">
        <v>21</v>
      </c>
      <c r="E562" t="s">
        <v>182</v>
      </c>
      <c r="F562">
        <v>1264</v>
      </c>
      <c r="G562" t="s">
        <v>1023</v>
      </c>
      <c r="I562">
        <v>10052773</v>
      </c>
      <c r="J562" t="s">
        <v>2013</v>
      </c>
      <c r="K562">
        <v>800159</v>
      </c>
      <c r="L562">
        <v>1</v>
      </c>
      <c r="M562" t="s">
        <v>376</v>
      </c>
      <c r="N562" t="s">
        <v>262</v>
      </c>
      <c r="O562">
        <v>1401000</v>
      </c>
    </row>
    <row r="563" spans="1:15" x14ac:dyDescent="0.4">
      <c r="A563" t="s">
        <v>1587</v>
      </c>
      <c r="B563">
        <v>60</v>
      </c>
      <c r="C563" t="s">
        <v>3</v>
      </c>
      <c r="D563">
        <v>33</v>
      </c>
      <c r="E563" t="s">
        <v>451</v>
      </c>
      <c r="F563">
        <v>1273</v>
      </c>
      <c r="G563" t="s">
        <v>1084</v>
      </c>
      <c r="I563">
        <v>10048515</v>
      </c>
      <c r="J563" t="s">
        <v>2014</v>
      </c>
      <c r="K563">
        <v>800157</v>
      </c>
      <c r="L563">
        <v>1</v>
      </c>
      <c r="M563" t="s">
        <v>1548</v>
      </c>
      <c r="N563" t="s">
        <v>327</v>
      </c>
      <c r="O563">
        <v>777600</v>
      </c>
    </row>
    <row r="564" spans="1:15" x14ac:dyDescent="0.4">
      <c r="A564" t="s">
        <v>1475</v>
      </c>
      <c r="B564">
        <v>76</v>
      </c>
      <c r="C564" t="s">
        <v>6</v>
      </c>
      <c r="D564">
        <v>61</v>
      </c>
      <c r="E564" t="s">
        <v>703</v>
      </c>
      <c r="F564">
        <v>1475</v>
      </c>
      <c r="G564" t="s">
        <v>909</v>
      </c>
      <c r="I564">
        <v>20005147</v>
      </c>
      <c r="J564" t="s">
        <v>2015</v>
      </c>
      <c r="K564">
        <v>800157</v>
      </c>
      <c r="L564">
        <v>1</v>
      </c>
      <c r="M564" t="s">
        <v>1479</v>
      </c>
      <c r="N564" t="s">
        <v>231</v>
      </c>
      <c r="O564">
        <v>915200</v>
      </c>
    </row>
    <row r="565" spans="1:15" x14ac:dyDescent="0.4">
      <c r="A565" t="s">
        <v>1587</v>
      </c>
      <c r="B565">
        <v>76</v>
      </c>
      <c r="C565" t="s">
        <v>6</v>
      </c>
      <c r="D565">
        <v>61</v>
      </c>
      <c r="E565" t="s">
        <v>703</v>
      </c>
      <c r="F565">
        <v>1563</v>
      </c>
      <c r="G565" t="s">
        <v>942</v>
      </c>
      <c r="I565">
        <v>10073326</v>
      </c>
      <c r="J565" t="s">
        <v>2016</v>
      </c>
      <c r="K565">
        <v>800157</v>
      </c>
      <c r="L565">
        <v>1</v>
      </c>
      <c r="M565" t="s">
        <v>1548</v>
      </c>
      <c r="N565" t="s">
        <v>327</v>
      </c>
      <c r="O565">
        <v>860800</v>
      </c>
    </row>
    <row r="566" spans="1:15" x14ac:dyDescent="0.4">
      <c r="A566" t="s">
        <v>1479</v>
      </c>
      <c r="B566">
        <v>50</v>
      </c>
      <c r="C566" t="s">
        <v>1</v>
      </c>
      <c r="D566">
        <v>21</v>
      </c>
      <c r="E566" t="s">
        <v>182</v>
      </c>
      <c r="F566">
        <v>1166</v>
      </c>
      <c r="G566" t="s">
        <v>1082</v>
      </c>
      <c r="I566">
        <v>10004978</v>
      </c>
      <c r="J566" t="s">
        <v>2017</v>
      </c>
      <c r="K566">
        <v>800157</v>
      </c>
      <c r="L566">
        <v>1</v>
      </c>
      <c r="M566" t="s">
        <v>1487</v>
      </c>
      <c r="N566" t="s">
        <v>243</v>
      </c>
      <c r="O566">
        <v>790400</v>
      </c>
    </row>
    <row r="567" spans="1:15" x14ac:dyDescent="0.4">
      <c r="A567" t="s">
        <v>1586</v>
      </c>
      <c r="B567">
        <v>80</v>
      </c>
      <c r="C567" t="s">
        <v>4</v>
      </c>
      <c r="D567">
        <v>81</v>
      </c>
      <c r="E567" t="s">
        <v>550</v>
      </c>
      <c r="F567">
        <v>1378</v>
      </c>
      <c r="G567" t="s">
        <v>881</v>
      </c>
      <c r="I567">
        <v>10034251</v>
      </c>
      <c r="J567" t="s">
        <v>2018</v>
      </c>
      <c r="K567">
        <v>800157</v>
      </c>
      <c r="L567">
        <v>1</v>
      </c>
      <c r="M567" t="s">
        <v>1589</v>
      </c>
      <c r="N567" t="s">
        <v>205</v>
      </c>
      <c r="O567">
        <v>848000</v>
      </c>
    </row>
    <row r="568" spans="1:15" x14ac:dyDescent="0.4">
      <c r="A568" t="s">
        <v>185</v>
      </c>
      <c r="B568">
        <v>60</v>
      </c>
      <c r="C568" t="s">
        <v>3</v>
      </c>
      <c r="D568">
        <v>33</v>
      </c>
      <c r="E568" t="s">
        <v>451</v>
      </c>
      <c r="F568">
        <v>1273</v>
      </c>
      <c r="G568" t="s">
        <v>1084</v>
      </c>
      <c r="I568">
        <v>10011316</v>
      </c>
      <c r="J568" t="s">
        <v>2019</v>
      </c>
      <c r="K568">
        <v>800159</v>
      </c>
      <c r="L568">
        <v>1</v>
      </c>
      <c r="M568" t="s">
        <v>275</v>
      </c>
      <c r="N568" t="s">
        <v>234</v>
      </c>
      <c r="O568">
        <v>1140000</v>
      </c>
    </row>
    <row r="569" spans="1:15" x14ac:dyDescent="0.4">
      <c r="A569" t="s">
        <v>230</v>
      </c>
      <c r="B569">
        <v>76</v>
      </c>
      <c r="C569" t="s">
        <v>6</v>
      </c>
      <c r="D569">
        <v>61</v>
      </c>
      <c r="E569" t="s">
        <v>703</v>
      </c>
      <c r="F569">
        <v>1468</v>
      </c>
      <c r="G569" t="s">
        <v>914</v>
      </c>
      <c r="I569">
        <v>20005172</v>
      </c>
      <c r="J569" t="s">
        <v>2020</v>
      </c>
      <c r="K569">
        <v>800159</v>
      </c>
      <c r="L569">
        <v>1</v>
      </c>
      <c r="M569" t="s">
        <v>242</v>
      </c>
      <c r="N569" t="s">
        <v>247</v>
      </c>
      <c r="O569">
        <v>1503600</v>
      </c>
    </row>
    <row r="570" spans="1:15" x14ac:dyDescent="0.4">
      <c r="A570" t="s">
        <v>268</v>
      </c>
      <c r="B570">
        <v>60</v>
      </c>
      <c r="C570" t="s">
        <v>3</v>
      </c>
      <c r="D570">
        <v>33</v>
      </c>
      <c r="E570" t="s">
        <v>451</v>
      </c>
      <c r="F570">
        <v>1505</v>
      </c>
      <c r="G570" t="s">
        <v>900</v>
      </c>
      <c r="I570">
        <v>10052517</v>
      </c>
      <c r="J570" t="s">
        <v>2021</v>
      </c>
      <c r="K570">
        <v>800159</v>
      </c>
      <c r="L570">
        <v>1</v>
      </c>
      <c r="M570" t="s">
        <v>195</v>
      </c>
      <c r="N570" t="s">
        <v>200</v>
      </c>
      <c r="O570">
        <v>1320000</v>
      </c>
    </row>
    <row r="571" spans="1:15" x14ac:dyDescent="0.4">
      <c r="A571" t="s">
        <v>1487</v>
      </c>
      <c r="B571">
        <v>76</v>
      </c>
      <c r="C571" t="s">
        <v>6</v>
      </c>
      <c r="D571">
        <v>61</v>
      </c>
      <c r="E571" t="s">
        <v>703</v>
      </c>
      <c r="F571">
        <v>1602</v>
      </c>
      <c r="G571" t="s">
        <v>1013</v>
      </c>
      <c r="I571">
        <v>20005956</v>
      </c>
      <c r="J571" t="s">
        <v>583</v>
      </c>
      <c r="K571">
        <v>800157</v>
      </c>
      <c r="L571">
        <v>1</v>
      </c>
      <c r="M571" t="s">
        <v>1523</v>
      </c>
      <c r="N571" t="s">
        <v>312</v>
      </c>
      <c r="O571">
        <v>822400</v>
      </c>
    </row>
    <row r="572" spans="1:15" x14ac:dyDescent="0.4">
      <c r="A572" t="s">
        <v>1475</v>
      </c>
      <c r="B572">
        <v>60</v>
      </c>
      <c r="C572" t="s">
        <v>3</v>
      </c>
      <c r="D572">
        <v>31</v>
      </c>
      <c r="E572" t="s">
        <v>447</v>
      </c>
      <c r="F572">
        <v>1616</v>
      </c>
      <c r="G572" t="s">
        <v>1659</v>
      </c>
      <c r="I572">
        <v>10068894</v>
      </c>
      <c r="J572" t="s">
        <v>2022</v>
      </c>
      <c r="K572">
        <v>800157</v>
      </c>
      <c r="L572">
        <v>1</v>
      </c>
      <c r="M572" t="s">
        <v>1479</v>
      </c>
      <c r="N572" t="s">
        <v>231</v>
      </c>
      <c r="O572">
        <v>803200</v>
      </c>
    </row>
    <row r="573" spans="1:15" x14ac:dyDescent="0.4">
      <c r="A573" t="s">
        <v>185</v>
      </c>
      <c r="B573">
        <v>60</v>
      </c>
      <c r="C573" t="s">
        <v>3</v>
      </c>
      <c r="D573">
        <v>31</v>
      </c>
      <c r="E573" t="s">
        <v>447</v>
      </c>
      <c r="F573">
        <v>1299</v>
      </c>
      <c r="G573" t="s">
        <v>947</v>
      </c>
      <c r="I573">
        <v>20009508</v>
      </c>
      <c r="J573" t="s">
        <v>2023</v>
      </c>
      <c r="K573">
        <v>800159</v>
      </c>
      <c r="L573">
        <v>1</v>
      </c>
      <c r="M573" t="s">
        <v>275</v>
      </c>
      <c r="N573" t="s">
        <v>234</v>
      </c>
      <c r="O573">
        <v>1336200</v>
      </c>
    </row>
    <row r="574" spans="1:15" x14ac:dyDescent="0.4">
      <c r="A574" t="s">
        <v>230</v>
      </c>
      <c r="B574">
        <v>80</v>
      </c>
      <c r="C574" t="s">
        <v>4</v>
      </c>
      <c r="D574">
        <v>81</v>
      </c>
      <c r="E574" t="s">
        <v>550</v>
      </c>
      <c r="F574">
        <v>1436</v>
      </c>
      <c r="G574" t="s">
        <v>918</v>
      </c>
      <c r="I574">
        <v>20006056</v>
      </c>
      <c r="J574" t="s">
        <v>2024</v>
      </c>
      <c r="K574">
        <v>800159</v>
      </c>
      <c r="L574">
        <v>1</v>
      </c>
      <c r="M574" t="s">
        <v>242</v>
      </c>
      <c r="N574" t="s">
        <v>247</v>
      </c>
      <c r="O574">
        <v>1325400</v>
      </c>
    </row>
    <row r="575" spans="1:15" x14ac:dyDescent="0.4">
      <c r="A575" t="s">
        <v>220</v>
      </c>
      <c r="B575">
        <v>70</v>
      </c>
      <c r="C575" t="s">
        <v>2</v>
      </c>
      <c r="D575">
        <v>41</v>
      </c>
      <c r="E575" t="s">
        <v>306</v>
      </c>
      <c r="F575">
        <v>1445</v>
      </c>
      <c r="G575" t="s">
        <v>886</v>
      </c>
      <c r="I575">
        <v>20006075</v>
      </c>
      <c r="J575" t="s">
        <v>2025</v>
      </c>
      <c r="K575">
        <v>800157</v>
      </c>
      <c r="L575">
        <v>1</v>
      </c>
      <c r="M575" t="s">
        <v>203</v>
      </c>
      <c r="N575" t="s">
        <v>206</v>
      </c>
      <c r="O575">
        <v>848000</v>
      </c>
    </row>
    <row r="576" spans="1:15" x14ac:dyDescent="0.4">
      <c r="A576" t="s">
        <v>186</v>
      </c>
      <c r="B576">
        <v>60</v>
      </c>
      <c r="C576" t="s">
        <v>3</v>
      </c>
      <c r="D576">
        <v>33</v>
      </c>
      <c r="E576" t="s">
        <v>451</v>
      </c>
      <c r="F576">
        <v>1273</v>
      </c>
      <c r="G576" t="s">
        <v>1084</v>
      </c>
      <c r="I576">
        <v>10040994</v>
      </c>
      <c r="J576" t="s">
        <v>2026</v>
      </c>
      <c r="K576">
        <v>800159</v>
      </c>
      <c r="L576">
        <v>1</v>
      </c>
      <c r="M576" t="s">
        <v>238</v>
      </c>
      <c r="N576" t="s">
        <v>239</v>
      </c>
      <c r="O576">
        <v>1438800</v>
      </c>
    </row>
    <row r="577" spans="1:15" x14ac:dyDescent="0.4">
      <c r="A577" t="s">
        <v>238</v>
      </c>
      <c r="B577">
        <v>76</v>
      </c>
      <c r="C577" t="s">
        <v>6</v>
      </c>
      <c r="D577">
        <v>61</v>
      </c>
      <c r="E577" t="s">
        <v>703</v>
      </c>
      <c r="F577">
        <v>1563</v>
      </c>
      <c r="G577" t="s">
        <v>942</v>
      </c>
      <c r="I577">
        <v>20006914</v>
      </c>
      <c r="J577" t="s">
        <v>2027</v>
      </c>
      <c r="K577">
        <v>800159</v>
      </c>
      <c r="L577">
        <v>1</v>
      </c>
      <c r="M577" t="s">
        <v>230</v>
      </c>
      <c r="N577" t="s">
        <v>235</v>
      </c>
      <c r="O577">
        <v>1514400</v>
      </c>
    </row>
    <row r="578" spans="1:15" x14ac:dyDescent="0.4">
      <c r="A578" t="s">
        <v>258</v>
      </c>
      <c r="B578">
        <v>75</v>
      </c>
      <c r="C578" t="s">
        <v>5</v>
      </c>
      <c r="D578">
        <v>51</v>
      </c>
      <c r="E578" t="s">
        <v>657</v>
      </c>
      <c r="F578">
        <v>1415</v>
      </c>
      <c r="G578" t="s">
        <v>1038</v>
      </c>
      <c r="I578">
        <v>10023222</v>
      </c>
      <c r="J578" t="s">
        <v>2028</v>
      </c>
      <c r="K578">
        <v>800159</v>
      </c>
      <c r="L578">
        <v>1</v>
      </c>
      <c r="M578" t="s">
        <v>221</v>
      </c>
      <c r="N578" t="s">
        <v>331</v>
      </c>
      <c r="O578">
        <v>1320000</v>
      </c>
    </row>
    <row r="579" spans="1:15" x14ac:dyDescent="0.4">
      <c r="A579" t="s">
        <v>268</v>
      </c>
      <c r="B579">
        <v>70</v>
      </c>
      <c r="C579" t="s">
        <v>2</v>
      </c>
      <c r="D579">
        <v>41</v>
      </c>
      <c r="E579" t="s">
        <v>306</v>
      </c>
      <c r="F579">
        <v>1561</v>
      </c>
      <c r="G579" t="s">
        <v>1070</v>
      </c>
      <c r="I579">
        <v>20005774</v>
      </c>
      <c r="J579" t="s">
        <v>2029</v>
      </c>
      <c r="K579">
        <v>800157</v>
      </c>
      <c r="L579">
        <v>1</v>
      </c>
      <c r="M579" t="s">
        <v>195</v>
      </c>
      <c r="N579" t="s">
        <v>198</v>
      </c>
      <c r="O579">
        <v>784000</v>
      </c>
    </row>
    <row r="580" spans="1:15" x14ac:dyDescent="0.4">
      <c r="A580" t="s">
        <v>1523</v>
      </c>
      <c r="B580">
        <v>60</v>
      </c>
      <c r="C580" t="s">
        <v>3</v>
      </c>
      <c r="D580">
        <v>33</v>
      </c>
      <c r="E580" t="s">
        <v>451</v>
      </c>
      <c r="F580">
        <v>1273</v>
      </c>
      <c r="G580" t="s">
        <v>1084</v>
      </c>
      <c r="I580">
        <v>20006004</v>
      </c>
      <c r="J580" t="s">
        <v>2030</v>
      </c>
      <c r="K580">
        <v>800157</v>
      </c>
      <c r="L580">
        <v>1</v>
      </c>
      <c r="M580" t="s">
        <v>1587</v>
      </c>
      <c r="N580" t="s">
        <v>259</v>
      </c>
      <c r="O580">
        <v>784000</v>
      </c>
    </row>
    <row r="581" spans="1:15" x14ac:dyDescent="0.4">
      <c r="A581" t="s">
        <v>268</v>
      </c>
      <c r="B581">
        <v>70</v>
      </c>
      <c r="C581" t="s">
        <v>2</v>
      </c>
      <c r="D581">
        <v>41</v>
      </c>
      <c r="E581" t="s">
        <v>306</v>
      </c>
      <c r="F581">
        <v>1383</v>
      </c>
      <c r="G581" t="s">
        <v>957</v>
      </c>
      <c r="I581">
        <v>10028183</v>
      </c>
      <c r="J581" t="s">
        <v>321</v>
      </c>
      <c r="K581">
        <v>800159</v>
      </c>
      <c r="L581">
        <v>1</v>
      </c>
      <c r="M581" t="s">
        <v>195</v>
      </c>
      <c r="N581" t="s">
        <v>200</v>
      </c>
      <c r="O581">
        <v>1357800</v>
      </c>
    </row>
    <row r="582" spans="1:15" x14ac:dyDescent="0.4">
      <c r="A582" t="s">
        <v>275</v>
      </c>
      <c r="B582">
        <v>76</v>
      </c>
      <c r="C582" t="s">
        <v>6</v>
      </c>
      <c r="D582">
        <v>61</v>
      </c>
      <c r="E582" t="s">
        <v>703</v>
      </c>
      <c r="F582">
        <v>1389</v>
      </c>
      <c r="G582" t="s">
        <v>1197</v>
      </c>
      <c r="I582">
        <v>10030396</v>
      </c>
      <c r="J582" t="s">
        <v>2031</v>
      </c>
      <c r="K582">
        <v>800159</v>
      </c>
      <c r="L582">
        <v>1</v>
      </c>
      <c r="M582" t="s">
        <v>281</v>
      </c>
      <c r="N582" t="s">
        <v>246</v>
      </c>
      <c r="O582">
        <v>1357800</v>
      </c>
    </row>
    <row r="583" spans="1:15" x14ac:dyDescent="0.4">
      <c r="A583" t="s">
        <v>250</v>
      </c>
      <c r="B583">
        <v>70</v>
      </c>
      <c r="C583" t="s">
        <v>2</v>
      </c>
      <c r="D583">
        <v>41</v>
      </c>
      <c r="E583" t="s">
        <v>306</v>
      </c>
      <c r="F583">
        <v>1445</v>
      </c>
      <c r="G583" t="s">
        <v>886</v>
      </c>
      <c r="I583">
        <v>20005915</v>
      </c>
      <c r="J583" t="s">
        <v>2032</v>
      </c>
      <c r="K583">
        <v>800159</v>
      </c>
      <c r="L583">
        <v>1</v>
      </c>
      <c r="M583" t="s">
        <v>196</v>
      </c>
      <c r="N583" t="s">
        <v>215</v>
      </c>
      <c r="O583">
        <v>1406400</v>
      </c>
    </row>
    <row r="584" spans="1:15" x14ac:dyDescent="0.4">
      <c r="A584" t="s">
        <v>363</v>
      </c>
      <c r="B584">
        <v>50</v>
      </c>
      <c r="C584" t="s">
        <v>1</v>
      </c>
      <c r="D584">
        <v>21</v>
      </c>
      <c r="E584" t="s">
        <v>182</v>
      </c>
      <c r="F584">
        <v>1345</v>
      </c>
      <c r="G584" t="s">
        <v>874</v>
      </c>
      <c r="I584">
        <v>10066405</v>
      </c>
      <c r="J584" t="s">
        <v>2033</v>
      </c>
      <c r="K584">
        <v>800159</v>
      </c>
      <c r="L584">
        <v>1</v>
      </c>
      <c r="M584" t="s">
        <v>376</v>
      </c>
      <c r="N584" t="s">
        <v>262</v>
      </c>
      <c r="O584">
        <v>1320000</v>
      </c>
    </row>
    <row r="585" spans="1:15" x14ac:dyDescent="0.4">
      <c r="A585" t="s">
        <v>1487</v>
      </c>
      <c r="B585">
        <v>80</v>
      </c>
      <c r="C585" t="s">
        <v>4</v>
      </c>
      <c r="D585">
        <v>81</v>
      </c>
      <c r="E585" t="s">
        <v>550</v>
      </c>
      <c r="F585">
        <v>1436</v>
      </c>
      <c r="G585" t="s">
        <v>918</v>
      </c>
      <c r="I585">
        <v>20006094</v>
      </c>
      <c r="J585" t="s">
        <v>2034</v>
      </c>
      <c r="K585">
        <v>800159</v>
      </c>
      <c r="L585">
        <v>1</v>
      </c>
      <c r="M585" t="s">
        <v>1523</v>
      </c>
      <c r="N585" t="s">
        <v>314</v>
      </c>
      <c r="O585">
        <v>1622400</v>
      </c>
    </row>
    <row r="586" spans="1:15" x14ac:dyDescent="0.4">
      <c r="A586" t="s">
        <v>186</v>
      </c>
      <c r="B586">
        <v>60</v>
      </c>
      <c r="C586" t="s">
        <v>3</v>
      </c>
      <c r="D586">
        <v>33</v>
      </c>
      <c r="E586" t="s">
        <v>451</v>
      </c>
      <c r="F586">
        <v>1372</v>
      </c>
      <c r="G586" t="s">
        <v>992</v>
      </c>
      <c r="I586">
        <v>10057673</v>
      </c>
      <c r="J586" t="s">
        <v>2035</v>
      </c>
      <c r="K586">
        <v>800159</v>
      </c>
      <c r="L586">
        <v>1</v>
      </c>
      <c r="M586" t="s">
        <v>238</v>
      </c>
      <c r="N586" t="s">
        <v>239</v>
      </c>
      <c r="O586">
        <v>1320000</v>
      </c>
    </row>
    <row r="587" spans="1:15" x14ac:dyDescent="0.4">
      <c r="A587" t="s">
        <v>1587</v>
      </c>
      <c r="B587">
        <v>75</v>
      </c>
      <c r="C587" t="s">
        <v>5</v>
      </c>
      <c r="D587">
        <v>51</v>
      </c>
      <c r="E587" t="s">
        <v>657</v>
      </c>
      <c r="F587">
        <v>1415</v>
      </c>
      <c r="G587" t="s">
        <v>1038</v>
      </c>
      <c r="I587">
        <v>20006205</v>
      </c>
      <c r="J587" t="s">
        <v>2036</v>
      </c>
      <c r="K587">
        <v>800157</v>
      </c>
      <c r="L587">
        <v>1</v>
      </c>
      <c r="M587" t="s">
        <v>1548</v>
      </c>
      <c r="N587" t="s">
        <v>327</v>
      </c>
      <c r="O587">
        <v>787200</v>
      </c>
    </row>
    <row r="588" spans="1:15" x14ac:dyDescent="0.4">
      <c r="A588" t="s">
        <v>242</v>
      </c>
      <c r="B588">
        <v>75</v>
      </c>
      <c r="C588" t="s">
        <v>5</v>
      </c>
      <c r="D588">
        <v>51</v>
      </c>
      <c r="E588" t="s">
        <v>657</v>
      </c>
      <c r="F588">
        <v>1415</v>
      </c>
      <c r="G588" t="s">
        <v>1038</v>
      </c>
      <c r="I588">
        <v>10022194</v>
      </c>
      <c r="J588" t="s">
        <v>2037</v>
      </c>
      <c r="K588">
        <v>800159</v>
      </c>
      <c r="L588">
        <v>1</v>
      </c>
      <c r="M588" t="s">
        <v>311</v>
      </c>
      <c r="N588" t="s">
        <v>316</v>
      </c>
      <c r="O588">
        <v>1379400</v>
      </c>
    </row>
    <row r="589" spans="1:15" x14ac:dyDescent="0.4">
      <c r="A589" t="s">
        <v>376</v>
      </c>
      <c r="B589">
        <v>76</v>
      </c>
      <c r="C589" t="s">
        <v>6</v>
      </c>
      <c r="D589">
        <v>61</v>
      </c>
      <c r="E589" t="s">
        <v>703</v>
      </c>
      <c r="F589">
        <v>1472</v>
      </c>
      <c r="G589" t="s">
        <v>998</v>
      </c>
      <c r="I589">
        <v>10036586</v>
      </c>
      <c r="J589" t="s">
        <v>2038</v>
      </c>
      <c r="K589">
        <v>800157</v>
      </c>
      <c r="L589">
        <v>1</v>
      </c>
      <c r="M589" t="s">
        <v>353</v>
      </c>
      <c r="N589" t="s">
        <v>328</v>
      </c>
      <c r="O589">
        <v>892800</v>
      </c>
    </row>
    <row r="590" spans="1:15" x14ac:dyDescent="0.4">
      <c r="A590" t="s">
        <v>238</v>
      </c>
      <c r="B590">
        <v>75</v>
      </c>
      <c r="C590" t="s">
        <v>5</v>
      </c>
      <c r="D590">
        <v>51</v>
      </c>
      <c r="E590" t="s">
        <v>657</v>
      </c>
      <c r="F590">
        <v>1435</v>
      </c>
      <c r="G590" t="s">
        <v>860</v>
      </c>
      <c r="I590">
        <v>10033375</v>
      </c>
      <c r="J590" t="s">
        <v>2039</v>
      </c>
      <c r="K590">
        <v>800159</v>
      </c>
      <c r="L590">
        <v>1</v>
      </c>
      <c r="M590" t="s">
        <v>230</v>
      </c>
      <c r="N590" t="s">
        <v>235</v>
      </c>
      <c r="O590">
        <v>1325400</v>
      </c>
    </row>
    <row r="591" spans="1:15" x14ac:dyDescent="0.4">
      <c r="A591" t="s">
        <v>1587</v>
      </c>
      <c r="B591">
        <v>60</v>
      </c>
      <c r="C591" t="s">
        <v>3</v>
      </c>
      <c r="D591">
        <v>33</v>
      </c>
      <c r="E591" t="s">
        <v>451</v>
      </c>
      <c r="F591">
        <v>1273</v>
      </c>
      <c r="G591" t="s">
        <v>1084</v>
      </c>
      <c r="I591">
        <v>20006255</v>
      </c>
      <c r="J591" t="s">
        <v>2040</v>
      </c>
      <c r="K591">
        <v>800157</v>
      </c>
      <c r="L591">
        <v>1</v>
      </c>
      <c r="M591" t="s">
        <v>1548</v>
      </c>
      <c r="N591" t="s">
        <v>327</v>
      </c>
      <c r="O591">
        <v>770400</v>
      </c>
    </row>
    <row r="592" spans="1:15" x14ac:dyDescent="0.4">
      <c r="A592" t="s">
        <v>268</v>
      </c>
      <c r="B592">
        <v>76</v>
      </c>
      <c r="C592" t="s">
        <v>6</v>
      </c>
      <c r="D592">
        <v>61</v>
      </c>
      <c r="E592" t="s">
        <v>703</v>
      </c>
      <c r="F592">
        <v>1472</v>
      </c>
      <c r="G592" t="s">
        <v>998</v>
      </c>
      <c r="I592">
        <v>20006052</v>
      </c>
      <c r="J592" t="s">
        <v>2041</v>
      </c>
      <c r="K592">
        <v>800157</v>
      </c>
      <c r="L592">
        <v>1</v>
      </c>
      <c r="M592" t="s">
        <v>195</v>
      </c>
      <c r="N592" t="s">
        <v>198</v>
      </c>
      <c r="O592">
        <v>934400</v>
      </c>
    </row>
    <row r="593" spans="1:15" x14ac:dyDescent="0.4">
      <c r="A593" t="s">
        <v>238</v>
      </c>
      <c r="B593">
        <v>76</v>
      </c>
      <c r="C593" t="s">
        <v>6</v>
      </c>
      <c r="D593">
        <v>61</v>
      </c>
      <c r="E593" t="s">
        <v>703</v>
      </c>
      <c r="F593">
        <v>1472</v>
      </c>
      <c r="G593" t="s">
        <v>998</v>
      </c>
      <c r="I593">
        <v>10043559</v>
      </c>
      <c r="J593" t="s">
        <v>2042</v>
      </c>
      <c r="K593">
        <v>800157</v>
      </c>
      <c r="L593">
        <v>1</v>
      </c>
      <c r="M593" t="s">
        <v>230</v>
      </c>
      <c r="N593" t="s">
        <v>233</v>
      </c>
      <c r="O593">
        <v>784000</v>
      </c>
    </row>
    <row r="594" spans="1:15" x14ac:dyDescent="0.4">
      <c r="A594" t="s">
        <v>268</v>
      </c>
      <c r="B594">
        <v>75</v>
      </c>
      <c r="C594" t="s">
        <v>5</v>
      </c>
      <c r="D594">
        <v>51</v>
      </c>
      <c r="E594" t="s">
        <v>657</v>
      </c>
      <c r="F594">
        <v>1415</v>
      </c>
      <c r="G594" t="s">
        <v>1038</v>
      </c>
      <c r="I594">
        <v>20006340</v>
      </c>
      <c r="J594" t="s">
        <v>2043</v>
      </c>
      <c r="K594">
        <v>800159</v>
      </c>
      <c r="L594">
        <v>1</v>
      </c>
      <c r="M594" t="s">
        <v>195</v>
      </c>
      <c r="N594" t="s">
        <v>200</v>
      </c>
      <c r="O594">
        <v>1350000</v>
      </c>
    </row>
    <row r="595" spans="1:15" x14ac:dyDescent="0.4">
      <c r="A595" t="s">
        <v>311</v>
      </c>
      <c r="B595">
        <v>80</v>
      </c>
      <c r="C595" t="s">
        <v>4</v>
      </c>
      <c r="D595">
        <v>81</v>
      </c>
      <c r="E595" t="s">
        <v>550</v>
      </c>
      <c r="F595">
        <v>1436</v>
      </c>
      <c r="G595" t="s">
        <v>918</v>
      </c>
      <c r="I595">
        <v>20008188</v>
      </c>
      <c r="J595" t="s">
        <v>2044</v>
      </c>
      <c r="K595">
        <v>800159</v>
      </c>
      <c r="L595">
        <v>1</v>
      </c>
      <c r="M595" t="s">
        <v>258</v>
      </c>
      <c r="N595" t="s">
        <v>263</v>
      </c>
      <c r="O595">
        <v>1320000</v>
      </c>
    </row>
    <row r="596" spans="1:15" x14ac:dyDescent="0.4">
      <c r="A596" t="s">
        <v>1479</v>
      </c>
      <c r="B596">
        <v>75</v>
      </c>
      <c r="C596" t="s">
        <v>5</v>
      </c>
      <c r="D596">
        <v>51</v>
      </c>
      <c r="E596" t="s">
        <v>657</v>
      </c>
      <c r="F596">
        <v>1435</v>
      </c>
      <c r="G596" t="s">
        <v>860</v>
      </c>
      <c r="I596">
        <v>20005974</v>
      </c>
      <c r="J596" t="s">
        <v>2045</v>
      </c>
      <c r="K596">
        <v>800157</v>
      </c>
      <c r="L596">
        <v>1</v>
      </c>
      <c r="M596" t="s">
        <v>1487</v>
      </c>
      <c r="N596" t="s">
        <v>243</v>
      </c>
      <c r="O596">
        <v>796800</v>
      </c>
    </row>
    <row r="597" spans="1:15" x14ac:dyDescent="0.4">
      <c r="A597" t="s">
        <v>242</v>
      </c>
      <c r="B597">
        <v>76</v>
      </c>
      <c r="C597" t="s">
        <v>6</v>
      </c>
      <c r="D597">
        <v>61</v>
      </c>
      <c r="E597" t="s">
        <v>703</v>
      </c>
      <c r="F597">
        <v>1389</v>
      </c>
      <c r="G597" t="s">
        <v>1197</v>
      </c>
      <c r="I597">
        <v>10049357</v>
      </c>
      <c r="J597" t="s">
        <v>2046</v>
      </c>
      <c r="K597">
        <v>800159</v>
      </c>
      <c r="L597">
        <v>1</v>
      </c>
      <c r="M597" t="s">
        <v>311</v>
      </c>
      <c r="N597" t="s">
        <v>316</v>
      </c>
      <c r="O597">
        <v>1325400</v>
      </c>
    </row>
    <row r="598" spans="1:15" x14ac:dyDescent="0.4">
      <c r="A598" t="s">
        <v>1596</v>
      </c>
      <c r="B598">
        <v>76</v>
      </c>
      <c r="C598" t="s">
        <v>6</v>
      </c>
      <c r="D598">
        <v>61</v>
      </c>
      <c r="E598" t="s">
        <v>703</v>
      </c>
      <c r="F598">
        <v>1602</v>
      </c>
      <c r="G598" t="s">
        <v>1013</v>
      </c>
      <c r="I598">
        <v>10063396</v>
      </c>
      <c r="J598" t="s">
        <v>1633</v>
      </c>
      <c r="K598">
        <v>800157</v>
      </c>
      <c r="L598">
        <v>1</v>
      </c>
      <c r="M598" t="s">
        <v>268</v>
      </c>
      <c r="N598" t="s">
        <v>212</v>
      </c>
      <c r="O598">
        <v>784000</v>
      </c>
    </row>
    <row r="599" spans="1:15" x14ac:dyDescent="0.4">
      <c r="A599" t="s">
        <v>363</v>
      </c>
      <c r="B599">
        <v>76</v>
      </c>
      <c r="C599" t="s">
        <v>6</v>
      </c>
      <c r="D599">
        <v>61</v>
      </c>
      <c r="E599" t="s">
        <v>703</v>
      </c>
      <c r="F599">
        <v>1475</v>
      </c>
      <c r="G599" t="s">
        <v>909</v>
      </c>
      <c r="I599">
        <v>20005994</v>
      </c>
      <c r="J599" t="s">
        <v>2047</v>
      </c>
      <c r="K599">
        <v>800159</v>
      </c>
      <c r="L599">
        <v>1</v>
      </c>
      <c r="M599" t="s">
        <v>376</v>
      </c>
      <c r="N599" t="s">
        <v>262</v>
      </c>
      <c r="O599">
        <v>1320000</v>
      </c>
    </row>
    <row r="600" spans="1:15" x14ac:dyDescent="0.4">
      <c r="A600" t="s">
        <v>268</v>
      </c>
      <c r="B600">
        <v>70</v>
      </c>
      <c r="C600" t="s">
        <v>2</v>
      </c>
      <c r="D600">
        <v>41</v>
      </c>
      <c r="E600" t="s">
        <v>306</v>
      </c>
      <c r="F600">
        <v>1118</v>
      </c>
      <c r="G600" t="s">
        <v>1471</v>
      </c>
      <c r="I600">
        <v>10067386</v>
      </c>
      <c r="J600" t="s">
        <v>2048</v>
      </c>
      <c r="K600">
        <v>800159</v>
      </c>
      <c r="L600">
        <v>1</v>
      </c>
      <c r="M600" t="s">
        <v>195</v>
      </c>
      <c r="N600" t="s">
        <v>200</v>
      </c>
      <c r="O600">
        <v>1320000</v>
      </c>
    </row>
    <row r="601" spans="1:15" x14ac:dyDescent="0.4">
      <c r="A601" t="s">
        <v>290</v>
      </c>
      <c r="B601">
        <v>75</v>
      </c>
      <c r="C601" t="s">
        <v>5</v>
      </c>
      <c r="D601">
        <v>51</v>
      </c>
      <c r="E601" t="s">
        <v>657</v>
      </c>
      <c r="F601">
        <v>1435</v>
      </c>
      <c r="G601" t="s">
        <v>860</v>
      </c>
      <c r="I601">
        <v>10008292</v>
      </c>
      <c r="J601" t="s">
        <v>2049</v>
      </c>
      <c r="K601">
        <v>800159</v>
      </c>
      <c r="L601">
        <v>1</v>
      </c>
      <c r="M601" t="s">
        <v>250</v>
      </c>
      <c r="N601" t="s">
        <v>255</v>
      </c>
      <c r="O601">
        <v>1326000</v>
      </c>
    </row>
    <row r="602" spans="1:15" x14ac:dyDescent="0.4">
      <c r="A602" t="s">
        <v>376</v>
      </c>
      <c r="B602">
        <v>75</v>
      </c>
      <c r="C602" t="s">
        <v>5</v>
      </c>
      <c r="D602">
        <v>51</v>
      </c>
      <c r="E602" t="s">
        <v>657</v>
      </c>
      <c r="F602">
        <v>1415</v>
      </c>
      <c r="G602" t="s">
        <v>1038</v>
      </c>
      <c r="I602">
        <v>20007954</v>
      </c>
      <c r="J602" t="s">
        <v>2050</v>
      </c>
      <c r="K602">
        <v>800159</v>
      </c>
      <c r="L602">
        <v>1</v>
      </c>
      <c r="M602" t="s">
        <v>353</v>
      </c>
      <c r="N602" t="s">
        <v>330</v>
      </c>
      <c r="O602">
        <v>1422600</v>
      </c>
    </row>
    <row r="603" spans="1:15" x14ac:dyDescent="0.4">
      <c r="A603" t="s">
        <v>1523</v>
      </c>
      <c r="B603">
        <v>75</v>
      </c>
      <c r="C603" t="s">
        <v>5</v>
      </c>
      <c r="D603">
        <v>52</v>
      </c>
      <c r="E603" t="s">
        <v>665</v>
      </c>
      <c r="F603">
        <v>1403</v>
      </c>
      <c r="G603" t="s">
        <v>925</v>
      </c>
      <c r="I603">
        <v>20006636</v>
      </c>
      <c r="J603" t="s">
        <v>2051</v>
      </c>
      <c r="K603">
        <v>800157</v>
      </c>
      <c r="L603">
        <v>1</v>
      </c>
      <c r="M603" t="s">
        <v>1587</v>
      </c>
      <c r="N603" t="s">
        <v>259</v>
      </c>
      <c r="O603">
        <v>809600</v>
      </c>
    </row>
    <row r="604" spans="1:15" x14ac:dyDescent="0.4">
      <c r="A604" t="s">
        <v>242</v>
      </c>
      <c r="B604">
        <v>80</v>
      </c>
      <c r="C604" t="s">
        <v>4</v>
      </c>
      <c r="D604">
        <v>81</v>
      </c>
      <c r="E604" t="s">
        <v>550</v>
      </c>
      <c r="F604">
        <v>1322</v>
      </c>
      <c r="G604" t="s">
        <v>961</v>
      </c>
      <c r="I604">
        <v>10018255</v>
      </c>
      <c r="J604" t="s">
        <v>2052</v>
      </c>
      <c r="K604">
        <v>800159</v>
      </c>
      <c r="L604">
        <v>1</v>
      </c>
      <c r="M604" t="s">
        <v>311</v>
      </c>
      <c r="N604" t="s">
        <v>316</v>
      </c>
      <c r="O604">
        <v>1325400</v>
      </c>
    </row>
    <row r="605" spans="1:15" x14ac:dyDescent="0.4">
      <c r="A605" t="s">
        <v>281</v>
      </c>
      <c r="B605">
        <v>60</v>
      </c>
      <c r="C605" t="s">
        <v>3</v>
      </c>
      <c r="D605">
        <v>31</v>
      </c>
      <c r="E605" t="s">
        <v>447</v>
      </c>
      <c r="F605">
        <v>1299</v>
      </c>
      <c r="G605" t="s">
        <v>947</v>
      </c>
      <c r="I605">
        <v>10032194</v>
      </c>
      <c r="J605" t="s">
        <v>2053</v>
      </c>
      <c r="K605">
        <v>800159</v>
      </c>
      <c r="L605">
        <v>1</v>
      </c>
      <c r="M605" t="s">
        <v>363</v>
      </c>
      <c r="N605" t="s">
        <v>315</v>
      </c>
      <c r="O605">
        <v>828000</v>
      </c>
    </row>
    <row r="606" spans="1:15" x14ac:dyDescent="0.4">
      <c r="A606" t="s">
        <v>195</v>
      </c>
      <c r="B606">
        <v>76</v>
      </c>
      <c r="C606" t="s">
        <v>6</v>
      </c>
      <c r="D606">
        <v>61</v>
      </c>
      <c r="E606" t="s">
        <v>703</v>
      </c>
      <c r="F606">
        <v>1602</v>
      </c>
      <c r="G606" t="s">
        <v>1013</v>
      </c>
      <c r="I606">
        <v>20005938</v>
      </c>
      <c r="J606" t="s">
        <v>2054</v>
      </c>
      <c r="K606">
        <v>800159</v>
      </c>
      <c r="L606">
        <v>1</v>
      </c>
      <c r="M606" t="s">
        <v>185</v>
      </c>
      <c r="N606" t="s">
        <v>190</v>
      </c>
      <c r="O606">
        <v>1384800</v>
      </c>
    </row>
    <row r="607" spans="1:15" x14ac:dyDescent="0.4">
      <c r="A607" t="s">
        <v>250</v>
      </c>
      <c r="B607">
        <v>70</v>
      </c>
      <c r="C607" t="s">
        <v>2</v>
      </c>
      <c r="D607">
        <v>41</v>
      </c>
      <c r="E607" t="s">
        <v>306</v>
      </c>
      <c r="F607">
        <v>1510</v>
      </c>
      <c r="G607" t="s">
        <v>870</v>
      </c>
      <c r="I607">
        <v>20006408</v>
      </c>
      <c r="J607" t="s">
        <v>2055</v>
      </c>
      <c r="K607">
        <v>800157</v>
      </c>
      <c r="L607">
        <v>1</v>
      </c>
      <c r="M607" t="s">
        <v>196</v>
      </c>
      <c r="N607" t="s">
        <v>213</v>
      </c>
      <c r="O607">
        <v>828800</v>
      </c>
    </row>
    <row r="608" spans="1:15" x14ac:dyDescent="0.4">
      <c r="A608" t="s">
        <v>1487</v>
      </c>
      <c r="B608">
        <v>75</v>
      </c>
      <c r="C608" t="s">
        <v>5</v>
      </c>
      <c r="D608">
        <v>52</v>
      </c>
      <c r="E608" t="s">
        <v>665</v>
      </c>
      <c r="F608">
        <v>1403</v>
      </c>
      <c r="G608" t="s">
        <v>925</v>
      </c>
      <c r="I608">
        <v>20006179</v>
      </c>
      <c r="J608" t="s">
        <v>1880</v>
      </c>
      <c r="K608">
        <v>800157</v>
      </c>
      <c r="L608">
        <v>1</v>
      </c>
      <c r="M608" t="s">
        <v>1523</v>
      </c>
      <c r="N608" t="s">
        <v>312</v>
      </c>
      <c r="O608">
        <v>800000</v>
      </c>
    </row>
    <row r="609" spans="1:15" x14ac:dyDescent="0.4">
      <c r="A609" t="s">
        <v>1475</v>
      </c>
      <c r="B609">
        <v>75</v>
      </c>
      <c r="C609" t="s">
        <v>5</v>
      </c>
      <c r="D609">
        <v>51</v>
      </c>
      <c r="E609" t="s">
        <v>657</v>
      </c>
      <c r="F609">
        <v>1435</v>
      </c>
      <c r="G609" t="s">
        <v>860</v>
      </c>
      <c r="I609">
        <v>20006063</v>
      </c>
      <c r="J609" t="s">
        <v>2056</v>
      </c>
      <c r="K609">
        <v>800157</v>
      </c>
      <c r="L609">
        <v>1</v>
      </c>
      <c r="M609" t="s">
        <v>1479</v>
      </c>
      <c r="N609" t="s">
        <v>231</v>
      </c>
      <c r="O609">
        <v>777600</v>
      </c>
    </row>
    <row r="610" spans="1:15" x14ac:dyDescent="0.4">
      <c r="A610" t="s">
        <v>220</v>
      </c>
      <c r="B610">
        <v>76</v>
      </c>
      <c r="C610" t="s">
        <v>6</v>
      </c>
      <c r="D610">
        <v>61</v>
      </c>
      <c r="E610" t="s">
        <v>703</v>
      </c>
      <c r="F610">
        <v>1602</v>
      </c>
      <c r="G610" t="s">
        <v>1013</v>
      </c>
      <c r="I610">
        <v>20006194</v>
      </c>
      <c r="J610" t="s">
        <v>2057</v>
      </c>
      <c r="K610">
        <v>800157</v>
      </c>
      <c r="L610">
        <v>1</v>
      </c>
      <c r="M610" t="s">
        <v>203</v>
      </c>
      <c r="N610" t="s">
        <v>206</v>
      </c>
      <c r="O610">
        <v>787200</v>
      </c>
    </row>
    <row r="611" spans="1:15" x14ac:dyDescent="0.4">
      <c r="A611" t="s">
        <v>242</v>
      </c>
      <c r="B611">
        <v>76</v>
      </c>
      <c r="C611" t="s">
        <v>6</v>
      </c>
      <c r="D611">
        <v>61</v>
      </c>
      <c r="E611" t="s">
        <v>703</v>
      </c>
      <c r="F611">
        <v>1563</v>
      </c>
      <c r="G611" t="s">
        <v>942</v>
      </c>
      <c r="I611">
        <v>20006236</v>
      </c>
      <c r="J611" t="s">
        <v>2058</v>
      </c>
      <c r="K611">
        <v>800159</v>
      </c>
      <c r="L611">
        <v>1</v>
      </c>
      <c r="M611" t="s">
        <v>311</v>
      </c>
      <c r="N611" t="s">
        <v>316</v>
      </c>
      <c r="O611">
        <v>1384800</v>
      </c>
    </row>
    <row r="612" spans="1:15" x14ac:dyDescent="0.4">
      <c r="A612" t="s">
        <v>353</v>
      </c>
      <c r="B612">
        <v>60</v>
      </c>
      <c r="C612" t="s">
        <v>3</v>
      </c>
      <c r="D612">
        <v>33</v>
      </c>
      <c r="E612" t="s">
        <v>451</v>
      </c>
      <c r="F612">
        <v>1273</v>
      </c>
      <c r="G612" t="s">
        <v>1084</v>
      </c>
      <c r="I612">
        <v>20006201</v>
      </c>
      <c r="J612" t="s">
        <v>2059</v>
      </c>
      <c r="K612">
        <v>800159</v>
      </c>
      <c r="L612">
        <v>1</v>
      </c>
      <c r="M612" t="s">
        <v>220</v>
      </c>
      <c r="N612" t="s">
        <v>225</v>
      </c>
      <c r="O612">
        <v>1320000</v>
      </c>
    </row>
    <row r="613" spans="1:15" x14ac:dyDescent="0.4">
      <c r="A613" t="s">
        <v>1479</v>
      </c>
      <c r="B613">
        <v>70</v>
      </c>
      <c r="C613" t="s">
        <v>2</v>
      </c>
      <c r="D613">
        <v>41</v>
      </c>
      <c r="E613" t="s">
        <v>306</v>
      </c>
      <c r="F613">
        <v>1510</v>
      </c>
      <c r="G613" t="s">
        <v>870</v>
      </c>
      <c r="I613">
        <v>20006112</v>
      </c>
      <c r="J613" t="s">
        <v>2060</v>
      </c>
      <c r="K613">
        <v>800157</v>
      </c>
      <c r="L613">
        <v>1</v>
      </c>
      <c r="M613" t="s">
        <v>1487</v>
      </c>
      <c r="N613" t="s">
        <v>243</v>
      </c>
      <c r="O613">
        <v>851200</v>
      </c>
    </row>
    <row r="614" spans="1:15" x14ac:dyDescent="0.4">
      <c r="A614" t="s">
        <v>1586</v>
      </c>
      <c r="B614">
        <v>80</v>
      </c>
      <c r="C614" t="s">
        <v>4</v>
      </c>
      <c r="D614">
        <v>71</v>
      </c>
      <c r="E614" t="s">
        <v>556</v>
      </c>
      <c r="F614">
        <v>1296</v>
      </c>
      <c r="G614" t="s">
        <v>964</v>
      </c>
      <c r="I614">
        <v>10022710</v>
      </c>
      <c r="J614" t="s">
        <v>2061</v>
      </c>
      <c r="K614">
        <v>800157</v>
      </c>
      <c r="L614">
        <v>1</v>
      </c>
      <c r="M614" t="s">
        <v>1589</v>
      </c>
      <c r="N614" t="s">
        <v>205</v>
      </c>
      <c r="O614">
        <v>784000</v>
      </c>
    </row>
    <row r="615" spans="1:15" x14ac:dyDescent="0.4">
      <c r="A615" t="s">
        <v>275</v>
      </c>
      <c r="B615">
        <v>76</v>
      </c>
      <c r="C615" t="s">
        <v>6</v>
      </c>
      <c r="D615">
        <v>61</v>
      </c>
      <c r="E615" t="s">
        <v>703</v>
      </c>
      <c r="F615">
        <v>1468</v>
      </c>
      <c r="G615" t="s">
        <v>914</v>
      </c>
      <c r="I615">
        <v>20006356</v>
      </c>
      <c r="J615" t="s">
        <v>2062</v>
      </c>
      <c r="K615">
        <v>800159</v>
      </c>
      <c r="L615">
        <v>1</v>
      </c>
      <c r="M615" t="s">
        <v>281</v>
      </c>
      <c r="N615" t="s">
        <v>246</v>
      </c>
      <c r="O615">
        <v>1325400</v>
      </c>
    </row>
    <row r="616" spans="1:15" x14ac:dyDescent="0.4">
      <c r="A616" t="s">
        <v>1589</v>
      </c>
      <c r="B616">
        <v>76</v>
      </c>
      <c r="C616" t="s">
        <v>6</v>
      </c>
      <c r="D616">
        <v>61</v>
      </c>
      <c r="E616" t="s">
        <v>703</v>
      </c>
      <c r="F616">
        <v>1389</v>
      </c>
      <c r="G616" t="s">
        <v>1197</v>
      </c>
      <c r="I616">
        <v>20006222</v>
      </c>
      <c r="J616" t="s">
        <v>2063</v>
      </c>
      <c r="K616">
        <v>800159</v>
      </c>
      <c r="L616">
        <v>1</v>
      </c>
      <c r="M616" t="s">
        <v>1594</v>
      </c>
      <c r="N616" t="s">
        <v>294</v>
      </c>
      <c r="O616">
        <v>1395600</v>
      </c>
    </row>
    <row r="617" spans="1:15" x14ac:dyDescent="0.4">
      <c r="A617" t="s">
        <v>220</v>
      </c>
      <c r="B617">
        <v>75</v>
      </c>
      <c r="C617" t="s">
        <v>5</v>
      </c>
      <c r="D617">
        <v>51</v>
      </c>
      <c r="E617" t="s">
        <v>657</v>
      </c>
      <c r="F617">
        <v>1435</v>
      </c>
      <c r="G617" t="s">
        <v>860</v>
      </c>
      <c r="I617">
        <v>20006091</v>
      </c>
      <c r="J617" t="s">
        <v>2064</v>
      </c>
      <c r="K617">
        <v>800159</v>
      </c>
      <c r="L617">
        <v>1</v>
      </c>
      <c r="M617" t="s">
        <v>203</v>
      </c>
      <c r="N617" t="s">
        <v>208</v>
      </c>
      <c r="O617">
        <v>1492800</v>
      </c>
    </row>
    <row r="618" spans="1:15" x14ac:dyDescent="0.4">
      <c r="A618" t="s">
        <v>195</v>
      </c>
      <c r="B618">
        <v>60</v>
      </c>
      <c r="C618" t="s">
        <v>3</v>
      </c>
      <c r="D618">
        <v>31</v>
      </c>
      <c r="E618" t="s">
        <v>447</v>
      </c>
      <c r="F618">
        <v>1299</v>
      </c>
      <c r="G618" t="s">
        <v>947</v>
      </c>
      <c r="I618">
        <v>10048350</v>
      </c>
      <c r="J618" t="s">
        <v>2065</v>
      </c>
      <c r="K618">
        <v>800159</v>
      </c>
      <c r="L618">
        <v>1</v>
      </c>
      <c r="M618" t="s">
        <v>185</v>
      </c>
      <c r="N618" t="s">
        <v>190</v>
      </c>
      <c r="O618">
        <v>1110000</v>
      </c>
    </row>
    <row r="619" spans="1:15" x14ac:dyDescent="0.4">
      <c r="A619" t="s">
        <v>1594</v>
      </c>
      <c r="B619">
        <v>60</v>
      </c>
      <c r="C619" t="s">
        <v>3</v>
      </c>
      <c r="D619">
        <v>33</v>
      </c>
      <c r="E619" t="s">
        <v>451</v>
      </c>
      <c r="F619">
        <v>1273</v>
      </c>
      <c r="G619" t="s">
        <v>1084</v>
      </c>
      <c r="I619">
        <v>10029658</v>
      </c>
      <c r="J619" t="s">
        <v>2066</v>
      </c>
      <c r="K619">
        <v>800159</v>
      </c>
      <c r="L619">
        <v>1</v>
      </c>
      <c r="M619" t="s">
        <v>1596</v>
      </c>
      <c r="N619" t="s">
        <v>254</v>
      </c>
      <c r="O619">
        <v>762000</v>
      </c>
    </row>
    <row r="620" spans="1:15" x14ac:dyDescent="0.4">
      <c r="A620" t="s">
        <v>185</v>
      </c>
      <c r="B620">
        <v>75</v>
      </c>
      <c r="C620" t="s">
        <v>5</v>
      </c>
      <c r="D620">
        <v>51</v>
      </c>
      <c r="E620" t="s">
        <v>657</v>
      </c>
      <c r="F620">
        <v>1365</v>
      </c>
      <c r="G620" t="s">
        <v>1148</v>
      </c>
      <c r="I620">
        <v>10038407</v>
      </c>
      <c r="J620" t="s">
        <v>2067</v>
      </c>
      <c r="K620">
        <v>800157</v>
      </c>
      <c r="L620">
        <v>1</v>
      </c>
      <c r="M620" t="s">
        <v>275</v>
      </c>
      <c r="N620" t="s">
        <v>232</v>
      </c>
      <c r="O620">
        <v>788400</v>
      </c>
    </row>
    <row r="621" spans="1:15" x14ac:dyDescent="0.4">
      <c r="A621" t="s">
        <v>196</v>
      </c>
      <c r="B621">
        <v>80</v>
      </c>
      <c r="C621" t="s">
        <v>4</v>
      </c>
      <c r="D621">
        <v>81</v>
      </c>
      <c r="E621" t="s">
        <v>550</v>
      </c>
      <c r="F621">
        <v>1322</v>
      </c>
      <c r="G621" t="s">
        <v>961</v>
      </c>
      <c r="I621">
        <v>20007355</v>
      </c>
      <c r="J621" t="s">
        <v>2068</v>
      </c>
      <c r="K621">
        <v>800159</v>
      </c>
      <c r="L621">
        <v>1</v>
      </c>
      <c r="M621" t="s">
        <v>186</v>
      </c>
      <c r="N621" t="s">
        <v>302</v>
      </c>
      <c r="O621">
        <v>1330800</v>
      </c>
    </row>
    <row r="622" spans="1:15" x14ac:dyDescent="0.4">
      <c r="A622" t="s">
        <v>258</v>
      </c>
      <c r="B622">
        <v>60</v>
      </c>
      <c r="C622" t="s">
        <v>3</v>
      </c>
      <c r="D622">
        <v>31</v>
      </c>
      <c r="E622" t="s">
        <v>447</v>
      </c>
      <c r="F622">
        <v>1299</v>
      </c>
      <c r="G622" t="s">
        <v>947</v>
      </c>
      <c r="I622">
        <v>10007122</v>
      </c>
      <c r="J622" t="s">
        <v>2069</v>
      </c>
      <c r="K622">
        <v>800159</v>
      </c>
      <c r="L622">
        <v>1</v>
      </c>
      <c r="M622" t="s">
        <v>221</v>
      </c>
      <c r="N622" t="s">
        <v>331</v>
      </c>
      <c r="O622">
        <v>1530600</v>
      </c>
    </row>
    <row r="623" spans="1:15" x14ac:dyDescent="0.4">
      <c r="A623" t="s">
        <v>1596</v>
      </c>
      <c r="B623">
        <v>76</v>
      </c>
      <c r="C623" t="s">
        <v>6</v>
      </c>
      <c r="D623">
        <v>61</v>
      </c>
      <c r="E623" t="s">
        <v>703</v>
      </c>
      <c r="F623">
        <v>1389</v>
      </c>
      <c r="G623" t="s">
        <v>1197</v>
      </c>
      <c r="I623">
        <v>10027555</v>
      </c>
      <c r="J623" t="s">
        <v>2070</v>
      </c>
      <c r="K623">
        <v>800159</v>
      </c>
      <c r="L623">
        <v>1</v>
      </c>
      <c r="M623" t="s">
        <v>268</v>
      </c>
      <c r="N623" t="s">
        <v>214</v>
      </c>
      <c r="O623">
        <v>1320000</v>
      </c>
    </row>
    <row r="624" spans="1:15" x14ac:dyDescent="0.4">
      <c r="A624" t="s">
        <v>268</v>
      </c>
      <c r="B624">
        <v>60</v>
      </c>
      <c r="C624" t="s">
        <v>3</v>
      </c>
      <c r="D624">
        <v>33</v>
      </c>
      <c r="E624" t="s">
        <v>451</v>
      </c>
      <c r="F624">
        <v>1372</v>
      </c>
      <c r="G624" t="s">
        <v>992</v>
      </c>
      <c r="I624">
        <v>10051654</v>
      </c>
      <c r="J624" t="s">
        <v>2071</v>
      </c>
      <c r="K624">
        <v>800157</v>
      </c>
      <c r="L624">
        <v>1</v>
      </c>
      <c r="M624" t="s">
        <v>195</v>
      </c>
      <c r="N624" t="s">
        <v>198</v>
      </c>
      <c r="O624">
        <v>601200</v>
      </c>
    </row>
    <row r="625" spans="1:15" x14ac:dyDescent="0.4">
      <c r="A625" t="s">
        <v>1475</v>
      </c>
      <c r="B625">
        <v>60</v>
      </c>
      <c r="C625" t="s">
        <v>3</v>
      </c>
      <c r="D625">
        <v>33</v>
      </c>
      <c r="E625" t="s">
        <v>451</v>
      </c>
      <c r="F625">
        <v>1505</v>
      </c>
      <c r="G625" t="s">
        <v>900</v>
      </c>
      <c r="I625">
        <v>20006074</v>
      </c>
      <c r="J625" t="s">
        <v>2072</v>
      </c>
      <c r="K625">
        <v>800157</v>
      </c>
      <c r="L625">
        <v>1</v>
      </c>
      <c r="M625" t="s">
        <v>1479</v>
      </c>
      <c r="N625" t="s">
        <v>231</v>
      </c>
      <c r="O625">
        <v>944000</v>
      </c>
    </row>
    <row r="626" spans="1:15" x14ac:dyDescent="0.4">
      <c r="A626" t="s">
        <v>195</v>
      </c>
      <c r="B626">
        <v>60</v>
      </c>
      <c r="C626" t="s">
        <v>3</v>
      </c>
      <c r="D626">
        <v>33</v>
      </c>
      <c r="E626" t="s">
        <v>451</v>
      </c>
      <c r="F626">
        <v>1273</v>
      </c>
      <c r="G626" t="s">
        <v>1084</v>
      </c>
      <c r="I626">
        <v>20008349</v>
      </c>
      <c r="J626" t="s">
        <v>2073</v>
      </c>
      <c r="K626">
        <v>800159</v>
      </c>
      <c r="L626">
        <v>1</v>
      </c>
      <c r="M626" t="s">
        <v>185</v>
      </c>
      <c r="N626" t="s">
        <v>190</v>
      </c>
      <c r="O626">
        <v>1363200</v>
      </c>
    </row>
    <row r="627" spans="1:15" x14ac:dyDescent="0.4">
      <c r="A627" t="s">
        <v>1469</v>
      </c>
      <c r="B627">
        <v>50</v>
      </c>
      <c r="C627" t="s">
        <v>1</v>
      </c>
      <c r="D627">
        <v>11</v>
      </c>
      <c r="E627" t="s">
        <v>192</v>
      </c>
      <c r="F627">
        <v>1353</v>
      </c>
      <c r="G627" t="s">
        <v>1017</v>
      </c>
      <c r="I627">
        <v>20007396</v>
      </c>
      <c r="J627" t="s">
        <v>2074</v>
      </c>
      <c r="K627">
        <v>800157</v>
      </c>
      <c r="L627">
        <v>1</v>
      </c>
      <c r="M627" t="s">
        <v>1475</v>
      </c>
      <c r="N627" t="s">
        <v>187</v>
      </c>
      <c r="O627">
        <v>825600</v>
      </c>
    </row>
    <row r="628" spans="1:15" x14ac:dyDescent="0.4">
      <c r="A628" t="s">
        <v>258</v>
      </c>
      <c r="B628">
        <v>75</v>
      </c>
      <c r="C628" t="s">
        <v>5</v>
      </c>
      <c r="D628">
        <v>51</v>
      </c>
      <c r="E628" t="s">
        <v>657</v>
      </c>
      <c r="F628">
        <v>1435</v>
      </c>
      <c r="G628" t="s">
        <v>860</v>
      </c>
      <c r="I628">
        <v>20006142</v>
      </c>
      <c r="J628" t="s">
        <v>2075</v>
      </c>
      <c r="K628">
        <v>800159</v>
      </c>
      <c r="L628">
        <v>1</v>
      </c>
      <c r="M628" t="s">
        <v>221</v>
      </c>
      <c r="N628" t="s">
        <v>331</v>
      </c>
      <c r="O628">
        <v>1320000</v>
      </c>
    </row>
    <row r="629" spans="1:15" x14ac:dyDescent="0.4">
      <c r="A629" t="s">
        <v>1594</v>
      </c>
      <c r="B629">
        <v>50</v>
      </c>
      <c r="C629" t="s">
        <v>1</v>
      </c>
      <c r="D629">
        <v>21</v>
      </c>
      <c r="E629" t="s">
        <v>182</v>
      </c>
      <c r="F629">
        <v>1264</v>
      </c>
      <c r="G629" t="s">
        <v>1023</v>
      </c>
      <c r="I629">
        <v>20006712</v>
      </c>
      <c r="J629" t="s">
        <v>2076</v>
      </c>
      <c r="K629">
        <v>800159</v>
      </c>
      <c r="L629">
        <v>1</v>
      </c>
      <c r="M629" t="s">
        <v>1596</v>
      </c>
      <c r="N629" t="s">
        <v>254</v>
      </c>
      <c r="O629">
        <v>1536000</v>
      </c>
    </row>
    <row r="630" spans="1:15" x14ac:dyDescent="0.4">
      <c r="A630" t="s">
        <v>268</v>
      </c>
      <c r="B630">
        <v>50</v>
      </c>
      <c r="C630" t="s">
        <v>1</v>
      </c>
      <c r="D630">
        <v>11</v>
      </c>
      <c r="E630" t="s">
        <v>192</v>
      </c>
      <c r="F630">
        <v>1353</v>
      </c>
      <c r="G630" t="s">
        <v>1017</v>
      </c>
      <c r="I630">
        <v>10062119</v>
      </c>
      <c r="J630" t="s">
        <v>2077</v>
      </c>
      <c r="K630">
        <v>800157</v>
      </c>
      <c r="L630">
        <v>1</v>
      </c>
      <c r="M630" t="s">
        <v>195</v>
      </c>
      <c r="N630" t="s">
        <v>198</v>
      </c>
      <c r="O630">
        <v>883200</v>
      </c>
    </row>
    <row r="631" spans="1:15" x14ac:dyDescent="0.4">
      <c r="A631" t="s">
        <v>1487</v>
      </c>
      <c r="B631">
        <v>80</v>
      </c>
      <c r="C631" t="s">
        <v>4</v>
      </c>
      <c r="D631">
        <v>71</v>
      </c>
      <c r="E631" t="s">
        <v>556</v>
      </c>
      <c r="F631">
        <v>1296</v>
      </c>
      <c r="G631" t="s">
        <v>964</v>
      </c>
      <c r="I631">
        <v>20006060</v>
      </c>
      <c r="J631" t="s">
        <v>2078</v>
      </c>
      <c r="K631">
        <v>800159</v>
      </c>
      <c r="L631">
        <v>1</v>
      </c>
      <c r="M631" t="s">
        <v>1523</v>
      </c>
      <c r="N631" t="s">
        <v>314</v>
      </c>
      <c r="O631">
        <v>1320000</v>
      </c>
    </row>
    <row r="632" spans="1:15" x14ac:dyDescent="0.4">
      <c r="A632" t="s">
        <v>1487</v>
      </c>
      <c r="B632">
        <v>76</v>
      </c>
      <c r="C632" t="s">
        <v>6</v>
      </c>
      <c r="D632">
        <v>61</v>
      </c>
      <c r="E632" t="s">
        <v>703</v>
      </c>
      <c r="F632">
        <v>1389</v>
      </c>
      <c r="G632" t="s">
        <v>1197</v>
      </c>
      <c r="I632">
        <v>10038638</v>
      </c>
      <c r="J632" t="s">
        <v>2079</v>
      </c>
      <c r="K632">
        <v>800157</v>
      </c>
      <c r="L632">
        <v>1</v>
      </c>
      <c r="M632" t="s">
        <v>1523</v>
      </c>
      <c r="N632" t="s">
        <v>312</v>
      </c>
      <c r="O632">
        <v>854400</v>
      </c>
    </row>
    <row r="633" spans="1:15" x14ac:dyDescent="0.4">
      <c r="A633" t="s">
        <v>258</v>
      </c>
      <c r="B633">
        <v>75</v>
      </c>
      <c r="C633" t="s">
        <v>5</v>
      </c>
      <c r="D633">
        <v>51</v>
      </c>
      <c r="E633" t="s">
        <v>657</v>
      </c>
      <c r="F633">
        <v>1365</v>
      </c>
      <c r="G633" t="s">
        <v>1148</v>
      </c>
      <c r="I633">
        <v>10044527</v>
      </c>
      <c r="J633" t="s">
        <v>2080</v>
      </c>
      <c r="K633">
        <v>800159</v>
      </c>
      <c r="L633">
        <v>1</v>
      </c>
      <c r="M633" t="s">
        <v>221</v>
      </c>
      <c r="N633" t="s">
        <v>331</v>
      </c>
      <c r="O633">
        <v>1438800</v>
      </c>
    </row>
    <row r="634" spans="1:15" x14ac:dyDescent="0.4">
      <c r="A634" t="s">
        <v>1596</v>
      </c>
      <c r="B634">
        <v>70</v>
      </c>
      <c r="C634" t="s">
        <v>2</v>
      </c>
      <c r="D634">
        <v>41</v>
      </c>
      <c r="E634" t="s">
        <v>306</v>
      </c>
      <c r="F634">
        <v>1383</v>
      </c>
      <c r="G634" t="s">
        <v>957</v>
      </c>
      <c r="I634">
        <v>20006461</v>
      </c>
      <c r="J634" t="s">
        <v>2081</v>
      </c>
      <c r="K634">
        <v>800159</v>
      </c>
      <c r="L634">
        <v>1</v>
      </c>
      <c r="M634" t="s">
        <v>268</v>
      </c>
      <c r="N634" t="s">
        <v>214</v>
      </c>
      <c r="O634">
        <v>1341600</v>
      </c>
    </row>
    <row r="635" spans="1:15" x14ac:dyDescent="0.4">
      <c r="A635" t="s">
        <v>281</v>
      </c>
      <c r="B635">
        <v>50</v>
      </c>
      <c r="C635" t="s">
        <v>1</v>
      </c>
      <c r="D635">
        <v>21</v>
      </c>
      <c r="E635" t="s">
        <v>182</v>
      </c>
      <c r="F635">
        <v>1264</v>
      </c>
      <c r="G635" t="s">
        <v>1023</v>
      </c>
      <c r="I635">
        <v>10071610</v>
      </c>
      <c r="J635" t="s">
        <v>2082</v>
      </c>
      <c r="K635">
        <v>800159</v>
      </c>
      <c r="L635">
        <v>1</v>
      </c>
      <c r="M635" t="s">
        <v>363</v>
      </c>
      <c r="N635" t="s">
        <v>315</v>
      </c>
      <c r="O635">
        <v>1336200</v>
      </c>
    </row>
    <row r="636" spans="1:15" x14ac:dyDescent="0.4">
      <c r="A636" t="s">
        <v>242</v>
      </c>
      <c r="B636">
        <v>80</v>
      </c>
      <c r="C636" t="s">
        <v>4</v>
      </c>
      <c r="D636">
        <v>81</v>
      </c>
      <c r="E636" t="s">
        <v>550</v>
      </c>
      <c r="F636">
        <v>1322</v>
      </c>
      <c r="G636" t="s">
        <v>961</v>
      </c>
      <c r="I636">
        <v>20006141</v>
      </c>
      <c r="J636" t="s">
        <v>2083</v>
      </c>
      <c r="K636">
        <v>800159</v>
      </c>
      <c r="L636">
        <v>1</v>
      </c>
      <c r="M636" t="s">
        <v>311</v>
      </c>
      <c r="N636" t="s">
        <v>316</v>
      </c>
      <c r="O636">
        <v>1411800</v>
      </c>
    </row>
    <row r="637" spans="1:15" x14ac:dyDescent="0.4">
      <c r="A637" t="s">
        <v>203</v>
      </c>
      <c r="B637">
        <v>70</v>
      </c>
      <c r="C637" t="s">
        <v>2</v>
      </c>
      <c r="D637">
        <v>41</v>
      </c>
      <c r="E637" t="s">
        <v>306</v>
      </c>
      <c r="F637">
        <v>1561</v>
      </c>
      <c r="G637" t="s">
        <v>1070</v>
      </c>
      <c r="I637">
        <v>10048254</v>
      </c>
      <c r="J637" t="s">
        <v>2084</v>
      </c>
      <c r="K637">
        <v>800157</v>
      </c>
      <c r="L637">
        <v>1</v>
      </c>
      <c r="M637" t="s">
        <v>290</v>
      </c>
      <c r="N637" t="s">
        <v>293</v>
      </c>
      <c r="O637">
        <v>816000</v>
      </c>
    </row>
    <row r="638" spans="1:15" x14ac:dyDescent="0.4">
      <c r="A638" t="s">
        <v>242</v>
      </c>
      <c r="B638">
        <v>76</v>
      </c>
      <c r="C638" t="s">
        <v>6</v>
      </c>
      <c r="D638">
        <v>61</v>
      </c>
      <c r="E638" t="s">
        <v>703</v>
      </c>
      <c r="F638">
        <v>1602</v>
      </c>
      <c r="G638" t="s">
        <v>1013</v>
      </c>
      <c r="I638">
        <v>10075664</v>
      </c>
      <c r="J638" t="s">
        <v>2085</v>
      </c>
      <c r="K638">
        <v>800159</v>
      </c>
      <c r="L638">
        <v>1</v>
      </c>
      <c r="M638" t="s">
        <v>311</v>
      </c>
      <c r="N638" t="s">
        <v>316</v>
      </c>
      <c r="O638">
        <v>1347000</v>
      </c>
    </row>
    <row r="639" spans="1:15" x14ac:dyDescent="0.4">
      <c r="A639" t="s">
        <v>220</v>
      </c>
      <c r="B639">
        <v>60</v>
      </c>
      <c r="C639" t="s">
        <v>3</v>
      </c>
      <c r="D639">
        <v>33</v>
      </c>
      <c r="E639" t="s">
        <v>451</v>
      </c>
      <c r="F639">
        <v>1505</v>
      </c>
      <c r="G639" t="s">
        <v>900</v>
      </c>
      <c r="I639">
        <v>20006700</v>
      </c>
      <c r="J639" t="s">
        <v>2086</v>
      </c>
      <c r="K639">
        <v>800159</v>
      </c>
      <c r="L639">
        <v>1</v>
      </c>
      <c r="M639" t="s">
        <v>203</v>
      </c>
      <c r="N639" t="s">
        <v>208</v>
      </c>
      <c r="O639">
        <v>1347000</v>
      </c>
    </row>
    <row r="640" spans="1:15" x14ac:dyDescent="0.4">
      <c r="A640" t="s">
        <v>353</v>
      </c>
      <c r="B640">
        <v>75</v>
      </c>
      <c r="C640" t="s">
        <v>5</v>
      </c>
      <c r="D640">
        <v>51</v>
      </c>
      <c r="E640" t="s">
        <v>657</v>
      </c>
      <c r="F640">
        <v>1365</v>
      </c>
      <c r="G640" t="s">
        <v>1148</v>
      </c>
      <c r="I640">
        <v>20006498</v>
      </c>
      <c r="J640" t="s">
        <v>2087</v>
      </c>
      <c r="K640">
        <v>800159</v>
      </c>
      <c r="L640">
        <v>1</v>
      </c>
      <c r="M640" t="s">
        <v>220</v>
      </c>
      <c r="N640" t="s">
        <v>225</v>
      </c>
      <c r="O640">
        <v>1422600</v>
      </c>
    </row>
    <row r="641" spans="1:15" x14ac:dyDescent="0.4">
      <c r="A641" t="s">
        <v>281</v>
      </c>
      <c r="B641">
        <v>76</v>
      </c>
      <c r="C641" t="s">
        <v>6</v>
      </c>
      <c r="D641">
        <v>61</v>
      </c>
      <c r="E641" t="s">
        <v>703</v>
      </c>
      <c r="F641">
        <v>1602</v>
      </c>
      <c r="G641" t="s">
        <v>1013</v>
      </c>
      <c r="I641">
        <v>20006531</v>
      </c>
      <c r="J641" t="s">
        <v>2088</v>
      </c>
      <c r="K641">
        <v>800159</v>
      </c>
      <c r="L641">
        <v>1</v>
      </c>
      <c r="M641" t="s">
        <v>363</v>
      </c>
      <c r="N641" t="s">
        <v>315</v>
      </c>
      <c r="O641">
        <v>1320000</v>
      </c>
    </row>
    <row r="642" spans="1:15" x14ac:dyDescent="0.4">
      <c r="A642" t="s">
        <v>220</v>
      </c>
      <c r="B642">
        <v>75</v>
      </c>
      <c r="C642" t="s">
        <v>5</v>
      </c>
      <c r="D642">
        <v>51</v>
      </c>
      <c r="E642" t="s">
        <v>657</v>
      </c>
      <c r="F642">
        <v>1435</v>
      </c>
      <c r="G642" t="s">
        <v>860</v>
      </c>
      <c r="I642">
        <v>10010987</v>
      </c>
      <c r="J642" t="s">
        <v>2089</v>
      </c>
      <c r="K642">
        <v>800159</v>
      </c>
      <c r="L642">
        <v>1</v>
      </c>
      <c r="M642" t="s">
        <v>203</v>
      </c>
      <c r="N642" t="s">
        <v>208</v>
      </c>
      <c r="O642">
        <v>1320000</v>
      </c>
    </row>
    <row r="643" spans="1:15" x14ac:dyDescent="0.4">
      <c r="A643" t="s">
        <v>1596</v>
      </c>
      <c r="B643">
        <v>60</v>
      </c>
      <c r="C643" t="s">
        <v>3</v>
      </c>
      <c r="D643">
        <v>31</v>
      </c>
      <c r="E643" t="s">
        <v>447</v>
      </c>
      <c r="F643">
        <v>1367</v>
      </c>
      <c r="G643" t="s">
        <v>977</v>
      </c>
      <c r="I643">
        <v>20007721</v>
      </c>
      <c r="J643" t="s">
        <v>2090</v>
      </c>
      <c r="K643">
        <v>800157</v>
      </c>
      <c r="L643">
        <v>1</v>
      </c>
      <c r="M643" t="s">
        <v>268</v>
      </c>
      <c r="N643" t="s">
        <v>212</v>
      </c>
      <c r="O643">
        <v>854400</v>
      </c>
    </row>
    <row r="644" spans="1:15" x14ac:dyDescent="0.4">
      <c r="A644" t="s">
        <v>230</v>
      </c>
      <c r="B644">
        <v>75</v>
      </c>
      <c r="C644" t="s">
        <v>5</v>
      </c>
      <c r="D644">
        <v>51</v>
      </c>
      <c r="E644" t="s">
        <v>657</v>
      </c>
      <c r="F644">
        <v>1365</v>
      </c>
      <c r="G644" t="s">
        <v>1148</v>
      </c>
      <c r="I644">
        <v>10028528</v>
      </c>
      <c r="J644" t="s">
        <v>2091</v>
      </c>
      <c r="K644">
        <v>800159</v>
      </c>
      <c r="L644">
        <v>1</v>
      </c>
      <c r="M644" t="s">
        <v>242</v>
      </c>
      <c r="N644" t="s">
        <v>247</v>
      </c>
      <c r="O644">
        <v>1320000</v>
      </c>
    </row>
    <row r="645" spans="1:15" x14ac:dyDescent="0.4">
      <c r="A645" t="s">
        <v>353</v>
      </c>
      <c r="B645">
        <v>60</v>
      </c>
      <c r="C645" t="s">
        <v>3</v>
      </c>
      <c r="D645">
        <v>33</v>
      </c>
      <c r="E645" t="s">
        <v>451</v>
      </c>
      <c r="F645">
        <v>1273</v>
      </c>
      <c r="G645" t="s">
        <v>1084</v>
      </c>
      <c r="I645">
        <v>20006642</v>
      </c>
      <c r="J645" t="s">
        <v>2092</v>
      </c>
      <c r="K645">
        <v>800159</v>
      </c>
      <c r="L645">
        <v>1</v>
      </c>
      <c r="M645" t="s">
        <v>220</v>
      </c>
      <c r="N645" t="s">
        <v>225</v>
      </c>
      <c r="O645">
        <v>1278000</v>
      </c>
    </row>
    <row r="646" spans="1:15" x14ac:dyDescent="0.4">
      <c r="A646" t="s">
        <v>1548</v>
      </c>
      <c r="B646">
        <v>70</v>
      </c>
      <c r="C646" t="s">
        <v>2</v>
      </c>
      <c r="D646">
        <v>41</v>
      </c>
      <c r="E646" t="s">
        <v>306</v>
      </c>
      <c r="F646">
        <v>1510</v>
      </c>
      <c r="G646" t="s">
        <v>870</v>
      </c>
      <c r="I646">
        <v>10064881</v>
      </c>
      <c r="J646" t="s">
        <v>2093</v>
      </c>
      <c r="K646">
        <v>800157</v>
      </c>
      <c r="L646">
        <v>1</v>
      </c>
      <c r="M646" t="s">
        <v>1586</v>
      </c>
      <c r="N646" t="s">
        <v>222</v>
      </c>
      <c r="O646">
        <v>816000</v>
      </c>
    </row>
    <row r="647" spans="1:15" x14ac:dyDescent="0.4">
      <c r="A647" t="s">
        <v>1594</v>
      </c>
      <c r="B647">
        <v>60</v>
      </c>
      <c r="C647" t="s">
        <v>3</v>
      </c>
      <c r="D647">
        <v>31</v>
      </c>
      <c r="E647" t="s">
        <v>447</v>
      </c>
      <c r="F647">
        <v>1299</v>
      </c>
      <c r="G647" t="s">
        <v>947</v>
      </c>
      <c r="I647">
        <v>20006540</v>
      </c>
      <c r="J647" t="s">
        <v>2094</v>
      </c>
      <c r="K647">
        <v>800159</v>
      </c>
      <c r="L647">
        <v>1</v>
      </c>
      <c r="M647" t="s">
        <v>1596</v>
      </c>
      <c r="N647" t="s">
        <v>254</v>
      </c>
      <c r="O647">
        <v>1362000</v>
      </c>
    </row>
    <row r="648" spans="1:15" x14ac:dyDescent="0.4">
      <c r="A648" t="s">
        <v>311</v>
      </c>
      <c r="B648">
        <v>76</v>
      </c>
      <c r="C648" t="s">
        <v>6</v>
      </c>
      <c r="D648">
        <v>61</v>
      </c>
      <c r="E648" t="s">
        <v>703</v>
      </c>
      <c r="F648">
        <v>1468</v>
      </c>
      <c r="G648" t="s">
        <v>914</v>
      </c>
      <c r="I648">
        <v>20006018</v>
      </c>
      <c r="J648" t="s">
        <v>708</v>
      </c>
      <c r="K648">
        <v>800159</v>
      </c>
      <c r="L648">
        <v>1</v>
      </c>
      <c r="M648" t="s">
        <v>258</v>
      </c>
      <c r="N648" t="s">
        <v>263</v>
      </c>
      <c r="O648">
        <v>1347000</v>
      </c>
    </row>
    <row r="649" spans="1:15" x14ac:dyDescent="0.4">
      <c r="A649" t="s">
        <v>1594</v>
      </c>
      <c r="B649">
        <v>60</v>
      </c>
      <c r="C649" t="s">
        <v>3</v>
      </c>
      <c r="D649">
        <v>33</v>
      </c>
      <c r="E649" t="s">
        <v>451</v>
      </c>
      <c r="F649">
        <v>1505</v>
      </c>
      <c r="G649" t="s">
        <v>900</v>
      </c>
      <c r="I649">
        <v>20006458</v>
      </c>
      <c r="J649" t="s">
        <v>2095</v>
      </c>
      <c r="K649">
        <v>800159</v>
      </c>
      <c r="L649">
        <v>1</v>
      </c>
      <c r="M649" t="s">
        <v>1596</v>
      </c>
      <c r="N649" t="s">
        <v>254</v>
      </c>
      <c r="O649">
        <v>1278000</v>
      </c>
    </row>
    <row r="650" spans="1:15" x14ac:dyDescent="0.4">
      <c r="A650" t="s">
        <v>268</v>
      </c>
      <c r="B650">
        <v>75</v>
      </c>
      <c r="C650" t="s">
        <v>5</v>
      </c>
      <c r="D650">
        <v>51</v>
      </c>
      <c r="E650" t="s">
        <v>657</v>
      </c>
      <c r="F650">
        <v>1365</v>
      </c>
      <c r="G650" t="s">
        <v>1148</v>
      </c>
      <c r="I650">
        <v>10027725</v>
      </c>
      <c r="J650" t="s">
        <v>2096</v>
      </c>
      <c r="K650">
        <v>800159</v>
      </c>
      <c r="L650">
        <v>1</v>
      </c>
      <c r="M650" t="s">
        <v>195</v>
      </c>
      <c r="N650" t="s">
        <v>200</v>
      </c>
      <c r="O650">
        <v>1347000</v>
      </c>
    </row>
    <row r="651" spans="1:15" x14ac:dyDescent="0.4">
      <c r="A651" t="s">
        <v>258</v>
      </c>
      <c r="B651">
        <v>80</v>
      </c>
      <c r="C651" t="s">
        <v>4</v>
      </c>
      <c r="D651">
        <v>81</v>
      </c>
      <c r="E651" t="s">
        <v>550</v>
      </c>
      <c r="F651">
        <v>1322</v>
      </c>
      <c r="G651" t="s">
        <v>961</v>
      </c>
      <c r="I651">
        <v>10046376</v>
      </c>
      <c r="J651" t="s">
        <v>2097</v>
      </c>
      <c r="K651">
        <v>800159</v>
      </c>
      <c r="L651">
        <v>1</v>
      </c>
      <c r="M651" t="s">
        <v>221</v>
      </c>
      <c r="N651" t="s">
        <v>331</v>
      </c>
      <c r="O651">
        <v>1284000</v>
      </c>
    </row>
    <row r="652" spans="1:15" x14ac:dyDescent="0.4">
      <c r="A652" t="s">
        <v>196</v>
      </c>
      <c r="B652">
        <v>70</v>
      </c>
      <c r="C652" t="s">
        <v>2</v>
      </c>
      <c r="D652">
        <v>41</v>
      </c>
      <c r="E652" t="s">
        <v>306</v>
      </c>
      <c r="F652">
        <v>1510</v>
      </c>
      <c r="G652" t="s">
        <v>870</v>
      </c>
      <c r="I652">
        <v>20008725</v>
      </c>
      <c r="J652" t="s">
        <v>2098</v>
      </c>
      <c r="K652">
        <v>800155</v>
      </c>
      <c r="L652">
        <v>1</v>
      </c>
      <c r="M652" t="s">
        <v>186</v>
      </c>
      <c r="N652" t="s">
        <v>197</v>
      </c>
      <c r="O652">
        <v>276000</v>
      </c>
    </row>
    <row r="653" spans="1:15" x14ac:dyDescent="0.4">
      <c r="A653" t="s">
        <v>186</v>
      </c>
      <c r="B653">
        <v>76</v>
      </c>
      <c r="C653" t="s">
        <v>6</v>
      </c>
      <c r="D653">
        <v>61</v>
      </c>
      <c r="E653" t="s">
        <v>703</v>
      </c>
      <c r="F653">
        <v>1389</v>
      </c>
      <c r="G653" t="s">
        <v>1197</v>
      </c>
      <c r="I653">
        <v>20004949</v>
      </c>
      <c r="J653" t="s">
        <v>2099</v>
      </c>
      <c r="K653">
        <v>800157</v>
      </c>
      <c r="L653">
        <v>1</v>
      </c>
      <c r="M653" t="s">
        <v>238</v>
      </c>
      <c r="N653" t="s">
        <v>189</v>
      </c>
      <c r="O653">
        <v>784000</v>
      </c>
    </row>
    <row r="654" spans="1:15" x14ac:dyDescent="0.4">
      <c r="A654" t="s">
        <v>1589</v>
      </c>
      <c r="B654">
        <v>50</v>
      </c>
      <c r="C654" t="s">
        <v>1</v>
      </c>
      <c r="D654">
        <v>21</v>
      </c>
      <c r="E654" t="s">
        <v>182</v>
      </c>
      <c r="F654">
        <v>1166</v>
      </c>
      <c r="G654" t="s">
        <v>1082</v>
      </c>
      <c r="I654">
        <v>10013066</v>
      </c>
      <c r="J654" t="s">
        <v>2100</v>
      </c>
      <c r="K654">
        <v>800159</v>
      </c>
      <c r="L654">
        <v>1</v>
      </c>
      <c r="M654" t="s">
        <v>1594</v>
      </c>
      <c r="N654" t="s">
        <v>294</v>
      </c>
      <c r="O654">
        <v>1320000</v>
      </c>
    </row>
    <row r="655" spans="1:15" x14ac:dyDescent="0.4">
      <c r="A655" t="s">
        <v>1523</v>
      </c>
      <c r="B655">
        <v>80</v>
      </c>
      <c r="C655" t="s">
        <v>4</v>
      </c>
      <c r="D655">
        <v>71</v>
      </c>
      <c r="E655" t="s">
        <v>556</v>
      </c>
      <c r="F655">
        <v>1296</v>
      </c>
      <c r="G655" t="s">
        <v>964</v>
      </c>
      <c r="I655">
        <v>20004401</v>
      </c>
      <c r="J655" t="s">
        <v>2101</v>
      </c>
      <c r="K655">
        <v>800159</v>
      </c>
      <c r="L655">
        <v>1</v>
      </c>
      <c r="M655" t="s">
        <v>1587</v>
      </c>
      <c r="N655" t="s">
        <v>261</v>
      </c>
      <c r="O655">
        <v>1320000</v>
      </c>
    </row>
    <row r="656" spans="1:15" x14ac:dyDescent="0.4">
      <c r="A656" t="s">
        <v>311</v>
      </c>
      <c r="B656">
        <v>60</v>
      </c>
      <c r="C656" t="s">
        <v>3</v>
      </c>
      <c r="D656">
        <v>33</v>
      </c>
      <c r="E656" t="s">
        <v>451</v>
      </c>
      <c r="F656">
        <v>1372</v>
      </c>
      <c r="G656" t="s">
        <v>992</v>
      </c>
      <c r="I656">
        <v>10021437</v>
      </c>
      <c r="J656" t="s">
        <v>2102</v>
      </c>
      <c r="K656">
        <v>800159</v>
      </c>
      <c r="L656">
        <v>1</v>
      </c>
      <c r="M656" t="s">
        <v>258</v>
      </c>
      <c r="N656" t="s">
        <v>263</v>
      </c>
      <c r="O656">
        <v>1357800</v>
      </c>
    </row>
    <row r="657" spans="1:15" x14ac:dyDescent="0.4">
      <c r="A657" t="s">
        <v>185</v>
      </c>
      <c r="B657">
        <v>70</v>
      </c>
      <c r="C657" t="s">
        <v>2</v>
      </c>
      <c r="D657">
        <v>41</v>
      </c>
      <c r="E657" t="s">
        <v>306</v>
      </c>
      <c r="F657">
        <v>1561</v>
      </c>
      <c r="G657" t="s">
        <v>1070</v>
      </c>
      <c r="I657">
        <v>20004314</v>
      </c>
      <c r="J657" t="s">
        <v>2103</v>
      </c>
      <c r="K657">
        <v>800157</v>
      </c>
      <c r="L657">
        <v>1</v>
      </c>
      <c r="M657" t="s">
        <v>275</v>
      </c>
      <c r="N657" t="s">
        <v>232</v>
      </c>
      <c r="O657">
        <v>902400</v>
      </c>
    </row>
    <row r="658" spans="1:15" x14ac:dyDescent="0.4">
      <c r="A658" t="s">
        <v>195</v>
      </c>
      <c r="B658">
        <v>70</v>
      </c>
      <c r="C658" t="s">
        <v>2</v>
      </c>
      <c r="D658">
        <v>41</v>
      </c>
      <c r="E658" t="s">
        <v>306</v>
      </c>
      <c r="F658">
        <v>1510</v>
      </c>
      <c r="G658" t="s">
        <v>870</v>
      </c>
      <c r="I658">
        <v>10029991</v>
      </c>
      <c r="J658" t="s">
        <v>2104</v>
      </c>
      <c r="K658">
        <v>800159</v>
      </c>
      <c r="L658">
        <v>1</v>
      </c>
      <c r="M658" t="s">
        <v>185</v>
      </c>
      <c r="N658" t="s">
        <v>190</v>
      </c>
      <c r="O658">
        <v>1384800</v>
      </c>
    </row>
    <row r="659" spans="1:15" x14ac:dyDescent="0.4">
      <c r="A659" t="s">
        <v>250</v>
      </c>
      <c r="B659">
        <v>60</v>
      </c>
      <c r="C659" t="s">
        <v>3</v>
      </c>
      <c r="D659">
        <v>33</v>
      </c>
      <c r="E659" t="s">
        <v>451</v>
      </c>
      <c r="F659">
        <v>1372</v>
      </c>
      <c r="G659" t="s">
        <v>992</v>
      </c>
      <c r="I659">
        <v>10031611</v>
      </c>
      <c r="J659" t="s">
        <v>465</v>
      </c>
      <c r="K659">
        <v>800159</v>
      </c>
      <c r="L659">
        <v>1</v>
      </c>
      <c r="M659" t="s">
        <v>196</v>
      </c>
      <c r="N659" t="s">
        <v>215</v>
      </c>
      <c r="O659">
        <v>1320000</v>
      </c>
    </row>
    <row r="660" spans="1:15" x14ac:dyDescent="0.4">
      <c r="A660" t="s">
        <v>1594</v>
      </c>
      <c r="B660">
        <v>50</v>
      </c>
      <c r="C660" t="s">
        <v>1</v>
      </c>
      <c r="D660">
        <v>21</v>
      </c>
      <c r="E660" t="s">
        <v>182</v>
      </c>
      <c r="F660">
        <v>1166</v>
      </c>
      <c r="G660" t="s">
        <v>1082</v>
      </c>
      <c r="I660">
        <v>10030129</v>
      </c>
      <c r="J660" t="s">
        <v>2105</v>
      </c>
      <c r="K660">
        <v>800157</v>
      </c>
      <c r="L660">
        <v>1</v>
      </c>
      <c r="M660" t="s">
        <v>1596</v>
      </c>
      <c r="N660" t="s">
        <v>252</v>
      </c>
      <c r="O660">
        <v>812800</v>
      </c>
    </row>
    <row r="661" spans="1:15" x14ac:dyDescent="0.4">
      <c r="A661" t="s">
        <v>1596</v>
      </c>
      <c r="B661">
        <v>75</v>
      </c>
      <c r="C661" t="s">
        <v>5</v>
      </c>
      <c r="D661">
        <v>51</v>
      </c>
      <c r="E661" t="s">
        <v>657</v>
      </c>
      <c r="F661">
        <v>1365</v>
      </c>
      <c r="G661" t="s">
        <v>1148</v>
      </c>
      <c r="I661">
        <v>10018669</v>
      </c>
      <c r="J661" t="s">
        <v>2106</v>
      </c>
      <c r="K661">
        <v>800157</v>
      </c>
      <c r="L661">
        <v>1</v>
      </c>
      <c r="M661" t="s">
        <v>268</v>
      </c>
      <c r="N661" t="s">
        <v>212</v>
      </c>
      <c r="O661">
        <v>784000</v>
      </c>
    </row>
    <row r="662" spans="1:15" x14ac:dyDescent="0.4">
      <c r="A662" t="s">
        <v>281</v>
      </c>
      <c r="B662">
        <v>70</v>
      </c>
      <c r="C662" t="s">
        <v>2</v>
      </c>
      <c r="D662">
        <v>41</v>
      </c>
      <c r="E662" t="s">
        <v>306</v>
      </c>
      <c r="F662">
        <v>1118</v>
      </c>
      <c r="G662" t="s">
        <v>1471</v>
      </c>
      <c r="I662">
        <v>10030793</v>
      </c>
      <c r="J662" t="s">
        <v>2107</v>
      </c>
      <c r="K662">
        <v>800157</v>
      </c>
      <c r="L662">
        <v>1</v>
      </c>
      <c r="M662" t="s">
        <v>363</v>
      </c>
      <c r="N662" t="s">
        <v>313</v>
      </c>
      <c r="O662">
        <v>784000</v>
      </c>
    </row>
    <row r="663" spans="1:15" x14ac:dyDescent="0.4">
      <c r="A663" t="s">
        <v>1596</v>
      </c>
      <c r="B663">
        <v>76</v>
      </c>
      <c r="C663" t="s">
        <v>6</v>
      </c>
      <c r="D663">
        <v>61</v>
      </c>
      <c r="E663" t="s">
        <v>703</v>
      </c>
      <c r="F663">
        <v>1472</v>
      </c>
      <c r="G663" t="s">
        <v>998</v>
      </c>
      <c r="I663">
        <v>20003288</v>
      </c>
      <c r="J663" t="s">
        <v>2108</v>
      </c>
      <c r="K663">
        <v>800157</v>
      </c>
      <c r="L663">
        <v>1</v>
      </c>
      <c r="M663" t="s">
        <v>268</v>
      </c>
      <c r="N663" t="s">
        <v>212</v>
      </c>
      <c r="O663">
        <v>816000</v>
      </c>
    </row>
    <row r="664" spans="1:15" x14ac:dyDescent="0.4">
      <c r="A664" t="s">
        <v>268</v>
      </c>
      <c r="B664">
        <v>76</v>
      </c>
      <c r="C664" t="s">
        <v>6</v>
      </c>
      <c r="D664">
        <v>61</v>
      </c>
      <c r="E664" t="s">
        <v>703</v>
      </c>
      <c r="F664">
        <v>1475</v>
      </c>
      <c r="G664" t="s">
        <v>909</v>
      </c>
      <c r="I664">
        <v>10030249</v>
      </c>
      <c r="J664" t="s">
        <v>2109</v>
      </c>
      <c r="K664">
        <v>800157</v>
      </c>
      <c r="L664">
        <v>1</v>
      </c>
      <c r="M664" t="s">
        <v>195</v>
      </c>
      <c r="N664" t="s">
        <v>198</v>
      </c>
      <c r="O664">
        <v>633600</v>
      </c>
    </row>
    <row r="665" spans="1:15" x14ac:dyDescent="0.4">
      <c r="A665" t="s">
        <v>1475</v>
      </c>
      <c r="B665">
        <v>75</v>
      </c>
      <c r="C665" t="s">
        <v>5</v>
      </c>
      <c r="D665">
        <v>51</v>
      </c>
      <c r="E665" t="s">
        <v>657</v>
      </c>
      <c r="F665">
        <v>1435</v>
      </c>
      <c r="G665" t="s">
        <v>860</v>
      </c>
      <c r="I665">
        <v>20008461</v>
      </c>
      <c r="J665" t="s">
        <v>2110</v>
      </c>
      <c r="K665">
        <v>800157</v>
      </c>
      <c r="L665">
        <v>1</v>
      </c>
      <c r="M665" t="s">
        <v>1479</v>
      </c>
      <c r="N665" t="s">
        <v>231</v>
      </c>
      <c r="O665">
        <v>835200</v>
      </c>
    </row>
    <row r="666" spans="1:15" x14ac:dyDescent="0.4">
      <c r="A666" t="s">
        <v>1589</v>
      </c>
      <c r="B666">
        <v>76</v>
      </c>
      <c r="C666" t="s">
        <v>6</v>
      </c>
      <c r="D666">
        <v>61</v>
      </c>
      <c r="E666" t="s">
        <v>703</v>
      </c>
      <c r="F666">
        <v>1389</v>
      </c>
      <c r="G666" t="s">
        <v>1197</v>
      </c>
      <c r="I666">
        <v>10030754</v>
      </c>
      <c r="J666" t="s">
        <v>2111</v>
      </c>
      <c r="K666">
        <v>800159</v>
      </c>
      <c r="L666">
        <v>1</v>
      </c>
      <c r="M666" t="s">
        <v>1594</v>
      </c>
      <c r="N666" t="s">
        <v>294</v>
      </c>
      <c r="O666">
        <v>1374000</v>
      </c>
    </row>
    <row r="667" spans="1:15" x14ac:dyDescent="0.4">
      <c r="A667" t="s">
        <v>250</v>
      </c>
      <c r="B667">
        <v>60</v>
      </c>
      <c r="C667" t="s">
        <v>3</v>
      </c>
      <c r="D667">
        <v>33</v>
      </c>
      <c r="E667" t="s">
        <v>451</v>
      </c>
      <c r="F667">
        <v>1372</v>
      </c>
      <c r="G667" t="s">
        <v>992</v>
      </c>
      <c r="I667">
        <v>20004472</v>
      </c>
      <c r="J667" t="s">
        <v>2112</v>
      </c>
      <c r="K667">
        <v>800157</v>
      </c>
      <c r="L667">
        <v>1</v>
      </c>
      <c r="M667" t="s">
        <v>196</v>
      </c>
      <c r="N667" t="s">
        <v>213</v>
      </c>
      <c r="O667">
        <v>812800</v>
      </c>
    </row>
    <row r="668" spans="1:15" x14ac:dyDescent="0.4">
      <c r="A668" t="s">
        <v>230</v>
      </c>
      <c r="B668">
        <v>60</v>
      </c>
      <c r="C668" t="s">
        <v>3</v>
      </c>
      <c r="D668">
        <v>33</v>
      </c>
      <c r="E668" t="s">
        <v>451</v>
      </c>
      <c r="F668">
        <v>1273</v>
      </c>
      <c r="G668" t="s">
        <v>1084</v>
      </c>
      <c r="I668">
        <v>10024415</v>
      </c>
      <c r="J668" t="s">
        <v>1666</v>
      </c>
      <c r="K668">
        <v>800155</v>
      </c>
      <c r="L668">
        <v>1</v>
      </c>
      <c r="M668" t="s">
        <v>242</v>
      </c>
      <c r="N668" t="s">
        <v>243</v>
      </c>
      <c r="O668">
        <v>228000</v>
      </c>
    </row>
    <row r="669" spans="1:15" x14ac:dyDescent="0.4">
      <c r="A669" t="s">
        <v>1479</v>
      </c>
      <c r="B669">
        <v>60</v>
      </c>
      <c r="C669" t="s">
        <v>3</v>
      </c>
      <c r="D669">
        <v>31</v>
      </c>
      <c r="E669" t="s">
        <v>447</v>
      </c>
      <c r="F669">
        <v>1543</v>
      </c>
      <c r="G669" t="s">
        <v>1183</v>
      </c>
      <c r="I669">
        <v>10042441</v>
      </c>
      <c r="J669" t="s">
        <v>2113</v>
      </c>
      <c r="K669">
        <v>800157</v>
      </c>
      <c r="L669">
        <v>1</v>
      </c>
      <c r="M669" t="s">
        <v>1487</v>
      </c>
      <c r="N669" t="s">
        <v>243</v>
      </c>
      <c r="O669">
        <v>790400</v>
      </c>
    </row>
    <row r="670" spans="1:15" x14ac:dyDescent="0.4">
      <c r="A670" t="s">
        <v>353</v>
      </c>
      <c r="B670">
        <v>76</v>
      </c>
      <c r="C670" t="s">
        <v>6</v>
      </c>
      <c r="D670">
        <v>61</v>
      </c>
      <c r="E670" t="s">
        <v>703</v>
      </c>
      <c r="F670">
        <v>1468</v>
      </c>
      <c r="G670" t="s">
        <v>914</v>
      </c>
      <c r="I670">
        <v>10054505</v>
      </c>
      <c r="J670" t="s">
        <v>2114</v>
      </c>
      <c r="K670">
        <v>800157</v>
      </c>
      <c r="L670">
        <v>1</v>
      </c>
      <c r="M670" t="s">
        <v>220</v>
      </c>
      <c r="N670" t="s">
        <v>223</v>
      </c>
      <c r="O670">
        <v>784000</v>
      </c>
    </row>
    <row r="671" spans="1:15" x14ac:dyDescent="0.4">
      <c r="A671" t="s">
        <v>185</v>
      </c>
      <c r="B671">
        <v>70</v>
      </c>
      <c r="C671" t="s">
        <v>2</v>
      </c>
      <c r="D671">
        <v>41</v>
      </c>
      <c r="E671" t="s">
        <v>306</v>
      </c>
      <c r="F671">
        <v>1510</v>
      </c>
      <c r="G671" t="s">
        <v>870</v>
      </c>
      <c r="I671">
        <v>10076737</v>
      </c>
      <c r="J671" t="s">
        <v>2115</v>
      </c>
      <c r="K671">
        <v>800159</v>
      </c>
      <c r="L671">
        <v>1</v>
      </c>
      <c r="M671" t="s">
        <v>275</v>
      </c>
      <c r="N671" t="s">
        <v>234</v>
      </c>
      <c r="O671">
        <v>1503600</v>
      </c>
    </row>
    <row r="672" spans="1:15" x14ac:dyDescent="0.4">
      <c r="A672" t="s">
        <v>250</v>
      </c>
      <c r="B672">
        <v>60</v>
      </c>
      <c r="C672" t="s">
        <v>3</v>
      </c>
      <c r="D672">
        <v>31</v>
      </c>
      <c r="E672" t="s">
        <v>447</v>
      </c>
      <c r="F672">
        <v>1543</v>
      </c>
      <c r="G672" t="s">
        <v>1183</v>
      </c>
      <c r="I672">
        <v>10013177</v>
      </c>
      <c r="J672" t="s">
        <v>2116</v>
      </c>
      <c r="K672">
        <v>800159</v>
      </c>
      <c r="L672">
        <v>1</v>
      </c>
      <c r="M672" t="s">
        <v>196</v>
      </c>
      <c r="N672" t="s">
        <v>215</v>
      </c>
      <c r="O672">
        <v>1374000</v>
      </c>
    </row>
    <row r="673" spans="1:15" x14ac:dyDescent="0.4">
      <c r="A673" t="s">
        <v>258</v>
      </c>
      <c r="B673">
        <v>80</v>
      </c>
      <c r="C673" t="s">
        <v>4</v>
      </c>
      <c r="D673">
        <v>81</v>
      </c>
      <c r="E673" t="s">
        <v>550</v>
      </c>
      <c r="F673">
        <v>1322</v>
      </c>
      <c r="G673" t="s">
        <v>961</v>
      </c>
      <c r="I673">
        <v>10011599</v>
      </c>
      <c r="J673" t="s">
        <v>2117</v>
      </c>
      <c r="K673">
        <v>800159</v>
      </c>
      <c r="L673">
        <v>1</v>
      </c>
      <c r="M673" t="s">
        <v>221</v>
      </c>
      <c r="N673" t="s">
        <v>331</v>
      </c>
      <c r="O673">
        <v>1519800</v>
      </c>
    </row>
    <row r="674" spans="1:15" x14ac:dyDescent="0.4">
      <c r="A674" t="s">
        <v>268</v>
      </c>
      <c r="B674">
        <v>60</v>
      </c>
      <c r="C674" t="s">
        <v>3</v>
      </c>
      <c r="D674">
        <v>31</v>
      </c>
      <c r="E674" t="s">
        <v>447</v>
      </c>
      <c r="F674">
        <v>1299</v>
      </c>
      <c r="G674" t="s">
        <v>947</v>
      </c>
      <c r="I674">
        <v>20006779</v>
      </c>
      <c r="J674" t="s">
        <v>2118</v>
      </c>
      <c r="K674">
        <v>800159</v>
      </c>
      <c r="L674">
        <v>1</v>
      </c>
      <c r="M674" t="s">
        <v>195</v>
      </c>
      <c r="N674" t="s">
        <v>200</v>
      </c>
      <c r="O674">
        <v>1380000</v>
      </c>
    </row>
    <row r="675" spans="1:15" x14ac:dyDescent="0.4">
      <c r="A675" t="s">
        <v>353</v>
      </c>
      <c r="B675">
        <v>70</v>
      </c>
      <c r="C675" t="s">
        <v>2</v>
      </c>
      <c r="D675">
        <v>41</v>
      </c>
      <c r="E675" t="s">
        <v>306</v>
      </c>
      <c r="F675">
        <v>1383</v>
      </c>
      <c r="G675" t="s">
        <v>957</v>
      </c>
      <c r="I675">
        <v>10088758</v>
      </c>
      <c r="J675" t="s">
        <v>2119</v>
      </c>
      <c r="K675">
        <v>800157</v>
      </c>
      <c r="L675">
        <v>1</v>
      </c>
      <c r="M675" t="s">
        <v>220</v>
      </c>
      <c r="N675" t="s">
        <v>223</v>
      </c>
      <c r="O675">
        <v>787200</v>
      </c>
    </row>
    <row r="676" spans="1:15" x14ac:dyDescent="0.4">
      <c r="A676" t="s">
        <v>353</v>
      </c>
      <c r="B676">
        <v>70</v>
      </c>
      <c r="C676" t="s">
        <v>2</v>
      </c>
      <c r="D676">
        <v>41</v>
      </c>
      <c r="E676" t="s">
        <v>306</v>
      </c>
      <c r="F676">
        <v>1383</v>
      </c>
      <c r="G676" t="s">
        <v>957</v>
      </c>
      <c r="I676">
        <v>20006924</v>
      </c>
      <c r="J676" t="s">
        <v>2120</v>
      </c>
      <c r="K676">
        <v>800159</v>
      </c>
      <c r="L676">
        <v>1</v>
      </c>
      <c r="M676" t="s">
        <v>220</v>
      </c>
      <c r="N676" t="s">
        <v>225</v>
      </c>
      <c r="O676">
        <v>1563000</v>
      </c>
    </row>
    <row r="677" spans="1:15" x14ac:dyDescent="0.4">
      <c r="A677" t="s">
        <v>353</v>
      </c>
      <c r="B677">
        <v>76</v>
      </c>
      <c r="C677" t="s">
        <v>6</v>
      </c>
      <c r="D677">
        <v>61</v>
      </c>
      <c r="E677" t="s">
        <v>703</v>
      </c>
      <c r="F677">
        <v>1389</v>
      </c>
      <c r="G677" t="s">
        <v>1197</v>
      </c>
      <c r="I677">
        <v>10062298</v>
      </c>
      <c r="J677" t="s">
        <v>1590</v>
      </c>
      <c r="K677">
        <v>800159</v>
      </c>
      <c r="L677">
        <v>1</v>
      </c>
      <c r="M677" t="s">
        <v>220</v>
      </c>
      <c r="N677" t="s">
        <v>225</v>
      </c>
      <c r="O677">
        <v>1320000</v>
      </c>
    </row>
    <row r="678" spans="1:15" x14ac:dyDescent="0.4">
      <c r="A678" t="s">
        <v>220</v>
      </c>
      <c r="B678">
        <v>80</v>
      </c>
      <c r="C678" t="s">
        <v>4</v>
      </c>
      <c r="D678">
        <v>81</v>
      </c>
      <c r="E678" t="s">
        <v>550</v>
      </c>
      <c r="F678">
        <v>1154</v>
      </c>
      <c r="G678" t="s">
        <v>1044</v>
      </c>
      <c r="I678">
        <v>20006976</v>
      </c>
      <c r="J678" t="s">
        <v>2121</v>
      </c>
      <c r="K678">
        <v>800159</v>
      </c>
      <c r="L678">
        <v>1</v>
      </c>
      <c r="M678" t="s">
        <v>203</v>
      </c>
      <c r="N678" t="s">
        <v>208</v>
      </c>
      <c r="O678">
        <v>816000</v>
      </c>
    </row>
    <row r="679" spans="1:15" x14ac:dyDescent="0.4">
      <c r="A679" t="s">
        <v>1469</v>
      </c>
      <c r="B679">
        <v>76</v>
      </c>
      <c r="C679" t="s">
        <v>6</v>
      </c>
      <c r="D679">
        <v>61</v>
      </c>
      <c r="E679" t="s">
        <v>703</v>
      </c>
      <c r="F679">
        <v>1389</v>
      </c>
      <c r="G679" t="s">
        <v>1197</v>
      </c>
      <c r="I679">
        <v>10068119</v>
      </c>
      <c r="J679" t="s">
        <v>2122</v>
      </c>
      <c r="K679">
        <v>800157</v>
      </c>
      <c r="L679">
        <v>1</v>
      </c>
      <c r="M679" t="s">
        <v>1475</v>
      </c>
      <c r="N679" t="s">
        <v>187</v>
      </c>
      <c r="O679">
        <v>969600</v>
      </c>
    </row>
    <row r="680" spans="1:15" x14ac:dyDescent="0.4">
      <c r="A680" t="s">
        <v>238</v>
      </c>
      <c r="B680">
        <v>70</v>
      </c>
      <c r="C680" t="s">
        <v>2</v>
      </c>
      <c r="D680">
        <v>41</v>
      </c>
      <c r="E680" t="s">
        <v>306</v>
      </c>
      <c r="F680">
        <v>1510</v>
      </c>
      <c r="G680" t="s">
        <v>870</v>
      </c>
      <c r="I680">
        <v>20006535</v>
      </c>
      <c r="J680" t="s">
        <v>2123</v>
      </c>
      <c r="K680">
        <v>800157</v>
      </c>
      <c r="L680">
        <v>1</v>
      </c>
      <c r="M680" t="s">
        <v>230</v>
      </c>
      <c r="N680" t="s">
        <v>233</v>
      </c>
      <c r="O680">
        <v>857600</v>
      </c>
    </row>
    <row r="681" spans="1:15" x14ac:dyDescent="0.4">
      <c r="A681" t="s">
        <v>195</v>
      </c>
      <c r="B681">
        <v>76</v>
      </c>
      <c r="C681" t="s">
        <v>6</v>
      </c>
      <c r="D681">
        <v>61</v>
      </c>
      <c r="E681" t="s">
        <v>703</v>
      </c>
      <c r="F681">
        <v>1563</v>
      </c>
      <c r="G681" t="s">
        <v>942</v>
      </c>
      <c r="I681">
        <v>20006741</v>
      </c>
      <c r="J681" t="s">
        <v>2124</v>
      </c>
      <c r="K681">
        <v>800159</v>
      </c>
      <c r="L681">
        <v>1</v>
      </c>
      <c r="M681" t="s">
        <v>185</v>
      </c>
      <c r="N681" t="s">
        <v>190</v>
      </c>
      <c r="O681">
        <v>1368600</v>
      </c>
    </row>
    <row r="682" spans="1:15" x14ac:dyDescent="0.4">
      <c r="A682" t="s">
        <v>186</v>
      </c>
      <c r="B682">
        <v>70</v>
      </c>
      <c r="C682" t="s">
        <v>2</v>
      </c>
      <c r="D682">
        <v>41</v>
      </c>
      <c r="E682" t="s">
        <v>306</v>
      </c>
      <c r="F682">
        <v>1445</v>
      </c>
      <c r="G682" t="s">
        <v>886</v>
      </c>
      <c r="I682">
        <v>10004155</v>
      </c>
      <c r="J682" t="s">
        <v>2125</v>
      </c>
      <c r="K682">
        <v>800159</v>
      </c>
      <c r="L682">
        <v>1</v>
      </c>
      <c r="M682" t="s">
        <v>238</v>
      </c>
      <c r="N682" t="s">
        <v>239</v>
      </c>
      <c r="O682">
        <v>1602400</v>
      </c>
    </row>
    <row r="683" spans="1:15" x14ac:dyDescent="0.4">
      <c r="A683" t="s">
        <v>1479</v>
      </c>
      <c r="B683">
        <v>70</v>
      </c>
      <c r="C683" t="s">
        <v>2</v>
      </c>
      <c r="D683">
        <v>41</v>
      </c>
      <c r="E683" t="s">
        <v>306</v>
      </c>
      <c r="F683">
        <v>1118</v>
      </c>
      <c r="G683" t="s">
        <v>1471</v>
      </c>
      <c r="I683">
        <v>10034471</v>
      </c>
      <c r="J683" t="s">
        <v>2126</v>
      </c>
      <c r="K683">
        <v>800157</v>
      </c>
      <c r="L683">
        <v>1</v>
      </c>
      <c r="M683" t="s">
        <v>1487</v>
      </c>
      <c r="N683" t="s">
        <v>243</v>
      </c>
      <c r="O683">
        <v>787200</v>
      </c>
    </row>
    <row r="684" spans="1:15" x14ac:dyDescent="0.4">
      <c r="A684" t="s">
        <v>1469</v>
      </c>
      <c r="B684">
        <v>76</v>
      </c>
      <c r="C684" t="s">
        <v>6</v>
      </c>
      <c r="D684">
        <v>61</v>
      </c>
      <c r="E684" t="s">
        <v>703</v>
      </c>
      <c r="F684">
        <v>1468</v>
      </c>
      <c r="G684" t="s">
        <v>914</v>
      </c>
      <c r="I684">
        <v>10060893</v>
      </c>
      <c r="J684" t="s">
        <v>2127</v>
      </c>
      <c r="K684">
        <v>800157</v>
      </c>
      <c r="L684">
        <v>1</v>
      </c>
      <c r="M684" t="s">
        <v>1475</v>
      </c>
      <c r="N684" t="s">
        <v>187</v>
      </c>
      <c r="O684">
        <v>841600</v>
      </c>
    </row>
    <row r="685" spans="1:15" x14ac:dyDescent="0.4">
      <c r="A685" t="s">
        <v>1479</v>
      </c>
      <c r="B685">
        <v>60</v>
      </c>
      <c r="C685" t="s">
        <v>3</v>
      </c>
      <c r="D685">
        <v>31</v>
      </c>
      <c r="E685" t="s">
        <v>447</v>
      </c>
      <c r="F685">
        <v>1612</v>
      </c>
      <c r="G685" t="s">
        <v>1720</v>
      </c>
      <c r="I685">
        <v>10004107</v>
      </c>
      <c r="J685" t="s">
        <v>2128</v>
      </c>
      <c r="K685">
        <v>800157</v>
      </c>
      <c r="L685">
        <v>1</v>
      </c>
      <c r="M685" t="s">
        <v>1487</v>
      </c>
      <c r="N685" t="s">
        <v>243</v>
      </c>
      <c r="O685">
        <v>644400</v>
      </c>
    </row>
    <row r="686" spans="1:15" x14ac:dyDescent="0.4">
      <c r="A686" t="s">
        <v>1479</v>
      </c>
      <c r="B686">
        <v>80</v>
      </c>
      <c r="C686" t="s">
        <v>4</v>
      </c>
      <c r="D686">
        <v>81</v>
      </c>
      <c r="E686" t="s">
        <v>550</v>
      </c>
      <c r="F686">
        <v>1154</v>
      </c>
      <c r="G686" t="s">
        <v>1044</v>
      </c>
      <c r="I686">
        <v>10004114</v>
      </c>
      <c r="J686" t="s">
        <v>2129</v>
      </c>
      <c r="K686">
        <v>800157</v>
      </c>
      <c r="L686">
        <v>1</v>
      </c>
      <c r="M686" t="s">
        <v>1487</v>
      </c>
      <c r="N686" t="s">
        <v>243</v>
      </c>
      <c r="O686">
        <v>795600</v>
      </c>
    </row>
    <row r="687" spans="1:15" x14ac:dyDescent="0.4">
      <c r="A687" t="s">
        <v>185</v>
      </c>
      <c r="B687">
        <v>50</v>
      </c>
      <c r="C687" t="s">
        <v>1</v>
      </c>
      <c r="D687">
        <v>11</v>
      </c>
      <c r="E687" t="s">
        <v>192</v>
      </c>
      <c r="F687">
        <v>1085</v>
      </c>
      <c r="G687" t="s">
        <v>854</v>
      </c>
      <c r="I687">
        <v>10043832</v>
      </c>
      <c r="J687" t="s">
        <v>2130</v>
      </c>
      <c r="K687">
        <v>800155</v>
      </c>
      <c r="L687">
        <v>1</v>
      </c>
      <c r="M687" t="s">
        <v>275</v>
      </c>
      <c r="N687" t="s">
        <v>238</v>
      </c>
      <c r="O687">
        <v>276000</v>
      </c>
    </row>
    <row r="688" spans="1:15" x14ac:dyDescent="0.4">
      <c r="A688" t="s">
        <v>238</v>
      </c>
      <c r="B688">
        <v>50</v>
      </c>
      <c r="C688" t="s">
        <v>1</v>
      </c>
      <c r="D688">
        <v>11</v>
      </c>
      <c r="E688" t="s">
        <v>192</v>
      </c>
      <c r="F688">
        <v>1085</v>
      </c>
      <c r="G688" t="s">
        <v>854</v>
      </c>
      <c r="I688">
        <v>10043832</v>
      </c>
      <c r="J688" t="s">
        <v>2130</v>
      </c>
      <c r="K688">
        <v>800155</v>
      </c>
      <c r="L688">
        <v>1</v>
      </c>
      <c r="M688" t="s">
        <v>230</v>
      </c>
      <c r="N688" t="s">
        <v>231</v>
      </c>
      <c r="O688">
        <v>276000</v>
      </c>
    </row>
    <row r="689" spans="1:15" x14ac:dyDescent="0.4">
      <c r="A689" t="s">
        <v>1487</v>
      </c>
      <c r="B689">
        <v>76</v>
      </c>
      <c r="C689" t="s">
        <v>6</v>
      </c>
      <c r="D689">
        <v>61</v>
      </c>
      <c r="E689" t="s">
        <v>703</v>
      </c>
      <c r="F689">
        <v>1563</v>
      </c>
      <c r="G689" t="s">
        <v>942</v>
      </c>
      <c r="I689">
        <v>10004065</v>
      </c>
      <c r="J689" t="s">
        <v>2131</v>
      </c>
      <c r="K689">
        <v>800157</v>
      </c>
      <c r="L689">
        <v>1</v>
      </c>
      <c r="M689" t="s">
        <v>1523</v>
      </c>
      <c r="N689" t="s">
        <v>312</v>
      </c>
      <c r="O689">
        <v>784000</v>
      </c>
    </row>
    <row r="690" spans="1:15" x14ac:dyDescent="0.4">
      <c r="A690" t="s">
        <v>1589</v>
      </c>
      <c r="B690">
        <v>60</v>
      </c>
      <c r="C690" t="s">
        <v>3</v>
      </c>
      <c r="D690">
        <v>31</v>
      </c>
      <c r="E690" t="s">
        <v>447</v>
      </c>
      <c r="F690">
        <v>1116</v>
      </c>
      <c r="G690" t="s">
        <v>1075</v>
      </c>
      <c r="I690">
        <v>10004068</v>
      </c>
      <c r="J690" t="s">
        <v>2132</v>
      </c>
      <c r="K690">
        <v>800159</v>
      </c>
      <c r="L690">
        <v>1</v>
      </c>
      <c r="M690" t="s">
        <v>1594</v>
      </c>
      <c r="N690" t="s">
        <v>294</v>
      </c>
      <c r="O690">
        <v>1395600</v>
      </c>
    </row>
    <row r="691" spans="1:15" x14ac:dyDescent="0.4">
      <c r="A691" t="s">
        <v>1596</v>
      </c>
      <c r="B691">
        <v>60</v>
      </c>
      <c r="C691" t="s">
        <v>3</v>
      </c>
      <c r="D691">
        <v>33</v>
      </c>
      <c r="E691" t="s">
        <v>451</v>
      </c>
      <c r="F691">
        <v>1273</v>
      </c>
      <c r="G691" t="s">
        <v>1084</v>
      </c>
      <c r="I691">
        <v>10004071</v>
      </c>
      <c r="J691" t="s">
        <v>2133</v>
      </c>
      <c r="K691">
        <v>800159</v>
      </c>
      <c r="L691">
        <v>1</v>
      </c>
      <c r="M691" t="s">
        <v>268</v>
      </c>
      <c r="N691" t="s">
        <v>214</v>
      </c>
      <c r="O691">
        <v>1296000</v>
      </c>
    </row>
    <row r="692" spans="1:15" x14ac:dyDescent="0.4">
      <c r="A692" t="s">
        <v>220</v>
      </c>
      <c r="B692">
        <v>60</v>
      </c>
      <c r="C692" t="s">
        <v>3</v>
      </c>
      <c r="D692">
        <v>31</v>
      </c>
      <c r="E692" t="s">
        <v>447</v>
      </c>
      <c r="F692">
        <v>1616</v>
      </c>
      <c r="G692" t="s">
        <v>1659</v>
      </c>
      <c r="I692">
        <v>10004074</v>
      </c>
      <c r="J692" t="s">
        <v>2134</v>
      </c>
      <c r="K692">
        <v>800157</v>
      </c>
      <c r="L692">
        <v>1</v>
      </c>
      <c r="M692" t="s">
        <v>203</v>
      </c>
      <c r="N692" t="s">
        <v>206</v>
      </c>
      <c r="O692">
        <v>522000</v>
      </c>
    </row>
    <row r="693" spans="1:15" x14ac:dyDescent="0.4">
      <c r="A693" t="s">
        <v>258</v>
      </c>
      <c r="B693">
        <v>80</v>
      </c>
      <c r="C693" t="s">
        <v>4</v>
      </c>
      <c r="D693">
        <v>81</v>
      </c>
      <c r="E693" t="s">
        <v>550</v>
      </c>
      <c r="F693">
        <v>1436</v>
      </c>
      <c r="G693" t="s">
        <v>918</v>
      </c>
      <c r="I693">
        <v>10004085</v>
      </c>
      <c r="J693" t="s">
        <v>2135</v>
      </c>
      <c r="K693">
        <v>800157</v>
      </c>
      <c r="L693">
        <v>1</v>
      </c>
      <c r="M693" t="s">
        <v>221</v>
      </c>
      <c r="N693" t="s">
        <v>329</v>
      </c>
      <c r="O693">
        <v>532800</v>
      </c>
    </row>
    <row r="694" spans="1:15" x14ac:dyDescent="0.4">
      <c r="A694" t="s">
        <v>238</v>
      </c>
      <c r="B694">
        <v>50</v>
      </c>
      <c r="C694" t="s">
        <v>1</v>
      </c>
      <c r="D694">
        <v>11</v>
      </c>
      <c r="E694" t="s">
        <v>192</v>
      </c>
      <c r="F694">
        <v>1085</v>
      </c>
      <c r="G694" t="s">
        <v>854</v>
      </c>
      <c r="I694">
        <v>10080852</v>
      </c>
      <c r="J694" t="s">
        <v>2136</v>
      </c>
      <c r="K694">
        <v>800159</v>
      </c>
      <c r="L694">
        <v>1</v>
      </c>
      <c r="M694" t="s">
        <v>230</v>
      </c>
      <c r="N694" t="s">
        <v>235</v>
      </c>
      <c r="O694">
        <v>1579200</v>
      </c>
    </row>
    <row r="695" spans="1:15" x14ac:dyDescent="0.4">
      <c r="A695" t="s">
        <v>1587</v>
      </c>
      <c r="B695">
        <v>75</v>
      </c>
      <c r="C695" t="s">
        <v>5</v>
      </c>
      <c r="D695">
        <v>51</v>
      </c>
      <c r="E695" t="s">
        <v>657</v>
      </c>
      <c r="F695">
        <v>1415</v>
      </c>
      <c r="G695" t="s">
        <v>1038</v>
      </c>
      <c r="I695">
        <v>10003990</v>
      </c>
      <c r="J695" t="s">
        <v>1567</v>
      </c>
      <c r="K695">
        <v>800157</v>
      </c>
      <c r="L695">
        <v>1</v>
      </c>
      <c r="M695" t="s">
        <v>1548</v>
      </c>
      <c r="N695" t="s">
        <v>327</v>
      </c>
      <c r="O695">
        <v>759600</v>
      </c>
    </row>
    <row r="696" spans="1:15" x14ac:dyDescent="0.4">
      <c r="A696" t="s">
        <v>196</v>
      </c>
      <c r="B696">
        <v>60</v>
      </c>
      <c r="C696" t="s">
        <v>3</v>
      </c>
      <c r="D696">
        <v>33</v>
      </c>
      <c r="E696" t="s">
        <v>451</v>
      </c>
      <c r="F696">
        <v>1220</v>
      </c>
      <c r="G696" t="s">
        <v>1343</v>
      </c>
      <c r="I696">
        <v>10003993</v>
      </c>
      <c r="J696" t="s">
        <v>2137</v>
      </c>
      <c r="K696">
        <v>800159</v>
      </c>
      <c r="L696">
        <v>1</v>
      </c>
      <c r="M696" t="s">
        <v>186</v>
      </c>
      <c r="N696" t="s">
        <v>302</v>
      </c>
      <c r="O696">
        <v>1536000</v>
      </c>
    </row>
    <row r="697" spans="1:15" x14ac:dyDescent="0.4">
      <c r="A697" t="s">
        <v>353</v>
      </c>
      <c r="B697">
        <v>80</v>
      </c>
      <c r="C697" t="s">
        <v>4</v>
      </c>
      <c r="D697">
        <v>81</v>
      </c>
      <c r="E697" t="s">
        <v>550</v>
      </c>
      <c r="F697">
        <v>1154</v>
      </c>
      <c r="G697" t="s">
        <v>1044</v>
      </c>
      <c r="I697">
        <v>10037859</v>
      </c>
      <c r="J697" t="s">
        <v>565</v>
      </c>
      <c r="K697">
        <v>800159</v>
      </c>
      <c r="L697">
        <v>1</v>
      </c>
      <c r="M697" t="s">
        <v>220</v>
      </c>
      <c r="N697" t="s">
        <v>225</v>
      </c>
      <c r="O697">
        <v>1411800</v>
      </c>
    </row>
    <row r="698" spans="1:15" x14ac:dyDescent="0.4">
      <c r="A698" t="s">
        <v>1470</v>
      </c>
      <c r="B698">
        <v>76</v>
      </c>
      <c r="C698" t="s">
        <v>6</v>
      </c>
      <c r="D698">
        <v>61</v>
      </c>
      <c r="E698" t="s">
        <v>703</v>
      </c>
      <c r="F698">
        <v>1468</v>
      </c>
      <c r="G698" t="s">
        <v>914</v>
      </c>
      <c r="I698">
        <v>10004006</v>
      </c>
      <c r="J698" t="s">
        <v>2138</v>
      </c>
      <c r="K698">
        <v>800157</v>
      </c>
      <c r="L698">
        <v>1</v>
      </c>
      <c r="M698" t="s">
        <v>1469</v>
      </c>
      <c r="N698" t="s">
        <v>197</v>
      </c>
      <c r="O698">
        <v>822400</v>
      </c>
    </row>
    <row r="699" spans="1:15" x14ac:dyDescent="0.4">
      <c r="A699" t="s">
        <v>195</v>
      </c>
      <c r="B699">
        <v>75</v>
      </c>
      <c r="C699" t="s">
        <v>5</v>
      </c>
      <c r="D699">
        <v>51</v>
      </c>
      <c r="E699" t="s">
        <v>657</v>
      </c>
      <c r="F699">
        <v>1435</v>
      </c>
      <c r="G699" t="s">
        <v>860</v>
      </c>
      <c r="I699">
        <v>10004012</v>
      </c>
      <c r="J699" t="s">
        <v>1527</v>
      </c>
      <c r="K699">
        <v>800159</v>
      </c>
      <c r="L699">
        <v>1</v>
      </c>
      <c r="M699" t="s">
        <v>185</v>
      </c>
      <c r="N699" t="s">
        <v>190</v>
      </c>
      <c r="O699">
        <v>1302000</v>
      </c>
    </row>
    <row r="700" spans="1:15" x14ac:dyDescent="0.4">
      <c r="A700" t="s">
        <v>258</v>
      </c>
      <c r="B700">
        <v>60</v>
      </c>
      <c r="C700" t="s">
        <v>3</v>
      </c>
      <c r="D700">
        <v>31</v>
      </c>
      <c r="E700" t="s">
        <v>447</v>
      </c>
      <c r="F700">
        <v>1299</v>
      </c>
      <c r="G700" t="s">
        <v>947</v>
      </c>
      <c r="I700">
        <v>10000049</v>
      </c>
      <c r="J700" t="s">
        <v>2139</v>
      </c>
      <c r="K700">
        <v>800159</v>
      </c>
      <c r="L700">
        <v>1</v>
      </c>
      <c r="M700" t="s">
        <v>221</v>
      </c>
      <c r="N700" t="s">
        <v>331</v>
      </c>
      <c r="O700">
        <v>1455000</v>
      </c>
    </row>
    <row r="701" spans="1:15" x14ac:dyDescent="0.4">
      <c r="A701" t="s">
        <v>376</v>
      </c>
      <c r="B701">
        <v>80</v>
      </c>
      <c r="C701" t="s">
        <v>4</v>
      </c>
      <c r="D701">
        <v>71</v>
      </c>
      <c r="E701" t="s">
        <v>556</v>
      </c>
      <c r="F701">
        <v>1296</v>
      </c>
      <c r="G701" t="s">
        <v>964</v>
      </c>
      <c r="I701">
        <v>10000060</v>
      </c>
      <c r="J701" t="s">
        <v>2140</v>
      </c>
      <c r="K701">
        <v>800159</v>
      </c>
      <c r="L701">
        <v>1</v>
      </c>
      <c r="M701" t="s">
        <v>353</v>
      </c>
      <c r="N701" t="s">
        <v>330</v>
      </c>
      <c r="O701">
        <v>1401000</v>
      </c>
    </row>
    <row r="702" spans="1:15" x14ac:dyDescent="0.4">
      <c r="A702" t="s">
        <v>1596</v>
      </c>
      <c r="B702">
        <v>76</v>
      </c>
      <c r="C702" t="s">
        <v>6</v>
      </c>
      <c r="D702">
        <v>61</v>
      </c>
      <c r="E702" t="s">
        <v>703</v>
      </c>
      <c r="F702">
        <v>1475</v>
      </c>
      <c r="G702" t="s">
        <v>909</v>
      </c>
      <c r="I702">
        <v>10000068</v>
      </c>
      <c r="J702" t="s">
        <v>2141</v>
      </c>
      <c r="K702">
        <v>800159</v>
      </c>
      <c r="L702">
        <v>1</v>
      </c>
      <c r="M702" t="s">
        <v>268</v>
      </c>
      <c r="N702" t="s">
        <v>214</v>
      </c>
      <c r="O702">
        <v>1320000</v>
      </c>
    </row>
    <row r="703" spans="1:15" x14ac:dyDescent="0.4">
      <c r="A703" t="s">
        <v>258</v>
      </c>
      <c r="B703">
        <v>80</v>
      </c>
      <c r="C703" t="s">
        <v>4</v>
      </c>
      <c r="D703">
        <v>81</v>
      </c>
      <c r="E703" t="s">
        <v>550</v>
      </c>
      <c r="F703">
        <v>1154</v>
      </c>
      <c r="G703" t="s">
        <v>1044</v>
      </c>
      <c r="I703">
        <v>10003581</v>
      </c>
      <c r="J703" t="s">
        <v>2142</v>
      </c>
      <c r="K703">
        <v>800159</v>
      </c>
      <c r="L703">
        <v>1</v>
      </c>
      <c r="M703" t="s">
        <v>221</v>
      </c>
      <c r="N703" t="s">
        <v>331</v>
      </c>
      <c r="O703">
        <v>1368600</v>
      </c>
    </row>
    <row r="704" spans="1:15" x14ac:dyDescent="0.4">
      <c r="A704" t="s">
        <v>1470</v>
      </c>
      <c r="B704">
        <v>50</v>
      </c>
      <c r="C704" t="s">
        <v>1</v>
      </c>
      <c r="D704">
        <v>11</v>
      </c>
      <c r="E704" t="s">
        <v>192</v>
      </c>
      <c r="F704">
        <v>1353</v>
      </c>
      <c r="G704" t="s">
        <v>1017</v>
      </c>
      <c r="I704">
        <v>10040270</v>
      </c>
      <c r="J704" t="s">
        <v>2143</v>
      </c>
      <c r="K704">
        <v>800157</v>
      </c>
      <c r="L704">
        <v>1</v>
      </c>
      <c r="M704" t="s">
        <v>1469</v>
      </c>
      <c r="N704" t="s">
        <v>197</v>
      </c>
      <c r="O704">
        <v>790400</v>
      </c>
    </row>
    <row r="705" spans="1:15" x14ac:dyDescent="0.4">
      <c r="A705" t="s">
        <v>186</v>
      </c>
      <c r="B705">
        <v>50</v>
      </c>
      <c r="C705" t="s">
        <v>1</v>
      </c>
      <c r="D705">
        <v>21</v>
      </c>
      <c r="E705" t="s">
        <v>182</v>
      </c>
      <c r="F705">
        <v>1264</v>
      </c>
      <c r="G705" t="s">
        <v>1023</v>
      </c>
      <c r="I705">
        <v>10003589</v>
      </c>
      <c r="J705" t="s">
        <v>2144</v>
      </c>
      <c r="K705">
        <v>800159</v>
      </c>
      <c r="L705">
        <v>1</v>
      </c>
      <c r="M705" t="s">
        <v>238</v>
      </c>
      <c r="N705" t="s">
        <v>239</v>
      </c>
      <c r="O705">
        <v>1320000</v>
      </c>
    </row>
    <row r="706" spans="1:15" x14ac:dyDescent="0.4">
      <c r="A706" t="s">
        <v>1586</v>
      </c>
      <c r="B706">
        <v>76</v>
      </c>
      <c r="C706" t="s">
        <v>6</v>
      </c>
      <c r="D706">
        <v>61</v>
      </c>
      <c r="E706" t="s">
        <v>703</v>
      </c>
      <c r="F706">
        <v>1563</v>
      </c>
      <c r="G706" t="s">
        <v>942</v>
      </c>
      <c r="I706">
        <v>10003596</v>
      </c>
      <c r="J706" t="s">
        <v>2145</v>
      </c>
      <c r="K706">
        <v>800159</v>
      </c>
      <c r="L706">
        <v>1</v>
      </c>
      <c r="M706" t="s">
        <v>1589</v>
      </c>
      <c r="N706" t="s">
        <v>207</v>
      </c>
      <c r="O706">
        <v>1352400</v>
      </c>
    </row>
    <row r="707" spans="1:15" x14ac:dyDescent="0.4">
      <c r="A707" t="s">
        <v>195</v>
      </c>
      <c r="B707">
        <v>60</v>
      </c>
      <c r="C707" t="s">
        <v>3</v>
      </c>
      <c r="D707">
        <v>33</v>
      </c>
      <c r="E707" t="s">
        <v>451</v>
      </c>
      <c r="F707">
        <v>1273</v>
      </c>
      <c r="G707" t="s">
        <v>1084</v>
      </c>
      <c r="I707">
        <v>20009568</v>
      </c>
      <c r="J707" t="s">
        <v>2146</v>
      </c>
      <c r="K707">
        <v>800159</v>
      </c>
      <c r="L707">
        <v>1</v>
      </c>
      <c r="M707" t="s">
        <v>185</v>
      </c>
      <c r="N707" t="s">
        <v>190</v>
      </c>
      <c r="O707">
        <v>1428000</v>
      </c>
    </row>
    <row r="708" spans="1:15" x14ac:dyDescent="0.4">
      <c r="A708" t="s">
        <v>258</v>
      </c>
      <c r="B708">
        <v>80</v>
      </c>
      <c r="C708" t="s">
        <v>4</v>
      </c>
      <c r="D708">
        <v>81</v>
      </c>
      <c r="E708" t="s">
        <v>550</v>
      </c>
      <c r="F708">
        <v>1154</v>
      </c>
      <c r="G708" t="s">
        <v>1044</v>
      </c>
      <c r="I708">
        <v>10003608</v>
      </c>
      <c r="J708" t="s">
        <v>2147</v>
      </c>
      <c r="K708">
        <v>800159</v>
      </c>
      <c r="L708">
        <v>1</v>
      </c>
      <c r="M708" t="s">
        <v>221</v>
      </c>
      <c r="N708" t="s">
        <v>331</v>
      </c>
      <c r="O708">
        <v>1080000</v>
      </c>
    </row>
    <row r="709" spans="1:15" x14ac:dyDescent="0.4">
      <c r="A709" t="s">
        <v>238</v>
      </c>
      <c r="B709">
        <v>50</v>
      </c>
      <c r="C709" t="s">
        <v>1</v>
      </c>
      <c r="D709">
        <v>21</v>
      </c>
      <c r="E709" t="s">
        <v>182</v>
      </c>
      <c r="F709">
        <v>1166</v>
      </c>
      <c r="G709" t="s">
        <v>1082</v>
      </c>
      <c r="I709">
        <v>10003679</v>
      </c>
      <c r="J709" t="s">
        <v>2148</v>
      </c>
      <c r="K709">
        <v>800159</v>
      </c>
      <c r="L709">
        <v>1</v>
      </c>
      <c r="M709" t="s">
        <v>230</v>
      </c>
      <c r="N709" t="s">
        <v>235</v>
      </c>
      <c r="O709">
        <v>1325400</v>
      </c>
    </row>
    <row r="710" spans="1:15" x14ac:dyDescent="0.4">
      <c r="A710" t="s">
        <v>195</v>
      </c>
      <c r="B710">
        <v>76</v>
      </c>
      <c r="C710" t="s">
        <v>6</v>
      </c>
      <c r="D710">
        <v>61</v>
      </c>
      <c r="E710" t="s">
        <v>703</v>
      </c>
      <c r="F710">
        <v>1389</v>
      </c>
      <c r="G710" t="s">
        <v>1197</v>
      </c>
      <c r="I710">
        <v>20009710</v>
      </c>
      <c r="J710" t="s">
        <v>2149</v>
      </c>
      <c r="K710">
        <v>800159</v>
      </c>
      <c r="L710">
        <v>1</v>
      </c>
      <c r="M710" t="s">
        <v>185</v>
      </c>
      <c r="N710" t="s">
        <v>190</v>
      </c>
      <c r="O710">
        <v>1336200</v>
      </c>
    </row>
    <row r="711" spans="1:15" x14ac:dyDescent="0.4">
      <c r="A711" t="s">
        <v>238</v>
      </c>
      <c r="B711">
        <v>70</v>
      </c>
      <c r="C711" t="s">
        <v>2</v>
      </c>
      <c r="D711">
        <v>41</v>
      </c>
      <c r="E711" t="s">
        <v>306</v>
      </c>
      <c r="F711">
        <v>1552</v>
      </c>
      <c r="G711" t="s">
        <v>929</v>
      </c>
      <c r="I711">
        <v>10003683</v>
      </c>
      <c r="J711" t="s">
        <v>2150</v>
      </c>
      <c r="K711">
        <v>800157</v>
      </c>
      <c r="L711">
        <v>1</v>
      </c>
      <c r="M711" t="s">
        <v>230</v>
      </c>
      <c r="N711" t="s">
        <v>233</v>
      </c>
      <c r="O711">
        <v>781200</v>
      </c>
    </row>
    <row r="712" spans="1:15" x14ac:dyDescent="0.4">
      <c r="A712" t="s">
        <v>186</v>
      </c>
      <c r="B712">
        <v>70</v>
      </c>
      <c r="C712" t="s">
        <v>2</v>
      </c>
      <c r="D712">
        <v>41</v>
      </c>
      <c r="E712" t="s">
        <v>306</v>
      </c>
      <c r="F712">
        <v>1445</v>
      </c>
      <c r="G712" t="s">
        <v>886</v>
      </c>
      <c r="I712">
        <v>10003740</v>
      </c>
      <c r="J712" t="s">
        <v>2151</v>
      </c>
      <c r="K712">
        <v>800159</v>
      </c>
      <c r="L712">
        <v>1</v>
      </c>
      <c r="M712" t="s">
        <v>238</v>
      </c>
      <c r="N712" t="s">
        <v>239</v>
      </c>
      <c r="O712">
        <v>1573800</v>
      </c>
    </row>
    <row r="713" spans="1:15" x14ac:dyDescent="0.4">
      <c r="A713" t="s">
        <v>195</v>
      </c>
      <c r="B713">
        <v>70</v>
      </c>
      <c r="C713" t="s">
        <v>2</v>
      </c>
      <c r="D713">
        <v>41</v>
      </c>
      <c r="E713" t="s">
        <v>306</v>
      </c>
      <c r="F713">
        <v>1383</v>
      </c>
      <c r="G713" t="s">
        <v>957</v>
      </c>
      <c r="I713">
        <v>10003741</v>
      </c>
      <c r="J713" t="s">
        <v>2152</v>
      </c>
      <c r="K713">
        <v>800159</v>
      </c>
      <c r="L713">
        <v>1</v>
      </c>
      <c r="M713" t="s">
        <v>185</v>
      </c>
      <c r="N713" t="s">
        <v>190</v>
      </c>
      <c r="O713">
        <v>1206000</v>
      </c>
    </row>
    <row r="714" spans="1:15" x14ac:dyDescent="0.4">
      <c r="A714" t="s">
        <v>195</v>
      </c>
      <c r="B714">
        <v>60</v>
      </c>
      <c r="C714" t="s">
        <v>3</v>
      </c>
      <c r="D714">
        <v>31</v>
      </c>
      <c r="E714" t="s">
        <v>447</v>
      </c>
      <c r="F714">
        <v>1367</v>
      </c>
      <c r="G714" t="s">
        <v>977</v>
      </c>
      <c r="I714">
        <v>10003747</v>
      </c>
      <c r="J714" t="s">
        <v>2153</v>
      </c>
      <c r="K714">
        <v>800159</v>
      </c>
      <c r="L714">
        <v>1</v>
      </c>
      <c r="M714" t="s">
        <v>185</v>
      </c>
      <c r="N714" t="s">
        <v>190</v>
      </c>
      <c r="O714">
        <v>792000</v>
      </c>
    </row>
    <row r="715" spans="1:15" x14ac:dyDescent="0.4">
      <c r="A715" t="s">
        <v>1523</v>
      </c>
      <c r="B715">
        <v>80</v>
      </c>
      <c r="C715" t="s">
        <v>4</v>
      </c>
      <c r="D715">
        <v>81</v>
      </c>
      <c r="E715" t="s">
        <v>550</v>
      </c>
      <c r="F715">
        <v>1322</v>
      </c>
      <c r="G715" t="s">
        <v>961</v>
      </c>
      <c r="I715">
        <v>10003750</v>
      </c>
      <c r="J715" t="s">
        <v>2154</v>
      </c>
      <c r="K715">
        <v>800157</v>
      </c>
      <c r="L715">
        <v>1</v>
      </c>
      <c r="M715" t="s">
        <v>1587</v>
      </c>
      <c r="N715" t="s">
        <v>259</v>
      </c>
      <c r="O715">
        <v>493200</v>
      </c>
    </row>
    <row r="716" spans="1:15" x14ac:dyDescent="0.4">
      <c r="A716" t="s">
        <v>275</v>
      </c>
      <c r="B716">
        <v>80</v>
      </c>
      <c r="C716" t="s">
        <v>4</v>
      </c>
      <c r="D716">
        <v>81</v>
      </c>
      <c r="E716" t="s">
        <v>550</v>
      </c>
      <c r="F716">
        <v>1436</v>
      </c>
      <c r="G716" t="s">
        <v>918</v>
      </c>
      <c r="I716">
        <v>10003754</v>
      </c>
      <c r="J716" t="s">
        <v>2155</v>
      </c>
      <c r="K716">
        <v>800157</v>
      </c>
      <c r="L716">
        <v>1</v>
      </c>
      <c r="M716" t="s">
        <v>281</v>
      </c>
      <c r="N716" t="s">
        <v>244</v>
      </c>
      <c r="O716">
        <v>784800</v>
      </c>
    </row>
    <row r="717" spans="1:15" x14ac:dyDescent="0.4">
      <c r="A717" t="s">
        <v>1523</v>
      </c>
      <c r="B717">
        <v>60</v>
      </c>
      <c r="C717" t="s">
        <v>3</v>
      </c>
      <c r="D717">
        <v>31</v>
      </c>
      <c r="E717" t="s">
        <v>447</v>
      </c>
      <c r="F717">
        <v>1299</v>
      </c>
      <c r="G717" t="s">
        <v>947</v>
      </c>
      <c r="I717">
        <v>20009457</v>
      </c>
      <c r="J717" t="s">
        <v>1796</v>
      </c>
      <c r="K717">
        <v>800159</v>
      </c>
      <c r="L717">
        <v>1</v>
      </c>
      <c r="M717" t="s">
        <v>1587</v>
      </c>
      <c r="N717" t="s">
        <v>261</v>
      </c>
      <c r="O717">
        <v>1384800</v>
      </c>
    </row>
    <row r="718" spans="1:15" x14ac:dyDescent="0.4">
      <c r="A718" t="s">
        <v>311</v>
      </c>
      <c r="B718">
        <v>80</v>
      </c>
      <c r="C718" t="s">
        <v>4</v>
      </c>
      <c r="D718">
        <v>81</v>
      </c>
      <c r="E718" t="s">
        <v>550</v>
      </c>
      <c r="F718">
        <v>1436</v>
      </c>
      <c r="G718" t="s">
        <v>918</v>
      </c>
      <c r="I718">
        <v>10003809</v>
      </c>
      <c r="J718" t="s">
        <v>2156</v>
      </c>
      <c r="K718">
        <v>800159</v>
      </c>
      <c r="L718">
        <v>1</v>
      </c>
      <c r="M718" t="s">
        <v>258</v>
      </c>
      <c r="N718" t="s">
        <v>263</v>
      </c>
      <c r="O718">
        <v>1392000</v>
      </c>
    </row>
    <row r="719" spans="1:15" x14ac:dyDescent="0.4">
      <c r="A719" t="s">
        <v>195</v>
      </c>
      <c r="B719">
        <v>80</v>
      </c>
      <c r="C719" t="s">
        <v>4</v>
      </c>
      <c r="D719">
        <v>81</v>
      </c>
      <c r="E719" t="s">
        <v>550</v>
      </c>
      <c r="F719">
        <v>1322</v>
      </c>
      <c r="G719" t="s">
        <v>961</v>
      </c>
      <c r="I719">
        <v>10003830</v>
      </c>
      <c r="J719" t="s">
        <v>2157</v>
      </c>
      <c r="K719">
        <v>800159</v>
      </c>
      <c r="L719">
        <v>1</v>
      </c>
      <c r="M719" t="s">
        <v>185</v>
      </c>
      <c r="N719" t="s">
        <v>190</v>
      </c>
      <c r="O719">
        <v>1350000</v>
      </c>
    </row>
    <row r="720" spans="1:15" x14ac:dyDescent="0.4">
      <c r="A720" t="s">
        <v>275</v>
      </c>
      <c r="B720">
        <v>60</v>
      </c>
      <c r="C720" t="s">
        <v>3</v>
      </c>
      <c r="D720">
        <v>33</v>
      </c>
      <c r="E720" t="s">
        <v>451</v>
      </c>
      <c r="F720">
        <v>1273</v>
      </c>
      <c r="G720" t="s">
        <v>1084</v>
      </c>
      <c r="I720">
        <v>10003876</v>
      </c>
      <c r="J720" t="s">
        <v>2158</v>
      </c>
      <c r="K720">
        <v>800159</v>
      </c>
      <c r="L720">
        <v>1</v>
      </c>
      <c r="M720" t="s">
        <v>281</v>
      </c>
      <c r="N720" t="s">
        <v>246</v>
      </c>
      <c r="O720">
        <v>1320000</v>
      </c>
    </row>
    <row r="721" spans="1:15" x14ac:dyDescent="0.4">
      <c r="A721" t="s">
        <v>376</v>
      </c>
      <c r="B721">
        <v>75</v>
      </c>
      <c r="C721" t="s">
        <v>5</v>
      </c>
      <c r="D721">
        <v>51</v>
      </c>
      <c r="E721" t="s">
        <v>657</v>
      </c>
      <c r="F721">
        <v>1365</v>
      </c>
      <c r="G721" t="s">
        <v>1148</v>
      </c>
      <c r="I721">
        <v>20009819</v>
      </c>
      <c r="J721" t="s">
        <v>2159</v>
      </c>
      <c r="K721">
        <v>800159</v>
      </c>
      <c r="L721">
        <v>1</v>
      </c>
      <c r="M721" t="s">
        <v>353</v>
      </c>
      <c r="N721" t="s">
        <v>330</v>
      </c>
      <c r="O721">
        <v>1503600</v>
      </c>
    </row>
    <row r="722" spans="1:15" x14ac:dyDescent="0.4">
      <c r="A722" t="s">
        <v>1596</v>
      </c>
      <c r="B722">
        <v>76</v>
      </c>
      <c r="C722" t="s">
        <v>6</v>
      </c>
      <c r="D722">
        <v>61</v>
      </c>
      <c r="E722" t="s">
        <v>703</v>
      </c>
      <c r="F722">
        <v>1216</v>
      </c>
      <c r="G722" t="s">
        <v>1803</v>
      </c>
      <c r="I722">
        <v>10013205</v>
      </c>
      <c r="J722" t="s">
        <v>2160</v>
      </c>
      <c r="K722">
        <v>800157</v>
      </c>
      <c r="L722">
        <v>1</v>
      </c>
      <c r="M722" t="s">
        <v>268</v>
      </c>
      <c r="N722" t="s">
        <v>212</v>
      </c>
      <c r="O722">
        <v>784000</v>
      </c>
    </row>
    <row r="723" spans="1:15" x14ac:dyDescent="0.4">
      <c r="A723" t="s">
        <v>1594</v>
      </c>
      <c r="B723">
        <v>60</v>
      </c>
      <c r="C723" t="s">
        <v>3</v>
      </c>
      <c r="D723">
        <v>33</v>
      </c>
      <c r="E723" t="s">
        <v>451</v>
      </c>
      <c r="F723">
        <v>1273</v>
      </c>
      <c r="G723" t="s">
        <v>1084</v>
      </c>
      <c r="I723">
        <v>10003944</v>
      </c>
      <c r="J723" t="s">
        <v>2161</v>
      </c>
      <c r="K723">
        <v>800159</v>
      </c>
      <c r="L723">
        <v>1</v>
      </c>
      <c r="M723" t="s">
        <v>1596</v>
      </c>
      <c r="N723" t="s">
        <v>254</v>
      </c>
      <c r="O723">
        <v>1325400</v>
      </c>
    </row>
    <row r="724" spans="1:15" x14ac:dyDescent="0.4">
      <c r="A724" t="s">
        <v>311</v>
      </c>
      <c r="B724">
        <v>60</v>
      </c>
      <c r="C724" t="s">
        <v>3</v>
      </c>
      <c r="D724">
        <v>31</v>
      </c>
      <c r="E724" t="s">
        <v>447</v>
      </c>
      <c r="F724">
        <v>1299</v>
      </c>
      <c r="G724" t="s">
        <v>947</v>
      </c>
      <c r="I724">
        <v>10029269</v>
      </c>
      <c r="J724" t="s">
        <v>1485</v>
      </c>
      <c r="K724">
        <v>800157</v>
      </c>
      <c r="L724">
        <v>1</v>
      </c>
      <c r="M724" t="s">
        <v>258</v>
      </c>
      <c r="N724" t="s">
        <v>261</v>
      </c>
      <c r="O724">
        <v>766800</v>
      </c>
    </row>
    <row r="725" spans="1:15" x14ac:dyDescent="0.4">
      <c r="A725" t="s">
        <v>1487</v>
      </c>
      <c r="B725">
        <v>60</v>
      </c>
      <c r="C725" t="s">
        <v>3</v>
      </c>
      <c r="D725">
        <v>31</v>
      </c>
      <c r="E725" t="s">
        <v>447</v>
      </c>
      <c r="F725">
        <v>1612</v>
      </c>
      <c r="G725" t="s">
        <v>1720</v>
      </c>
      <c r="I725">
        <v>10003954</v>
      </c>
      <c r="J725" t="s">
        <v>2162</v>
      </c>
      <c r="K725">
        <v>800157</v>
      </c>
      <c r="L725">
        <v>1</v>
      </c>
      <c r="M725" t="s">
        <v>1523</v>
      </c>
      <c r="N725" t="s">
        <v>312</v>
      </c>
      <c r="O725">
        <v>788400</v>
      </c>
    </row>
    <row r="726" spans="1:15" x14ac:dyDescent="0.4">
      <c r="A726" t="s">
        <v>185</v>
      </c>
      <c r="B726">
        <v>70</v>
      </c>
      <c r="C726" t="s">
        <v>2</v>
      </c>
      <c r="D726">
        <v>41</v>
      </c>
      <c r="E726" t="s">
        <v>306</v>
      </c>
      <c r="F726">
        <v>1445</v>
      </c>
      <c r="G726" t="s">
        <v>886</v>
      </c>
      <c r="I726">
        <v>10015481</v>
      </c>
      <c r="J726" t="s">
        <v>2163</v>
      </c>
      <c r="K726">
        <v>800159</v>
      </c>
      <c r="L726">
        <v>1</v>
      </c>
      <c r="M726" t="s">
        <v>275</v>
      </c>
      <c r="N726" t="s">
        <v>234</v>
      </c>
      <c r="O726">
        <v>1476600</v>
      </c>
    </row>
    <row r="727" spans="1:15" x14ac:dyDescent="0.4">
      <c r="A727" t="s">
        <v>250</v>
      </c>
      <c r="B727">
        <v>80</v>
      </c>
      <c r="C727" t="s">
        <v>4</v>
      </c>
      <c r="D727">
        <v>81</v>
      </c>
      <c r="E727" t="s">
        <v>550</v>
      </c>
      <c r="F727">
        <v>1322</v>
      </c>
      <c r="G727" t="s">
        <v>961</v>
      </c>
      <c r="I727">
        <v>10003500</v>
      </c>
      <c r="J727" t="s">
        <v>2164</v>
      </c>
      <c r="K727">
        <v>800159</v>
      </c>
      <c r="L727">
        <v>1</v>
      </c>
      <c r="M727" t="s">
        <v>196</v>
      </c>
      <c r="N727" t="s">
        <v>215</v>
      </c>
      <c r="O727">
        <v>1449600</v>
      </c>
    </row>
    <row r="728" spans="1:15" x14ac:dyDescent="0.4">
      <c r="A728" t="s">
        <v>1589</v>
      </c>
      <c r="B728">
        <v>70</v>
      </c>
      <c r="C728" t="s">
        <v>2</v>
      </c>
      <c r="D728">
        <v>41</v>
      </c>
      <c r="E728" t="s">
        <v>306</v>
      </c>
      <c r="F728">
        <v>1445</v>
      </c>
      <c r="G728" t="s">
        <v>886</v>
      </c>
      <c r="I728">
        <v>10004036</v>
      </c>
      <c r="J728" t="s">
        <v>2165</v>
      </c>
      <c r="K728">
        <v>800157</v>
      </c>
      <c r="L728">
        <v>1</v>
      </c>
      <c r="M728" t="s">
        <v>1594</v>
      </c>
      <c r="N728" t="s">
        <v>292</v>
      </c>
      <c r="O728">
        <v>803200</v>
      </c>
    </row>
    <row r="729" spans="1:15" x14ac:dyDescent="0.4">
      <c r="A729" t="s">
        <v>250</v>
      </c>
      <c r="B729">
        <v>75</v>
      </c>
      <c r="C729" t="s">
        <v>5</v>
      </c>
      <c r="D729">
        <v>52</v>
      </c>
      <c r="E729" t="s">
        <v>665</v>
      </c>
      <c r="F729">
        <v>1403</v>
      </c>
      <c r="G729" t="s">
        <v>925</v>
      </c>
      <c r="I729">
        <v>10004048</v>
      </c>
      <c r="J729" t="s">
        <v>2166</v>
      </c>
      <c r="K729">
        <v>800159</v>
      </c>
      <c r="L729">
        <v>1</v>
      </c>
      <c r="M729" t="s">
        <v>196</v>
      </c>
      <c r="N729" t="s">
        <v>215</v>
      </c>
      <c r="O729">
        <v>1503600</v>
      </c>
    </row>
    <row r="730" spans="1:15" x14ac:dyDescent="0.4">
      <c r="A730" t="s">
        <v>290</v>
      </c>
      <c r="B730">
        <v>76</v>
      </c>
      <c r="C730" t="s">
        <v>6</v>
      </c>
      <c r="D730">
        <v>61</v>
      </c>
      <c r="E730" t="s">
        <v>703</v>
      </c>
      <c r="F730">
        <v>1389</v>
      </c>
      <c r="G730" t="s">
        <v>1197</v>
      </c>
      <c r="I730">
        <v>10061598</v>
      </c>
      <c r="J730" t="s">
        <v>2167</v>
      </c>
      <c r="K730">
        <v>800159</v>
      </c>
      <c r="L730">
        <v>1</v>
      </c>
      <c r="M730" t="s">
        <v>250</v>
      </c>
      <c r="N730" t="s">
        <v>255</v>
      </c>
      <c r="O730">
        <v>1341600</v>
      </c>
    </row>
    <row r="731" spans="1:15" x14ac:dyDescent="0.4">
      <c r="A731" t="s">
        <v>1469</v>
      </c>
      <c r="B731">
        <v>80</v>
      </c>
      <c r="C731" t="s">
        <v>4</v>
      </c>
      <c r="D731">
        <v>71</v>
      </c>
      <c r="E731" t="s">
        <v>556</v>
      </c>
      <c r="F731">
        <v>1296</v>
      </c>
      <c r="G731" t="s">
        <v>964</v>
      </c>
      <c r="I731">
        <v>10000084</v>
      </c>
      <c r="J731" t="s">
        <v>2168</v>
      </c>
      <c r="K731">
        <v>800157</v>
      </c>
      <c r="L731">
        <v>1</v>
      </c>
      <c r="M731" t="s">
        <v>1475</v>
      </c>
      <c r="N731" t="s">
        <v>187</v>
      </c>
      <c r="O731">
        <v>784000</v>
      </c>
    </row>
    <row r="732" spans="1:15" x14ac:dyDescent="0.4">
      <c r="A732" t="s">
        <v>250</v>
      </c>
      <c r="B732">
        <v>70</v>
      </c>
      <c r="C732" t="s">
        <v>2</v>
      </c>
      <c r="D732">
        <v>41</v>
      </c>
      <c r="E732" t="s">
        <v>306</v>
      </c>
      <c r="F732">
        <v>1118</v>
      </c>
      <c r="G732" t="s">
        <v>1471</v>
      </c>
      <c r="I732">
        <v>20004813</v>
      </c>
      <c r="J732" t="s">
        <v>2169</v>
      </c>
      <c r="K732">
        <v>800159</v>
      </c>
      <c r="L732">
        <v>1</v>
      </c>
      <c r="M732" t="s">
        <v>196</v>
      </c>
      <c r="N732" t="s">
        <v>215</v>
      </c>
      <c r="O732">
        <v>1438800</v>
      </c>
    </row>
    <row r="733" spans="1:15" x14ac:dyDescent="0.4">
      <c r="A733" t="s">
        <v>1475</v>
      </c>
      <c r="B733">
        <v>80</v>
      </c>
      <c r="C733" t="s">
        <v>4</v>
      </c>
      <c r="D733">
        <v>81</v>
      </c>
      <c r="E733" t="s">
        <v>550</v>
      </c>
      <c r="F733">
        <v>1154</v>
      </c>
      <c r="G733" t="s">
        <v>1044</v>
      </c>
      <c r="I733">
        <v>10000091</v>
      </c>
      <c r="J733" t="s">
        <v>2170</v>
      </c>
      <c r="K733">
        <v>800157</v>
      </c>
      <c r="L733">
        <v>1</v>
      </c>
      <c r="M733" t="s">
        <v>1479</v>
      </c>
      <c r="N733" t="s">
        <v>231</v>
      </c>
      <c r="O733">
        <v>816000</v>
      </c>
    </row>
    <row r="734" spans="1:15" x14ac:dyDescent="0.4">
      <c r="A734" t="s">
        <v>268</v>
      </c>
      <c r="B734">
        <v>60</v>
      </c>
      <c r="C734" t="s">
        <v>3</v>
      </c>
      <c r="D734">
        <v>33</v>
      </c>
      <c r="E734" t="s">
        <v>451</v>
      </c>
      <c r="F734">
        <v>1372</v>
      </c>
      <c r="G734" t="s">
        <v>992</v>
      </c>
      <c r="I734">
        <v>10000098</v>
      </c>
      <c r="J734" t="s">
        <v>2171</v>
      </c>
      <c r="K734">
        <v>800159</v>
      </c>
      <c r="L734">
        <v>1</v>
      </c>
      <c r="M734" t="s">
        <v>195</v>
      </c>
      <c r="N734" t="s">
        <v>200</v>
      </c>
      <c r="O734">
        <v>1296000</v>
      </c>
    </row>
    <row r="735" spans="1:15" x14ac:dyDescent="0.4">
      <c r="A735" t="s">
        <v>376</v>
      </c>
      <c r="B735">
        <v>50</v>
      </c>
      <c r="C735" t="s">
        <v>1</v>
      </c>
      <c r="D735">
        <v>11</v>
      </c>
      <c r="E735" t="s">
        <v>192</v>
      </c>
      <c r="F735">
        <v>1353</v>
      </c>
      <c r="G735" t="s">
        <v>1017</v>
      </c>
      <c r="I735">
        <v>10000103</v>
      </c>
      <c r="J735" t="s">
        <v>2172</v>
      </c>
      <c r="K735">
        <v>800157</v>
      </c>
      <c r="L735">
        <v>1</v>
      </c>
      <c r="M735" t="s">
        <v>353</v>
      </c>
      <c r="N735" t="s">
        <v>328</v>
      </c>
      <c r="O735">
        <v>784000</v>
      </c>
    </row>
    <row r="736" spans="1:15" x14ac:dyDescent="0.4">
      <c r="A736" t="s">
        <v>281</v>
      </c>
      <c r="B736">
        <v>76</v>
      </c>
      <c r="C736" t="s">
        <v>6</v>
      </c>
      <c r="D736">
        <v>61</v>
      </c>
      <c r="E736" t="s">
        <v>703</v>
      </c>
      <c r="F736">
        <v>1472</v>
      </c>
      <c r="G736" t="s">
        <v>998</v>
      </c>
      <c r="I736">
        <v>20002376</v>
      </c>
      <c r="J736" t="s">
        <v>2173</v>
      </c>
      <c r="K736">
        <v>800157</v>
      </c>
      <c r="L736">
        <v>1</v>
      </c>
      <c r="M736" t="s">
        <v>363</v>
      </c>
      <c r="N736" t="s">
        <v>313</v>
      </c>
      <c r="O736">
        <v>784000</v>
      </c>
    </row>
    <row r="737" spans="1:15" x14ac:dyDescent="0.4">
      <c r="A737" t="s">
        <v>1596</v>
      </c>
      <c r="B737">
        <v>76</v>
      </c>
      <c r="C737" t="s">
        <v>6</v>
      </c>
      <c r="D737">
        <v>61</v>
      </c>
      <c r="E737" t="s">
        <v>703</v>
      </c>
      <c r="F737">
        <v>1563</v>
      </c>
      <c r="G737" t="s">
        <v>942</v>
      </c>
      <c r="I737">
        <v>10003489</v>
      </c>
      <c r="J737" t="s">
        <v>2174</v>
      </c>
      <c r="K737">
        <v>800157</v>
      </c>
      <c r="L737">
        <v>1</v>
      </c>
      <c r="M737" t="s">
        <v>268</v>
      </c>
      <c r="N737" t="s">
        <v>212</v>
      </c>
      <c r="O737">
        <v>835200</v>
      </c>
    </row>
    <row r="738" spans="1:15" x14ac:dyDescent="0.4">
      <c r="A738" t="s">
        <v>238</v>
      </c>
      <c r="B738">
        <v>80</v>
      </c>
      <c r="C738" t="s">
        <v>4</v>
      </c>
      <c r="D738">
        <v>81</v>
      </c>
      <c r="E738" t="s">
        <v>550</v>
      </c>
      <c r="F738">
        <v>1322</v>
      </c>
      <c r="G738" t="s">
        <v>961</v>
      </c>
      <c r="I738">
        <v>10003495</v>
      </c>
      <c r="J738" t="s">
        <v>2175</v>
      </c>
      <c r="K738">
        <v>800159</v>
      </c>
      <c r="L738">
        <v>1</v>
      </c>
      <c r="M738" t="s">
        <v>230</v>
      </c>
      <c r="N738" t="s">
        <v>235</v>
      </c>
      <c r="O738">
        <v>1206000</v>
      </c>
    </row>
    <row r="739" spans="1:15" x14ac:dyDescent="0.4">
      <c r="A739" t="s">
        <v>376</v>
      </c>
      <c r="B739">
        <v>60</v>
      </c>
      <c r="C739" t="s">
        <v>3</v>
      </c>
      <c r="D739">
        <v>31</v>
      </c>
      <c r="E739" t="s">
        <v>447</v>
      </c>
      <c r="F739">
        <v>1299</v>
      </c>
      <c r="G739" t="s">
        <v>947</v>
      </c>
      <c r="I739">
        <v>10027399</v>
      </c>
      <c r="J739" t="s">
        <v>2176</v>
      </c>
      <c r="K739">
        <v>800159</v>
      </c>
      <c r="L739">
        <v>1</v>
      </c>
      <c r="M739" t="s">
        <v>353</v>
      </c>
      <c r="N739" t="s">
        <v>330</v>
      </c>
      <c r="O739">
        <v>1122000</v>
      </c>
    </row>
    <row r="740" spans="1:15" x14ac:dyDescent="0.4">
      <c r="A740" t="s">
        <v>185</v>
      </c>
      <c r="B740">
        <v>76</v>
      </c>
      <c r="C740" t="s">
        <v>6</v>
      </c>
      <c r="D740">
        <v>61</v>
      </c>
      <c r="E740" t="s">
        <v>703</v>
      </c>
      <c r="F740">
        <v>1563</v>
      </c>
      <c r="G740" t="s">
        <v>942</v>
      </c>
      <c r="I740">
        <v>10003505</v>
      </c>
      <c r="J740" t="s">
        <v>2177</v>
      </c>
      <c r="K740">
        <v>800159</v>
      </c>
      <c r="L740">
        <v>1</v>
      </c>
      <c r="M740" t="s">
        <v>275</v>
      </c>
      <c r="N740" t="s">
        <v>234</v>
      </c>
      <c r="O740">
        <v>1352400</v>
      </c>
    </row>
    <row r="741" spans="1:15" x14ac:dyDescent="0.4">
      <c r="A741" t="s">
        <v>1587</v>
      </c>
      <c r="B741">
        <v>75</v>
      </c>
      <c r="C741" t="s">
        <v>5</v>
      </c>
      <c r="D741">
        <v>51</v>
      </c>
      <c r="E741" t="s">
        <v>657</v>
      </c>
      <c r="F741">
        <v>1365</v>
      </c>
      <c r="G741" t="s">
        <v>1148</v>
      </c>
      <c r="I741">
        <v>10003507</v>
      </c>
      <c r="J741" t="s">
        <v>2178</v>
      </c>
      <c r="K741">
        <v>800157</v>
      </c>
      <c r="L741">
        <v>1</v>
      </c>
      <c r="M741" t="s">
        <v>1548</v>
      </c>
      <c r="N741" t="s">
        <v>327</v>
      </c>
      <c r="O741">
        <v>784000</v>
      </c>
    </row>
    <row r="742" spans="1:15" x14ac:dyDescent="0.4">
      <c r="A742" t="s">
        <v>1548</v>
      </c>
      <c r="B742">
        <v>76</v>
      </c>
      <c r="C742" t="s">
        <v>6</v>
      </c>
      <c r="D742">
        <v>61</v>
      </c>
      <c r="E742" t="s">
        <v>703</v>
      </c>
      <c r="F742">
        <v>1602</v>
      </c>
      <c r="G742" t="s">
        <v>1013</v>
      </c>
      <c r="I742">
        <v>10003544</v>
      </c>
      <c r="J742" t="s">
        <v>2179</v>
      </c>
      <c r="K742">
        <v>800159</v>
      </c>
      <c r="L742">
        <v>1</v>
      </c>
      <c r="M742" t="s">
        <v>1586</v>
      </c>
      <c r="N742" t="s">
        <v>224</v>
      </c>
      <c r="O742">
        <v>1357800</v>
      </c>
    </row>
    <row r="743" spans="1:15" x14ac:dyDescent="0.4">
      <c r="A743" t="s">
        <v>1596</v>
      </c>
      <c r="B743">
        <v>50</v>
      </c>
      <c r="C743" t="s">
        <v>1</v>
      </c>
      <c r="D743">
        <v>21</v>
      </c>
      <c r="E743" t="s">
        <v>182</v>
      </c>
      <c r="F743">
        <v>1166</v>
      </c>
      <c r="G743" t="s">
        <v>1082</v>
      </c>
      <c r="I743">
        <v>20004821</v>
      </c>
      <c r="J743" t="s">
        <v>2180</v>
      </c>
      <c r="K743">
        <v>800159</v>
      </c>
      <c r="L743">
        <v>1</v>
      </c>
      <c r="M743" t="s">
        <v>268</v>
      </c>
      <c r="N743" t="s">
        <v>214</v>
      </c>
      <c r="O743">
        <v>1347000</v>
      </c>
    </row>
    <row r="744" spans="1:15" x14ac:dyDescent="0.4">
      <c r="A744" t="s">
        <v>1479</v>
      </c>
      <c r="B744">
        <v>80</v>
      </c>
      <c r="C744" t="s">
        <v>4</v>
      </c>
      <c r="D744">
        <v>81</v>
      </c>
      <c r="E744" t="s">
        <v>550</v>
      </c>
      <c r="F744">
        <v>1154</v>
      </c>
      <c r="G744" t="s">
        <v>1044</v>
      </c>
      <c r="I744">
        <v>10003548</v>
      </c>
      <c r="J744" t="s">
        <v>2181</v>
      </c>
      <c r="K744">
        <v>800157</v>
      </c>
      <c r="L744">
        <v>1</v>
      </c>
      <c r="M744" t="s">
        <v>1487</v>
      </c>
      <c r="N744" t="s">
        <v>243</v>
      </c>
      <c r="O744">
        <v>604800</v>
      </c>
    </row>
    <row r="745" spans="1:15" x14ac:dyDescent="0.4">
      <c r="A745" t="s">
        <v>275</v>
      </c>
      <c r="B745">
        <v>60</v>
      </c>
      <c r="C745" t="s">
        <v>3</v>
      </c>
      <c r="D745">
        <v>31</v>
      </c>
      <c r="E745" t="s">
        <v>447</v>
      </c>
      <c r="F745">
        <v>1616</v>
      </c>
      <c r="G745" t="s">
        <v>1659</v>
      </c>
      <c r="I745">
        <v>10003552</v>
      </c>
      <c r="J745" t="s">
        <v>2182</v>
      </c>
      <c r="K745">
        <v>800159</v>
      </c>
      <c r="L745">
        <v>1</v>
      </c>
      <c r="M745" t="s">
        <v>281</v>
      </c>
      <c r="N745" t="s">
        <v>246</v>
      </c>
      <c r="O745">
        <v>1498200</v>
      </c>
    </row>
    <row r="746" spans="1:15" x14ac:dyDescent="0.4">
      <c r="A746" t="s">
        <v>185</v>
      </c>
      <c r="B746">
        <v>60</v>
      </c>
      <c r="C746" t="s">
        <v>3</v>
      </c>
      <c r="D746">
        <v>31</v>
      </c>
      <c r="E746" t="s">
        <v>447</v>
      </c>
      <c r="F746">
        <v>1299</v>
      </c>
      <c r="G746" t="s">
        <v>947</v>
      </c>
      <c r="I746">
        <v>20003076</v>
      </c>
      <c r="J746" t="s">
        <v>2183</v>
      </c>
      <c r="K746">
        <v>800159</v>
      </c>
      <c r="L746">
        <v>1</v>
      </c>
      <c r="M746" t="s">
        <v>275</v>
      </c>
      <c r="N746" t="s">
        <v>234</v>
      </c>
      <c r="O746">
        <v>1098000</v>
      </c>
    </row>
    <row r="747" spans="1:15" x14ac:dyDescent="0.4">
      <c r="A747" t="s">
        <v>376</v>
      </c>
      <c r="B747">
        <v>75</v>
      </c>
      <c r="C747" t="s">
        <v>5</v>
      </c>
      <c r="D747">
        <v>51</v>
      </c>
      <c r="E747" t="s">
        <v>657</v>
      </c>
      <c r="F747">
        <v>1365</v>
      </c>
      <c r="G747" t="s">
        <v>1148</v>
      </c>
      <c r="I747">
        <v>10003561</v>
      </c>
      <c r="J747" t="s">
        <v>2184</v>
      </c>
      <c r="K747">
        <v>800159</v>
      </c>
      <c r="L747">
        <v>1</v>
      </c>
      <c r="M747" t="s">
        <v>353</v>
      </c>
      <c r="N747" t="s">
        <v>330</v>
      </c>
      <c r="O747">
        <v>1357800</v>
      </c>
    </row>
    <row r="748" spans="1:15" x14ac:dyDescent="0.4">
      <c r="A748" t="s">
        <v>1475</v>
      </c>
      <c r="B748">
        <v>76</v>
      </c>
      <c r="C748" t="s">
        <v>6</v>
      </c>
      <c r="D748">
        <v>61</v>
      </c>
      <c r="E748" t="s">
        <v>703</v>
      </c>
      <c r="F748">
        <v>1389</v>
      </c>
      <c r="G748" t="s">
        <v>1197</v>
      </c>
      <c r="I748">
        <v>10003619</v>
      </c>
      <c r="J748" t="s">
        <v>2185</v>
      </c>
      <c r="K748">
        <v>800157</v>
      </c>
      <c r="L748">
        <v>1</v>
      </c>
      <c r="M748" t="s">
        <v>1479</v>
      </c>
      <c r="N748" t="s">
        <v>231</v>
      </c>
      <c r="O748">
        <v>944000</v>
      </c>
    </row>
    <row r="749" spans="1:15" x14ac:dyDescent="0.4">
      <c r="A749" t="s">
        <v>1586</v>
      </c>
      <c r="B749">
        <v>76</v>
      </c>
      <c r="C749" t="s">
        <v>6</v>
      </c>
      <c r="D749">
        <v>61</v>
      </c>
      <c r="E749" t="s">
        <v>703</v>
      </c>
      <c r="F749">
        <v>1475</v>
      </c>
      <c r="G749" t="s">
        <v>909</v>
      </c>
      <c r="I749">
        <v>10070371</v>
      </c>
      <c r="J749" t="s">
        <v>2186</v>
      </c>
      <c r="K749">
        <v>800157</v>
      </c>
      <c r="L749">
        <v>1</v>
      </c>
      <c r="M749" t="s">
        <v>1589</v>
      </c>
      <c r="N749" t="s">
        <v>205</v>
      </c>
      <c r="O749">
        <v>784000</v>
      </c>
    </row>
    <row r="750" spans="1:15" x14ac:dyDescent="0.4">
      <c r="A750" t="s">
        <v>1470</v>
      </c>
      <c r="B750">
        <v>76</v>
      </c>
      <c r="C750" t="s">
        <v>6</v>
      </c>
      <c r="D750">
        <v>61</v>
      </c>
      <c r="E750" t="s">
        <v>703</v>
      </c>
      <c r="F750">
        <v>1389</v>
      </c>
      <c r="G750" t="s">
        <v>1197</v>
      </c>
      <c r="I750">
        <v>10041047</v>
      </c>
      <c r="J750" t="s">
        <v>2187</v>
      </c>
      <c r="K750">
        <v>800157</v>
      </c>
      <c r="L750">
        <v>1</v>
      </c>
      <c r="M750" t="s">
        <v>1469</v>
      </c>
      <c r="N750" t="s">
        <v>197</v>
      </c>
      <c r="O750">
        <v>787200</v>
      </c>
    </row>
    <row r="751" spans="1:15" x14ac:dyDescent="0.4">
      <c r="A751" t="s">
        <v>1523</v>
      </c>
      <c r="B751">
        <v>50</v>
      </c>
      <c r="C751" t="s">
        <v>1</v>
      </c>
      <c r="D751">
        <v>11</v>
      </c>
      <c r="E751" t="s">
        <v>192</v>
      </c>
      <c r="F751">
        <v>1353</v>
      </c>
      <c r="G751" t="s">
        <v>1017</v>
      </c>
      <c r="I751">
        <v>10003629</v>
      </c>
      <c r="J751" t="s">
        <v>2188</v>
      </c>
      <c r="K751">
        <v>800157</v>
      </c>
      <c r="L751">
        <v>1</v>
      </c>
      <c r="M751" t="s">
        <v>1587</v>
      </c>
      <c r="N751" t="s">
        <v>259</v>
      </c>
      <c r="O751">
        <v>784000</v>
      </c>
    </row>
    <row r="752" spans="1:15" x14ac:dyDescent="0.4">
      <c r="A752" t="s">
        <v>238</v>
      </c>
      <c r="B752">
        <v>50</v>
      </c>
      <c r="C752" t="s">
        <v>1</v>
      </c>
      <c r="D752">
        <v>11</v>
      </c>
      <c r="E752" t="s">
        <v>192</v>
      </c>
      <c r="F752">
        <v>1085</v>
      </c>
      <c r="G752" t="s">
        <v>854</v>
      </c>
      <c r="I752">
        <v>20010009</v>
      </c>
      <c r="J752" t="s">
        <v>2189</v>
      </c>
      <c r="K752">
        <v>800159</v>
      </c>
      <c r="L752">
        <v>1</v>
      </c>
      <c r="M752" t="s">
        <v>230</v>
      </c>
      <c r="N752" t="s">
        <v>235</v>
      </c>
      <c r="O752">
        <v>1390200</v>
      </c>
    </row>
    <row r="753" spans="1:15" x14ac:dyDescent="0.4">
      <c r="A753" t="s">
        <v>230</v>
      </c>
      <c r="B753">
        <v>80</v>
      </c>
      <c r="C753" t="s">
        <v>4</v>
      </c>
      <c r="D753">
        <v>81</v>
      </c>
      <c r="E753" t="s">
        <v>550</v>
      </c>
      <c r="F753">
        <v>1154</v>
      </c>
      <c r="G753" t="s">
        <v>1044</v>
      </c>
      <c r="I753">
        <v>10016677</v>
      </c>
      <c r="J753" t="s">
        <v>2190</v>
      </c>
      <c r="K753">
        <v>800157</v>
      </c>
      <c r="L753">
        <v>1</v>
      </c>
      <c r="M753" t="s">
        <v>242</v>
      </c>
      <c r="N753" t="s">
        <v>245</v>
      </c>
      <c r="O753">
        <v>784000</v>
      </c>
    </row>
    <row r="754" spans="1:15" x14ac:dyDescent="0.4">
      <c r="A754" t="s">
        <v>281</v>
      </c>
      <c r="B754">
        <v>50</v>
      </c>
      <c r="C754" t="s">
        <v>1</v>
      </c>
      <c r="D754">
        <v>21</v>
      </c>
      <c r="E754" t="s">
        <v>182</v>
      </c>
      <c r="F754">
        <v>1264</v>
      </c>
      <c r="G754" t="s">
        <v>1023</v>
      </c>
      <c r="I754">
        <v>10003710</v>
      </c>
      <c r="J754" t="s">
        <v>2191</v>
      </c>
      <c r="K754">
        <v>800159</v>
      </c>
      <c r="L754">
        <v>1</v>
      </c>
      <c r="M754" t="s">
        <v>363</v>
      </c>
      <c r="N754" t="s">
        <v>315</v>
      </c>
      <c r="O754">
        <v>1368600</v>
      </c>
    </row>
    <row r="755" spans="1:15" x14ac:dyDescent="0.4">
      <c r="A755" t="s">
        <v>258</v>
      </c>
      <c r="B755">
        <v>76</v>
      </c>
      <c r="C755" t="s">
        <v>6</v>
      </c>
      <c r="D755">
        <v>61</v>
      </c>
      <c r="E755" t="s">
        <v>703</v>
      </c>
      <c r="F755">
        <v>1563</v>
      </c>
      <c r="G755" t="s">
        <v>942</v>
      </c>
      <c r="I755">
        <v>10016552</v>
      </c>
      <c r="J755" t="s">
        <v>2192</v>
      </c>
      <c r="K755">
        <v>800159</v>
      </c>
      <c r="L755">
        <v>1</v>
      </c>
      <c r="M755" t="s">
        <v>221</v>
      </c>
      <c r="N755" t="s">
        <v>331</v>
      </c>
      <c r="O755">
        <v>1325400</v>
      </c>
    </row>
    <row r="756" spans="1:15" x14ac:dyDescent="0.4">
      <c r="A756" t="s">
        <v>196</v>
      </c>
      <c r="B756">
        <v>76</v>
      </c>
      <c r="C756" t="s">
        <v>6</v>
      </c>
      <c r="D756">
        <v>61</v>
      </c>
      <c r="E756" t="s">
        <v>703</v>
      </c>
      <c r="F756">
        <v>1389</v>
      </c>
      <c r="G756" t="s">
        <v>1197</v>
      </c>
      <c r="I756">
        <v>10003721</v>
      </c>
      <c r="J756" t="s">
        <v>2193</v>
      </c>
      <c r="K756">
        <v>800157</v>
      </c>
      <c r="L756">
        <v>1</v>
      </c>
      <c r="M756" t="s">
        <v>186</v>
      </c>
      <c r="N756" t="s">
        <v>199</v>
      </c>
      <c r="O756">
        <v>784000</v>
      </c>
    </row>
    <row r="757" spans="1:15" x14ac:dyDescent="0.4">
      <c r="A757" t="s">
        <v>1587</v>
      </c>
      <c r="B757">
        <v>75</v>
      </c>
      <c r="C757" t="s">
        <v>5</v>
      </c>
      <c r="D757">
        <v>51</v>
      </c>
      <c r="E757" t="s">
        <v>657</v>
      </c>
      <c r="F757">
        <v>1365</v>
      </c>
      <c r="G757" t="s">
        <v>1148</v>
      </c>
      <c r="I757">
        <v>10003724</v>
      </c>
      <c r="J757" t="s">
        <v>2194</v>
      </c>
      <c r="K757">
        <v>800157</v>
      </c>
      <c r="L757">
        <v>1</v>
      </c>
      <c r="M757" t="s">
        <v>1548</v>
      </c>
      <c r="N757" t="s">
        <v>327</v>
      </c>
      <c r="O757">
        <v>816000</v>
      </c>
    </row>
    <row r="758" spans="1:15" x14ac:dyDescent="0.4">
      <c r="A758" t="s">
        <v>1589</v>
      </c>
      <c r="B758">
        <v>50</v>
      </c>
      <c r="C758" t="s">
        <v>1</v>
      </c>
      <c r="D758">
        <v>21</v>
      </c>
      <c r="E758" t="s">
        <v>182</v>
      </c>
      <c r="F758">
        <v>1166</v>
      </c>
      <c r="G758" t="s">
        <v>1082</v>
      </c>
      <c r="I758">
        <v>10003764</v>
      </c>
      <c r="J758" t="s">
        <v>2195</v>
      </c>
      <c r="K758">
        <v>800159</v>
      </c>
      <c r="L758">
        <v>1</v>
      </c>
      <c r="M758" t="s">
        <v>1594</v>
      </c>
      <c r="N758" t="s">
        <v>294</v>
      </c>
      <c r="O758">
        <v>1336200</v>
      </c>
    </row>
    <row r="759" spans="1:15" x14ac:dyDescent="0.4">
      <c r="A759" t="s">
        <v>221</v>
      </c>
      <c r="B759">
        <v>76</v>
      </c>
      <c r="C759" t="s">
        <v>6</v>
      </c>
      <c r="D759">
        <v>61</v>
      </c>
      <c r="E759" t="s">
        <v>703</v>
      </c>
      <c r="F759">
        <v>1472</v>
      </c>
      <c r="G759" t="s">
        <v>998</v>
      </c>
      <c r="I759">
        <v>10003766</v>
      </c>
      <c r="J759" t="s">
        <v>2196</v>
      </c>
      <c r="K759">
        <v>800157</v>
      </c>
      <c r="L759">
        <v>1</v>
      </c>
      <c r="M759" t="s">
        <v>204</v>
      </c>
      <c r="O759">
        <v>793600</v>
      </c>
    </row>
    <row r="760" spans="1:15" x14ac:dyDescent="0.4">
      <c r="A760" t="s">
        <v>363</v>
      </c>
      <c r="B760">
        <v>50</v>
      </c>
      <c r="C760" t="s">
        <v>1</v>
      </c>
      <c r="D760">
        <v>21</v>
      </c>
      <c r="E760" t="s">
        <v>182</v>
      </c>
      <c r="F760">
        <v>1264</v>
      </c>
      <c r="G760" t="s">
        <v>1023</v>
      </c>
      <c r="I760">
        <v>10003770</v>
      </c>
      <c r="J760" t="s">
        <v>2197</v>
      </c>
      <c r="K760">
        <v>800159</v>
      </c>
      <c r="L760">
        <v>1</v>
      </c>
      <c r="M760" t="s">
        <v>376</v>
      </c>
      <c r="N760" t="s">
        <v>262</v>
      </c>
      <c r="O760">
        <v>1460400</v>
      </c>
    </row>
    <row r="761" spans="1:15" x14ac:dyDescent="0.4">
      <c r="A761" t="s">
        <v>1596</v>
      </c>
      <c r="B761">
        <v>60</v>
      </c>
      <c r="C761" t="s">
        <v>3</v>
      </c>
      <c r="D761">
        <v>33</v>
      </c>
      <c r="E761" t="s">
        <v>451</v>
      </c>
      <c r="F761">
        <v>1220</v>
      </c>
      <c r="G761" t="s">
        <v>1343</v>
      </c>
      <c r="I761">
        <v>10003775</v>
      </c>
      <c r="J761" t="s">
        <v>2198</v>
      </c>
      <c r="K761">
        <v>800159</v>
      </c>
      <c r="L761">
        <v>1</v>
      </c>
      <c r="M761" t="s">
        <v>268</v>
      </c>
      <c r="N761" t="s">
        <v>214</v>
      </c>
      <c r="O761">
        <v>1336200</v>
      </c>
    </row>
    <row r="762" spans="1:15" x14ac:dyDescent="0.4">
      <c r="A762" t="s">
        <v>376</v>
      </c>
      <c r="B762">
        <v>60</v>
      </c>
      <c r="C762" t="s">
        <v>3</v>
      </c>
      <c r="D762">
        <v>31</v>
      </c>
      <c r="E762" t="s">
        <v>447</v>
      </c>
      <c r="F762">
        <v>1299</v>
      </c>
      <c r="G762" t="s">
        <v>947</v>
      </c>
      <c r="I762">
        <v>10003790</v>
      </c>
      <c r="J762" t="s">
        <v>2199</v>
      </c>
      <c r="K762">
        <v>800159</v>
      </c>
      <c r="L762">
        <v>1</v>
      </c>
      <c r="M762" t="s">
        <v>353</v>
      </c>
      <c r="N762" t="s">
        <v>330</v>
      </c>
      <c r="O762">
        <v>1325400</v>
      </c>
    </row>
    <row r="763" spans="1:15" x14ac:dyDescent="0.4">
      <c r="A763" t="s">
        <v>1586</v>
      </c>
      <c r="B763">
        <v>60</v>
      </c>
      <c r="C763" t="s">
        <v>3</v>
      </c>
      <c r="D763">
        <v>33</v>
      </c>
      <c r="E763" t="s">
        <v>451</v>
      </c>
      <c r="F763">
        <v>1372</v>
      </c>
      <c r="G763" t="s">
        <v>992</v>
      </c>
      <c r="I763">
        <v>10003791</v>
      </c>
      <c r="J763" t="s">
        <v>2200</v>
      </c>
      <c r="K763">
        <v>800159</v>
      </c>
      <c r="L763">
        <v>1</v>
      </c>
      <c r="M763" t="s">
        <v>1589</v>
      </c>
      <c r="N763" t="s">
        <v>207</v>
      </c>
      <c r="O763">
        <v>1465800</v>
      </c>
    </row>
    <row r="764" spans="1:15" x14ac:dyDescent="0.4">
      <c r="A764" t="s">
        <v>1548</v>
      </c>
      <c r="B764">
        <v>60</v>
      </c>
      <c r="C764" t="s">
        <v>3</v>
      </c>
      <c r="D764">
        <v>33</v>
      </c>
      <c r="E764" t="s">
        <v>451</v>
      </c>
      <c r="F764">
        <v>1220</v>
      </c>
      <c r="G764" t="s">
        <v>1343</v>
      </c>
      <c r="I764">
        <v>10003792</v>
      </c>
      <c r="J764" t="s">
        <v>2201</v>
      </c>
      <c r="K764">
        <v>800159</v>
      </c>
      <c r="L764">
        <v>1</v>
      </c>
      <c r="M764" t="s">
        <v>1586</v>
      </c>
      <c r="N764" t="s">
        <v>224</v>
      </c>
      <c r="O764">
        <v>1266000</v>
      </c>
    </row>
    <row r="765" spans="1:15" x14ac:dyDescent="0.4">
      <c r="A765" t="s">
        <v>281</v>
      </c>
      <c r="B765">
        <v>80</v>
      </c>
      <c r="C765" t="s">
        <v>4</v>
      </c>
      <c r="D765">
        <v>81</v>
      </c>
      <c r="E765" t="s">
        <v>550</v>
      </c>
      <c r="F765">
        <v>1436</v>
      </c>
      <c r="G765" t="s">
        <v>918</v>
      </c>
      <c r="I765">
        <v>10003836</v>
      </c>
      <c r="J765" t="s">
        <v>2202</v>
      </c>
      <c r="K765">
        <v>800159</v>
      </c>
      <c r="L765">
        <v>1</v>
      </c>
      <c r="M765" t="s">
        <v>363</v>
      </c>
      <c r="N765" t="s">
        <v>315</v>
      </c>
      <c r="O765">
        <v>1056000</v>
      </c>
    </row>
    <row r="766" spans="1:15" x14ac:dyDescent="0.4">
      <c r="A766" t="s">
        <v>250</v>
      </c>
      <c r="B766">
        <v>60</v>
      </c>
      <c r="C766" t="s">
        <v>3</v>
      </c>
      <c r="D766">
        <v>33</v>
      </c>
      <c r="E766" t="s">
        <v>451</v>
      </c>
      <c r="F766">
        <v>1372</v>
      </c>
      <c r="G766" t="s">
        <v>992</v>
      </c>
      <c r="I766">
        <v>20003493</v>
      </c>
      <c r="J766" t="s">
        <v>2203</v>
      </c>
      <c r="K766">
        <v>800157</v>
      </c>
      <c r="L766">
        <v>1</v>
      </c>
      <c r="M766" t="s">
        <v>196</v>
      </c>
      <c r="N766" t="s">
        <v>213</v>
      </c>
      <c r="O766">
        <v>784000</v>
      </c>
    </row>
    <row r="767" spans="1:15" x14ac:dyDescent="0.4">
      <c r="A767" t="s">
        <v>203</v>
      </c>
      <c r="B767">
        <v>60</v>
      </c>
      <c r="C767" t="s">
        <v>3</v>
      </c>
      <c r="D767">
        <v>31</v>
      </c>
      <c r="E767" t="s">
        <v>447</v>
      </c>
      <c r="F767">
        <v>1616</v>
      </c>
      <c r="G767" t="s">
        <v>1659</v>
      </c>
      <c r="I767">
        <v>10003843</v>
      </c>
      <c r="J767" t="s">
        <v>2204</v>
      </c>
      <c r="K767">
        <v>800159</v>
      </c>
      <c r="L767">
        <v>1</v>
      </c>
      <c r="M767" t="s">
        <v>290</v>
      </c>
      <c r="N767" t="s">
        <v>295</v>
      </c>
      <c r="O767">
        <v>1320000</v>
      </c>
    </row>
    <row r="768" spans="1:15" x14ac:dyDescent="0.4">
      <c r="A768" t="s">
        <v>242</v>
      </c>
      <c r="B768">
        <v>60</v>
      </c>
      <c r="C768" t="s">
        <v>3</v>
      </c>
      <c r="D768">
        <v>33</v>
      </c>
      <c r="E768" t="s">
        <v>451</v>
      </c>
      <c r="F768">
        <v>1273</v>
      </c>
      <c r="G768" t="s">
        <v>1084</v>
      </c>
      <c r="I768">
        <v>10003845</v>
      </c>
      <c r="J768" t="s">
        <v>2205</v>
      </c>
      <c r="K768">
        <v>800159</v>
      </c>
      <c r="L768">
        <v>1</v>
      </c>
      <c r="M768" t="s">
        <v>311</v>
      </c>
      <c r="N768" t="s">
        <v>316</v>
      </c>
      <c r="O768">
        <v>858000</v>
      </c>
    </row>
    <row r="769" spans="1:15" x14ac:dyDescent="0.4">
      <c r="A769" t="s">
        <v>185</v>
      </c>
      <c r="B769">
        <v>60</v>
      </c>
      <c r="C769" t="s">
        <v>3</v>
      </c>
      <c r="D769">
        <v>31</v>
      </c>
      <c r="E769" t="s">
        <v>447</v>
      </c>
      <c r="F769">
        <v>1543</v>
      </c>
      <c r="G769" t="s">
        <v>1183</v>
      </c>
      <c r="I769">
        <v>10003846</v>
      </c>
      <c r="J769" t="s">
        <v>2204</v>
      </c>
      <c r="K769">
        <v>800159</v>
      </c>
      <c r="L769">
        <v>1</v>
      </c>
      <c r="M769" t="s">
        <v>275</v>
      </c>
      <c r="N769" t="s">
        <v>234</v>
      </c>
      <c r="O769">
        <v>1336200</v>
      </c>
    </row>
    <row r="770" spans="1:15" x14ac:dyDescent="0.4">
      <c r="A770" t="s">
        <v>290</v>
      </c>
      <c r="B770">
        <v>70</v>
      </c>
      <c r="C770" t="s">
        <v>2</v>
      </c>
      <c r="D770">
        <v>41</v>
      </c>
      <c r="E770" t="s">
        <v>306</v>
      </c>
      <c r="F770">
        <v>1561</v>
      </c>
      <c r="G770" t="s">
        <v>1070</v>
      </c>
      <c r="I770">
        <v>10003851</v>
      </c>
      <c r="J770" t="s">
        <v>2206</v>
      </c>
      <c r="K770">
        <v>800159</v>
      </c>
      <c r="L770">
        <v>1</v>
      </c>
      <c r="M770" t="s">
        <v>250</v>
      </c>
      <c r="N770" t="s">
        <v>255</v>
      </c>
      <c r="O770">
        <v>1336200</v>
      </c>
    </row>
    <row r="771" spans="1:15" x14ac:dyDescent="0.4">
      <c r="A771" t="s">
        <v>242</v>
      </c>
      <c r="B771">
        <v>50</v>
      </c>
      <c r="C771" t="s">
        <v>1</v>
      </c>
      <c r="D771">
        <v>21</v>
      </c>
      <c r="E771" t="s">
        <v>182</v>
      </c>
      <c r="F771">
        <v>1166</v>
      </c>
      <c r="G771" t="s">
        <v>1082</v>
      </c>
      <c r="I771">
        <v>20004822</v>
      </c>
      <c r="J771" t="s">
        <v>2207</v>
      </c>
      <c r="K771">
        <v>800159</v>
      </c>
      <c r="L771">
        <v>1</v>
      </c>
      <c r="M771" t="s">
        <v>311</v>
      </c>
      <c r="N771" t="s">
        <v>316</v>
      </c>
      <c r="O771">
        <v>1254000</v>
      </c>
    </row>
    <row r="772" spans="1:15" x14ac:dyDescent="0.4">
      <c r="A772" t="s">
        <v>1523</v>
      </c>
      <c r="B772">
        <v>76</v>
      </c>
      <c r="C772" t="s">
        <v>6</v>
      </c>
      <c r="D772">
        <v>61</v>
      </c>
      <c r="E772" t="s">
        <v>703</v>
      </c>
      <c r="F772">
        <v>1563</v>
      </c>
      <c r="G772" t="s">
        <v>942</v>
      </c>
      <c r="I772">
        <v>10003854</v>
      </c>
      <c r="J772" t="s">
        <v>2208</v>
      </c>
      <c r="K772">
        <v>800157</v>
      </c>
      <c r="L772">
        <v>1</v>
      </c>
      <c r="M772" t="s">
        <v>1587</v>
      </c>
      <c r="N772" t="s">
        <v>259</v>
      </c>
      <c r="O772">
        <v>784000</v>
      </c>
    </row>
    <row r="773" spans="1:15" x14ac:dyDescent="0.4">
      <c r="A773" t="s">
        <v>281</v>
      </c>
      <c r="B773">
        <v>60</v>
      </c>
      <c r="C773" t="s">
        <v>3</v>
      </c>
      <c r="D773">
        <v>31</v>
      </c>
      <c r="E773" t="s">
        <v>447</v>
      </c>
      <c r="F773">
        <v>1367</v>
      </c>
      <c r="G773" t="s">
        <v>977</v>
      </c>
      <c r="I773">
        <v>10003861</v>
      </c>
      <c r="J773" t="s">
        <v>2209</v>
      </c>
      <c r="K773">
        <v>800157</v>
      </c>
      <c r="L773">
        <v>1</v>
      </c>
      <c r="M773" t="s">
        <v>363</v>
      </c>
      <c r="N773" t="s">
        <v>313</v>
      </c>
      <c r="O773">
        <v>787200</v>
      </c>
    </row>
    <row r="774" spans="1:15" x14ac:dyDescent="0.4">
      <c r="A774" t="s">
        <v>275</v>
      </c>
      <c r="B774">
        <v>76</v>
      </c>
      <c r="C774" t="s">
        <v>6</v>
      </c>
      <c r="D774">
        <v>61</v>
      </c>
      <c r="E774" t="s">
        <v>703</v>
      </c>
      <c r="F774">
        <v>1475</v>
      </c>
      <c r="G774" t="s">
        <v>909</v>
      </c>
      <c r="I774">
        <v>10003867</v>
      </c>
      <c r="J774" t="s">
        <v>2210</v>
      </c>
      <c r="K774">
        <v>800159</v>
      </c>
      <c r="L774">
        <v>1</v>
      </c>
      <c r="M774" t="s">
        <v>281</v>
      </c>
      <c r="N774" t="s">
        <v>246</v>
      </c>
      <c r="O774">
        <v>1374000</v>
      </c>
    </row>
    <row r="775" spans="1:15" x14ac:dyDescent="0.4">
      <c r="A775" t="s">
        <v>268</v>
      </c>
      <c r="B775">
        <v>76</v>
      </c>
      <c r="C775" t="s">
        <v>6</v>
      </c>
      <c r="D775">
        <v>61</v>
      </c>
      <c r="E775" t="s">
        <v>703</v>
      </c>
      <c r="F775">
        <v>1389</v>
      </c>
      <c r="G775" t="s">
        <v>1197</v>
      </c>
      <c r="I775">
        <v>10003924</v>
      </c>
      <c r="J775" t="s">
        <v>2211</v>
      </c>
      <c r="K775">
        <v>800157</v>
      </c>
      <c r="L775">
        <v>1</v>
      </c>
      <c r="M775" t="s">
        <v>195</v>
      </c>
      <c r="N775" t="s">
        <v>198</v>
      </c>
      <c r="O775">
        <v>784000</v>
      </c>
    </row>
    <row r="776" spans="1:15" x14ac:dyDescent="0.4">
      <c r="A776" t="s">
        <v>195</v>
      </c>
      <c r="B776">
        <v>70</v>
      </c>
      <c r="C776" t="s">
        <v>2</v>
      </c>
      <c r="D776">
        <v>41</v>
      </c>
      <c r="E776" t="s">
        <v>306</v>
      </c>
      <c r="F776">
        <v>1118</v>
      </c>
      <c r="G776" t="s">
        <v>1471</v>
      </c>
      <c r="I776">
        <v>10003927</v>
      </c>
      <c r="J776" t="s">
        <v>2212</v>
      </c>
      <c r="K776">
        <v>800159</v>
      </c>
      <c r="L776">
        <v>1</v>
      </c>
      <c r="M776" t="s">
        <v>185</v>
      </c>
      <c r="N776" t="s">
        <v>190</v>
      </c>
      <c r="O776">
        <v>720000</v>
      </c>
    </row>
    <row r="777" spans="1:15" x14ac:dyDescent="0.4">
      <c r="A777" t="s">
        <v>376</v>
      </c>
      <c r="B777">
        <v>50</v>
      </c>
      <c r="C777" t="s">
        <v>1</v>
      </c>
      <c r="D777">
        <v>21</v>
      </c>
      <c r="E777" t="s">
        <v>182</v>
      </c>
      <c r="F777">
        <v>1264</v>
      </c>
      <c r="G777" t="s">
        <v>1023</v>
      </c>
      <c r="I777">
        <v>10003931</v>
      </c>
      <c r="J777" t="s">
        <v>2213</v>
      </c>
      <c r="K777">
        <v>800157</v>
      </c>
      <c r="L777">
        <v>1</v>
      </c>
      <c r="M777" t="s">
        <v>353</v>
      </c>
      <c r="N777" t="s">
        <v>328</v>
      </c>
      <c r="O777">
        <v>828800</v>
      </c>
    </row>
    <row r="778" spans="1:15" x14ac:dyDescent="0.4">
      <c r="A778" t="s">
        <v>1548</v>
      </c>
      <c r="B778">
        <v>50</v>
      </c>
      <c r="C778" t="s">
        <v>1</v>
      </c>
      <c r="D778">
        <v>21</v>
      </c>
      <c r="E778" t="s">
        <v>182</v>
      </c>
      <c r="F778">
        <v>1166</v>
      </c>
      <c r="G778" t="s">
        <v>1082</v>
      </c>
      <c r="I778">
        <v>10003933</v>
      </c>
      <c r="J778" t="s">
        <v>2214</v>
      </c>
      <c r="K778">
        <v>800159</v>
      </c>
      <c r="L778">
        <v>1</v>
      </c>
      <c r="M778" t="s">
        <v>1586</v>
      </c>
      <c r="N778" t="s">
        <v>224</v>
      </c>
      <c r="O778">
        <v>1428000</v>
      </c>
    </row>
    <row r="779" spans="1:15" x14ac:dyDescent="0.4">
      <c r="A779" t="s">
        <v>220</v>
      </c>
      <c r="B779">
        <v>70</v>
      </c>
      <c r="C779" t="s">
        <v>2</v>
      </c>
      <c r="D779">
        <v>41</v>
      </c>
      <c r="E779" t="s">
        <v>306</v>
      </c>
      <c r="F779">
        <v>1552</v>
      </c>
      <c r="G779" t="s">
        <v>929</v>
      </c>
      <c r="I779">
        <v>10003934</v>
      </c>
      <c r="J779" t="s">
        <v>2215</v>
      </c>
      <c r="K779">
        <v>800159</v>
      </c>
      <c r="L779">
        <v>1</v>
      </c>
      <c r="M779" t="s">
        <v>203</v>
      </c>
      <c r="N779" t="s">
        <v>208</v>
      </c>
      <c r="O779">
        <v>1395600</v>
      </c>
    </row>
    <row r="780" spans="1:15" x14ac:dyDescent="0.4">
      <c r="A780" t="s">
        <v>203</v>
      </c>
      <c r="B780">
        <v>60</v>
      </c>
      <c r="C780" t="s">
        <v>3</v>
      </c>
      <c r="D780">
        <v>31</v>
      </c>
      <c r="E780" t="s">
        <v>447</v>
      </c>
      <c r="F780">
        <v>1367</v>
      </c>
      <c r="G780" t="s">
        <v>977</v>
      </c>
      <c r="I780">
        <v>10003935</v>
      </c>
      <c r="J780" t="s">
        <v>2216</v>
      </c>
      <c r="K780">
        <v>800159</v>
      </c>
      <c r="L780">
        <v>1</v>
      </c>
      <c r="M780" t="s">
        <v>290</v>
      </c>
      <c r="N780" t="s">
        <v>295</v>
      </c>
      <c r="O780">
        <v>732000</v>
      </c>
    </row>
    <row r="781" spans="1:15" x14ac:dyDescent="0.4">
      <c r="A781" t="s">
        <v>1589</v>
      </c>
      <c r="B781">
        <v>70</v>
      </c>
      <c r="C781" t="s">
        <v>2</v>
      </c>
      <c r="D781">
        <v>41</v>
      </c>
      <c r="E781" t="s">
        <v>306</v>
      </c>
      <c r="F781">
        <v>1118</v>
      </c>
      <c r="G781" t="s">
        <v>1471</v>
      </c>
      <c r="I781">
        <v>10000108</v>
      </c>
      <c r="J781" t="s">
        <v>2217</v>
      </c>
      <c r="K781">
        <v>800159</v>
      </c>
      <c r="L781">
        <v>1</v>
      </c>
      <c r="M781" t="s">
        <v>1594</v>
      </c>
      <c r="N781" t="s">
        <v>294</v>
      </c>
      <c r="O781">
        <v>762000</v>
      </c>
    </row>
    <row r="782" spans="1:15" x14ac:dyDescent="0.4">
      <c r="A782" t="s">
        <v>1586</v>
      </c>
      <c r="B782">
        <v>60</v>
      </c>
      <c r="C782" t="s">
        <v>3</v>
      </c>
      <c r="D782">
        <v>31</v>
      </c>
      <c r="E782" t="s">
        <v>447</v>
      </c>
      <c r="F782">
        <v>1543</v>
      </c>
      <c r="G782" t="s">
        <v>1183</v>
      </c>
      <c r="I782">
        <v>10000109</v>
      </c>
      <c r="J782" t="s">
        <v>2217</v>
      </c>
      <c r="K782">
        <v>800159</v>
      </c>
      <c r="L782">
        <v>1</v>
      </c>
      <c r="M782" t="s">
        <v>1589</v>
      </c>
      <c r="N782" t="s">
        <v>207</v>
      </c>
      <c r="O782">
        <v>1330800</v>
      </c>
    </row>
    <row r="783" spans="1:15" x14ac:dyDescent="0.4">
      <c r="A783" t="s">
        <v>1596</v>
      </c>
      <c r="B783">
        <v>60</v>
      </c>
      <c r="C783" t="s">
        <v>3</v>
      </c>
      <c r="D783">
        <v>31</v>
      </c>
      <c r="E783" t="s">
        <v>447</v>
      </c>
      <c r="F783">
        <v>1116</v>
      </c>
      <c r="G783" t="s">
        <v>1075</v>
      </c>
      <c r="I783">
        <v>10000110</v>
      </c>
      <c r="J783" t="s">
        <v>2217</v>
      </c>
      <c r="K783">
        <v>800159</v>
      </c>
      <c r="L783">
        <v>1</v>
      </c>
      <c r="M783" t="s">
        <v>268</v>
      </c>
      <c r="N783" t="s">
        <v>214</v>
      </c>
      <c r="O783">
        <v>1200000</v>
      </c>
    </row>
    <row r="784" spans="1:15" x14ac:dyDescent="0.4">
      <c r="A784" t="s">
        <v>185</v>
      </c>
      <c r="B784">
        <v>76</v>
      </c>
      <c r="C784" t="s">
        <v>6</v>
      </c>
      <c r="D784">
        <v>61</v>
      </c>
      <c r="E784" t="s">
        <v>703</v>
      </c>
      <c r="F784">
        <v>1563</v>
      </c>
      <c r="G784" t="s">
        <v>942</v>
      </c>
      <c r="I784">
        <v>10000127</v>
      </c>
      <c r="J784" t="s">
        <v>704</v>
      </c>
      <c r="K784">
        <v>800159</v>
      </c>
      <c r="L784">
        <v>1</v>
      </c>
      <c r="M784" t="s">
        <v>275</v>
      </c>
      <c r="N784" t="s">
        <v>234</v>
      </c>
      <c r="O784">
        <v>1320000</v>
      </c>
    </row>
    <row r="785" spans="1:15" x14ac:dyDescent="0.4">
      <c r="A785" t="s">
        <v>238</v>
      </c>
      <c r="B785">
        <v>76</v>
      </c>
      <c r="C785" t="s">
        <v>6</v>
      </c>
      <c r="D785">
        <v>61</v>
      </c>
      <c r="E785" t="s">
        <v>703</v>
      </c>
      <c r="F785">
        <v>1472</v>
      </c>
      <c r="G785" t="s">
        <v>998</v>
      </c>
      <c r="I785">
        <v>10000134</v>
      </c>
      <c r="J785" t="s">
        <v>2218</v>
      </c>
      <c r="K785">
        <v>800157</v>
      </c>
      <c r="L785">
        <v>1</v>
      </c>
      <c r="M785" t="s">
        <v>230</v>
      </c>
      <c r="N785" t="s">
        <v>233</v>
      </c>
      <c r="O785">
        <v>784000</v>
      </c>
    </row>
    <row r="786" spans="1:15" x14ac:dyDescent="0.4">
      <c r="A786" t="s">
        <v>220</v>
      </c>
      <c r="B786">
        <v>60</v>
      </c>
      <c r="C786" t="s">
        <v>3</v>
      </c>
      <c r="D786">
        <v>33</v>
      </c>
      <c r="E786" t="s">
        <v>451</v>
      </c>
      <c r="F786">
        <v>1273</v>
      </c>
      <c r="G786" t="s">
        <v>1084</v>
      </c>
      <c r="I786">
        <v>10003080</v>
      </c>
      <c r="J786" t="s">
        <v>2219</v>
      </c>
      <c r="K786">
        <v>800159</v>
      </c>
      <c r="L786">
        <v>1</v>
      </c>
      <c r="M786" t="s">
        <v>203</v>
      </c>
      <c r="N786" t="s">
        <v>208</v>
      </c>
      <c r="O786">
        <v>888000</v>
      </c>
    </row>
    <row r="787" spans="1:15" x14ac:dyDescent="0.4">
      <c r="A787" t="s">
        <v>1475</v>
      </c>
      <c r="B787">
        <v>80</v>
      </c>
      <c r="C787" t="s">
        <v>4</v>
      </c>
      <c r="D787">
        <v>71</v>
      </c>
      <c r="E787" t="s">
        <v>556</v>
      </c>
      <c r="F787">
        <v>1296</v>
      </c>
      <c r="G787" t="s">
        <v>964</v>
      </c>
      <c r="I787">
        <v>10003086</v>
      </c>
      <c r="J787" t="s">
        <v>2220</v>
      </c>
      <c r="K787">
        <v>800157</v>
      </c>
      <c r="L787">
        <v>1</v>
      </c>
      <c r="M787" t="s">
        <v>1479</v>
      </c>
      <c r="N787" t="s">
        <v>231</v>
      </c>
      <c r="O787">
        <v>790400</v>
      </c>
    </row>
    <row r="788" spans="1:15" x14ac:dyDescent="0.4">
      <c r="A788" t="s">
        <v>363</v>
      </c>
      <c r="B788">
        <v>76</v>
      </c>
      <c r="C788" t="s">
        <v>6</v>
      </c>
      <c r="D788">
        <v>61</v>
      </c>
      <c r="E788" t="s">
        <v>703</v>
      </c>
      <c r="F788">
        <v>1472</v>
      </c>
      <c r="G788" t="s">
        <v>998</v>
      </c>
      <c r="I788">
        <v>10003088</v>
      </c>
      <c r="J788" t="s">
        <v>2221</v>
      </c>
      <c r="K788">
        <v>800159</v>
      </c>
      <c r="L788">
        <v>1</v>
      </c>
      <c r="M788" t="s">
        <v>376</v>
      </c>
      <c r="N788" t="s">
        <v>262</v>
      </c>
      <c r="O788">
        <v>1374000</v>
      </c>
    </row>
    <row r="789" spans="1:15" x14ac:dyDescent="0.4">
      <c r="A789" t="s">
        <v>203</v>
      </c>
      <c r="B789">
        <v>70</v>
      </c>
      <c r="C789" t="s">
        <v>2</v>
      </c>
      <c r="D789">
        <v>41</v>
      </c>
      <c r="E789" t="s">
        <v>306</v>
      </c>
      <c r="F789">
        <v>1383</v>
      </c>
      <c r="G789" t="s">
        <v>957</v>
      </c>
      <c r="I789">
        <v>20009122</v>
      </c>
      <c r="J789" t="s">
        <v>2222</v>
      </c>
      <c r="K789">
        <v>800159</v>
      </c>
      <c r="L789">
        <v>1</v>
      </c>
      <c r="M789" t="s">
        <v>290</v>
      </c>
      <c r="N789" t="s">
        <v>295</v>
      </c>
      <c r="O789">
        <v>1140000</v>
      </c>
    </row>
    <row r="790" spans="1:15" x14ac:dyDescent="0.4">
      <c r="A790" t="s">
        <v>290</v>
      </c>
      <c r="B790">
        <v>75</v>
      </c>
      <c r="C790" t="s">
        <v>5</v>
      </c>
      <c r="D790">
        <v>51</v>
      </c>
      <c r="E790" t="s">
        <v>657</v>
      </c>
      <c r="F790">
        <v>1365</v>
      </c>
      <c r="G790" t="s">
        <v>1148</v>
      </c>
      <c r="I790">
        <v>20010061</v>
      </c>
      <c r="J790" t="s">
        <v>2223</v>
      </c>
      <c r="K790">
        <v>800159</v>
      </c>
      <c r="L790">
        <v>1</v>
      </c>
      <c r="M790" t="s">
        <v>250</v>
      </c>
      <c r="N790" t="s">
        <v>255</v>
      </c>
      <c r="O790">
        <v>1476600</v>
      </c>
    </row>
    <row r="791" spans="1:15" x14ac:dyDescent="0.4">
      <c r="A791" t="s">
        <v>1586</v>
      </c>
      <c r="B791">
        <v>50</v>
      </c>
      <c r="C791" t="s">
        <v>1</v>
      </c>
      <c r="D791">
        <v>21</v>
      </c>
      <c r="E791" t="s">
        <v>182</v>
      </c>
      <c r="F791">
        <v>1345</v>
      </c>
      <c r="G791" t="s">
        <v>874</v>
      </c>
      <c r="I791">
        <v>10021126</v>
      </c>
      <c r="J791" t="s">
        <v>2224</v>
      </c>
      <c r="K791">
        <v>800157</v>
      </c>
      <c r="L791">
        <v>1</v>
      </c>
      <c r="M791" t="s">
        <v>1589</v>
      </c>
      <c r="N791" t="s">
        <v>205</v>
      </c>
      <c r="O791">
        <v>784000</v>
      </c>
    </row>
    <row r="792" spans="1:15" x14ac:dyDescent="0.4">
      <c r="A792" t="s">
        <v>275</v>
      </c>
      <c r="B792">
        <v>75</v>
      </c>
      <c r="C792" t="s">
        <v>5</v>
      </c>
      <c r="D792">
        <v>51</v>
      </c>
      <c r="E792" t="s">
        <v>657</v>
      </c>
      <c r="F792">
        <v>1435</v>
      </c>
      <c r="G792" t="s">
        <v>860</v>
      </c>
      <c r="I792">
        <v>10003109</v>
      </c>
      <c r="J792" t="s">
        <v>2225</v>
      </c>
      <c r="K792">
        <v>800159</v>
      </c>
      <c r="L792">
        <v>1</v>
      </c>
      <c r="M792" t="s">
        <v>281</v>
      </c>
      <c r="N792" t="s">
        <v>246</v>
      </c>
      <c r="O792">
        <v>1332000</v>
      </c>
    </row>
    <row r="793" spans="1:15" x14ac:dyDescent="0.4">
      <c r="A793" t="s">
        <v>1589</v>
      </c>
      <c r="B793">
        <v>60</v>
      </c>
      <c r="C793" t="s">
        <v>3</v>
      </c>
      <c r="D793">
        <v>33</v>
      </c>
      <c r="E793" t="s">
        <v>451</v>
      </c>
      <c r="F793">
        <v>1372</v>
      </c>
      <c r="G793" t="s">
        <v>992</v>
      </c>
      <c r="I793">
        <v>10003163</v>
      </c>
      <c r="J793" t="s">
        <v>2226</v>
      </c>
      <c r="K793">
        <v>800159</v>
      </c>
      <c r="L793">
        <v>1</v>
      </c>
      <c r="M793" t="s">
        <v>1594</v>
      </c>
      <c r="N793" t="s">
        <v>294</v>
      </c>
      <c r="O793">
        <v>1356000</v>
      </c>
    </row>
    <row r="794" spans="1:15" x14ac:dyDescent="0.4">
      <c r="A794" t="s">
        <v>250</v>
      </c>
      <c r="B794">
        <v>76</v>
      </c>
      <c r="C794" t="s">
        <v>6</v>
      </c>
      <c r="D794">
        <v>61</v>
      </c>
      <c r="E794" t="s">
        <v>703</v>
      </c>
      <c r="F794">
        <v>1389</v>
      </c>
      <c r="G794" t="s">
        <v>1197</v>
      </c>
      <c r="I794">
        <v>10003167</v>
      </c>
      <c r="J794" t="s">
        <v>575</v>
      </c>
      <c r="K794">
        <v>800159</v>
      </c>
      <c r="L794">
        <v>1</v>
      </c>
      <c r="M794" t="s">
        <v>196</v>
      </c>
      <c r="N794" t="s">
        <v>215</v>
      </c>
      <c r="O794">
        <v>1347000</v>
      </c>
    </row>
    <row r="795" spans="1:15" x14ac:dyDescent="0.4">
      <c r="A795" t="s">
        <v>1594</v>
      </c>
      <c r="B795">
        <v>76</v>
      </c>
      <c r="C795" t="s">
        <v>6</v>
      </c>
      <c r="D795">
        <v>61</v>
      </c>
      <c r="E795" t="s">
        <v>703</v>
      </c>
      <c r="F795">
        <v>1389</v>
      </c>
      <c r="G795" t="s">
        <v>1197</v>
      </c>
      <c r="I795">
        <v>10003168</v>
      </c>
      <c r="J795" t="s">
        <v>575</v>
      </c>
      <c r="K795">
        <v>800159</v>
      </c>
      <c r="L795">
        <v>1</v>
      </c>
      <c r="M795" t="s">
        <v>1596</v>
      </c>
      <c r="N795" t="s">
        <v>254</v>
      </c>
      <c r="O795">
        <v>1503600</v>
      </c>
    </row>
    <row r="796" spans="1:15" x14ac:dyDescent="0.4">
      <c r="A796" t="s">
        <v>230</v>
      </c>
      <c r="B796">
        <v>80</v>
      </c>
      <c r="C796" t="s">
        <v>4</v>
      </c>
      <c r="D796">
        <v>81</v>
      </c>
      <c r="E796" t="s">
        <v>550</v>
      </c>
      <c r="F796">
        <v>1322</v>
      </c>
      <c r="G796" t="s">
        <v>961</v>
      </c>
      <c r="I796">
        <v>10003174</v>
      </c>
      <c r="J796" t="s">
        <v>1985</v>
      </c>
      <c r="K796">
        <v>800159</v>
      </c>
      <c r="L796">
        <v>1</v>
      </c>
      <c r="M796" t="s">
        <v>242</v>
      </c>
      <c r="N796" t="s">
        <v>247</v>
      </c>
      <c r="O796">
        <v>1320000</v>
      </c>
    </row>
    <row r="797" spans="1:15" x14ac:dyDescent="0.4">
      <c r="A797" t="s">
        <v>1594</v>
      </c>
      <c r="B797">
        <v>70</v>
      </c>
      <c r="C797" t="s">
        <v>2</v>
      </c>
      <c r="D797">
        <v>41</v>
      </c>
      <c r="E797" t="s">
        <v>306</v>
      </c>
      <c r="F797">
        <v>1118</v>
      </c>
      <c r="G797" t="s">
        <v>1471</v>
      </c>
      <c r="I797">
        <v>10003175</v>
      </c>
      <c r="J797" t="s">
        <v>1985</v>
      </c>
      <c r="K797">
        <v>800157</v>
      </c>
      <c r="L797">
        <v>1</v>
      </c>
      <c r="M797" t="s">
        <v>1596</v>
      </c>
      <c r="N797" t="s">
        <v>252</v>
      </c>
      <c r="O797">
        <v>439200</v>
      </c>
    </row>
    <row r="798" spans="1:15" x14ac:dyDescent="0.4">
      <c r="A798" t="s">
        <v>1487</v>
      </c>
      <c r="B798">
        <v>60</v>
      </c>
      <c r="C798" t="s">
        <v>3</v>
      </c>
      <c r="D798">
        <v>31</v>
      </c>
      <c r="E798" t="s">
        <v>447</v>
      </c>
      <c r="F798">
        <v>1543</v>
      </c>
      <c r="G798" t="s">
        <v>1183</v>
      </c>
      <c r="I798">
        <v>10003222</v>
      </c>
      <c r="J798" t="s">
        <v>2227</v>
      </c>
      <c r="K798">
        <v>800157</v>
      </c>
      <c r="L798">
        <v>1</v>
      </c>
      <c r="M798" t="s">
        <v>1523</v>
      </c>
      <c r="N798" t="s">
        <v>312</v>
      </c>
      <c r="O798">
        <v>800000</v>
      </c>
    </row>
    <row r="799" spans="1:15" x14ac:dyDescent="0.4">
      <c r="A799" t="s">
        <v>196</v>
      </c>
      <c r="B799">
        <v>60</v>
      </c>
      <c r="C799" t="s">
        <v>3</v>
      </c>
      <c r="D799">
        <v>33</v>
      </c>
      <c r="E799" t="s">
        <v>451</v>
      </c>
      <c r="F799">
        <v>1372</v>
      </c>
      <c r="G799" t="s">
        <v>992</v>
      </c>
      <c r="I799">
        <v>10003224</v>
      </c>
      <c r="J799" t="s">
        <v>2227</v>
      </c>
      <c r="K799">
        <v>800157</v>
      </c>
      <c r="L799">
        <v>1</v>
      </c>
      <c r="M799" t="s">
        <v>186</v>
      </c>
      <c r="N799" t="s">
        <v>199</v>
      </c>
      <c r="O799">
        <v>880000</v>
      </c>
    </row>
    <row r="800" spans="1:15" x14ac:dyDescent="0.4">
      <c r="A800" t="s">
        <v>1589</v>
      </c>
      <c r="B800">
        <v>80</v>
      </c>
      <c r="C800" t="s">
        <v>4</v>
      </c>
      <c r="D800">
        <v>81</v>
      </c>
      <c r="E800" t="s">
        <v>550</v>
      </c>
      <c r="F800">
        <v>1154</v>
      </c>
      <c r="G800" t="s">
        <v>1044</v>
      </c>
      <c r="I800">
        <v>10003242</v>
      </c>
      <c r="J800" t="s">
        <v>2228</v>
      </c>
      <c r="K800">
        <v>800157</v>
      </c>
      <c r="L800">
        <v>1</v>
      </c>
      <c r="M800" t="s">
        <v>1594</v>
      </c>
      <c r="N800" t="s">
        <v>292</v>
      </c>
      <c r="O800">
        <v>809600</v>
      </c>
    </row>
    <row r="801" spans="1:15" x14ac:dyDescent="0.4">
      <c r="A801" t="s">
        <v>1594</v>
      </c>
      <c r="B801">
        <v>60</v>
      </c>
      <c r="C801" t="s">
        <v>3</v>
      </c>
      <c r="D801">
        <v>31</v>
      </c>
      <c r="E801" t="s">
        <v>447</v>
      </c>
      <c r="F801">
        <v>1543</v>
      </c>
      <c r="G801" t="s">
        <v>1183</v>
      </c>
      <c r="I801">
        <v>10003253</v>
      </c>
      <c r="J801" t="s">
        <v>2229</v>
      </c>
      <c r="K801">
        <v>800159</v>
      </c>
      <c r="L801">
        <v>1</v>
      </c>
      <c r="M801" t="s">
        <v>1596</v>
      </c>
      <c r="N801" t="s">
        <v>254</v>
      </c>
      <c r="O801">
        <v>1330800</v>
      </c>
    </row>
    <row r="802" spans="1:15" x14ac:dyDescent="0.4">
      <c r="A802" t="s">
        <v>220</v>
      </c>
      <c r="B802">
        <v>75</v>
      </c>
      <c r="C802" t="s">
        <v>5</v>
      </c>
      <c r="D802">
        <v>51</v>
      </c>
      <c r="E802" t="s">
        <v>657</v>
      </c>
      <c r="F802">
        <v>1435</v>
      </c>
      <c r="G802" t="s">
        <v>860</v>
      </c>
      <c r="I802">
        <v>10012755</v>
      </c>
      <c r="J802" t="s">
        <v>2230</v>
      </c>
      <c r="K802">
        <v>800159</v>
      </c>
      <c r="L802">
        <v>1</v>
      </c>
      <c r="M802" t="s">
        <v>203</v>
      </c>
      <c r="N802" t="s">
        <v>208</v>
      </c>
      <c r="O802">
        <v>1417200</v>
      </c>
    </row>
    <row r="803" spans="1:15" x14ac:dyDescent="0.4">
      <c r="A803" t="s">
        <v>221</v>
      </c>
      <c r="B803">
        <v>75</v>
      </c>
      <c r="C803" t="s">
        <v>5</v>
      </c>
      <c r="D803">
        <v>51</v>
      </c>
      <c r="E803" t="s">
        <v>657</v>
      </c>
      <c r="F803">
        <v>1435</v>
      </c>
      <c r="G803" t="s">
        <v>860</v>
      </c>
      <c r="I803">
        <v>10003294</v>
      </c>
      <c r="J803" t="s">
        <v>2231</v>
      </c>
      <c r="K803">
        <v>800159</v>
      </c>
      <c r="L803">
        <v>1</v>
      </c>
      <c r="M803" t="s">
        <v>204</v>
      </c>
      <c r="O803">
        <v>1320000</v>
      </c>
    </row>
    <row r="804" spans="1:15" x14ac:dyDescent="0.4">
      <c r="A804" t="s">
        <v>230</v>
      </c>
      <c r="B804">
        <v>60</v>
      </c>
      <c r="C804" t="s">
        <v>3</v>
      </c>
      <c r="D804">
        <v>33</v>
      </c>
      <c r="E804" t="s">
        <v>451</v>
      </c>
      <c r="F804">
        <v>1505</v>
      </c>
      <c r="G804" t="s">
        <v>900</v>
      </c>
      <c r="I804">
        <v>20010056</v>
      </c>
      <c r="J804" t="s">
        <v>2232</v>
      </c>
      <c r="K804">
        <v>800157</v>
      </c>
      <c r="L804">
        <v>1</v>
      </c>
      <c r="M804" t="s">
        <v>242</v>
      </c>
      <c r="N804" t="s">
        <v>245</v>
      </c>
      <c r="O804">
        <v>819200</v>
      </c>
    </row>
    <row r="805" spans="1:15" x14ac:dyDescent="0.4">
      <c r="A805" t="s">
        <v>275</v>
      </c>
      <c r="B805">
        <v>80</v>
      </c>
      <c r="C805" t="s">
        <v>4</v>
      </c>
      <c r="D805">
        <v>81</v>
      </c>
      <c r="E805" t="s">
        <v>550</v>
      </c>
      <c r="F805">
        <v>1322</v>
      </c>
      <c r="G805" t="s">
        <v>961</v>
      </c>
      <c r="I805">
        <v>10003299</v>
      </c>
      <c r="J805" t="s">
        <v>721</v>
      </c>
      <c r="K805">
        <v>800157</v>
      </c>
      <c r="L805">
        <v>1</v>
      </c>
      <c r="M805" t="s">
        <v>281</v>
      </c>
      <c r="N805" t="s">
        <v>244</v>
      </c>
      <c r="O805">
        <v>787200</v>
      </c>
    </row>
    <row r="806" spans="1:15" x14ac:dyDescent="0.4">
      <c r="A806" t="s">
        <v>195</v>
      </c>
      <c r="B806">
        <v>76</v>
      </c>
      <c r="C806" t="s">
        <v>6</v>
      </c>
      <c r="D806">
        <v>61</v>
      </c>
      <c r="E806" t="s">
        <v>703</v>
      </c>
      <c r="F806">
        <v>1602</v>
      </c>
      <c r="G806" t="s">
        <v>1013</v>
      </c>
      <c r="I806">
        <v>10003303</v>
      </c>
      <c r="J806" t="s">
        <v>721</v>
      </c>
      <c r="K806">
        <v>800159</v>
      </c>
      <c r="L806">
        <v>1</v>
      </c>
      <c r="M806" t="s">
        <v>185</v>
      </c>
      <c r="N806" t="s">
        <v>190</v>
      </c>
      <c r="O806">
        <v>1363200</v>
      </c>
    </row>
    <row r="807" spans="1:15" x14ac:dyDescent="0.4">
      <c r="A807" t="s">
        <v>1596</v>
      </c>
      <c r="B807">
        <v>60</v>
      </c>
      <c r="C807" t="s">
        <v>3</v>
      </c>
      <c r="D807">
        <v>31</v>
      </c>
      <c r="E807" t="s">
        <v>447</v>
      </c>
      <c r="F807">
        <v>1299</v>
      </c>
      <c r="G807" t="s">
        <v>947</v>
      </c>
      <c r="I807">
        <v>10003309</v>
      </c>
      <c r="J807" t="s">
        <v>2233</v>
      </c>
      <c r="K807">
        <v>800159</v>
      </c>
      <c r="L807">
        <v>1</v>
      </c>
      <c r="M807" t="s">
        <v>268</v>
      </c>
      <c r="N807" t="s">
        <v>214</v>
      </c>
      <c r="O807">
        <v>834000</v>
      </c>
    </row>
    <row r="808" spans="1:15" x14ac:dyDescent="0.4">
      <c r="A808" t="s">
        <v>1586</v>
      </c>
      <c r="B808">
        <v>50</v>
      </c>
      <c r="C808" t="s">
        <v>1</v>
      </c>
      <c r="D808">
        <v>21</v>
      </c>
      <c r="E808" t="s">
        <v>182</v>
      </c>
      <c r="F808">
        <v>1264</v>
      </c>
      <c r="G808" t="s">
        <v>1023</v>
      </c>
      <c r="I808">
        <v>10003325</v>
      </c>
      <c r="J808" t="s">
        <v>2234</v>
      </c>
      <c r="K808">
        <v>800157</v>
      </c>
      <c r="L808">
        <v>1</v>
      </c>
      <c r="M808" t="s">
        <v>1589</v>
      </c>
      <c r="N808" t="s">
        <v>205</v>
      </c>
      <c r="O808">
        <v>828800</v>
      </c>
    </row>
    <row r="809" spans="1:15" x14ac:dyDescent="0.4">
      <c r="A809" t="s">
        <v>268</v>
      </c>
      <c r="B809">
        <v>70</v>
      </c>
      <c r="C809" t="s">
        <v>2</v>
      </c>
      <c r="D809">
        <v>41</v>
      </c>
      <c r="E809" t="s">
        <v>306</v>
      </c>
      <c r="F809">
        <v>1510</v>
      </c>
      <c r="G809" t="s">
        <v>870</v>
      </c>
      <c r="I809">
        <v>10003377</v>
      </c>
      <c r="J809" t="s">
        <v>2235</v>
      </c>
      <c r="K809">
        <v>800159</v>
      </c>
      <c r="L809">
        <v>1</v>
      </c>
      <c r="M809" t="s">
        <v>195</v>
      </c>
      <c r="N809" t="s">
        <v>200</v>
      </c>
      <c r="O809">
        <v>1320000</v>
      </c>
    </row>
    <row r="810" spans="1:15" x14ac:dyDescent="0.4">
      <c r="A810" t="s">
        <v>258</v>
      </c>
      <c r="B810">
        <v>50</v>
      </c>
      <c r="C810" t="s">
        <v>1</v>
      </c>
      <c r="D810">
        <v>21</v>
      </c>
      <c r="E810" t="s">
        <v>182</v>
      </c>
      <c r="F810">
        <v>1264</v>
      </c>
      <c r="G810" t="s">
        <v>1023</v>
      </c>
      <c r="I810">
        <v>10003380</v>
      </c>
      <c r="J810" t="s">
        <v>2236</v>
      </c>
      <c r="K810">
        <v>800157</v>
      </c>
      <c r="L810">
        <v>1</v>
      </c>
      <c r="M810" t="s">
        <v>221</v>
      </c>
      <c r="N810" t="s">
        <v>329</v>
      </c>
      <c r="O810">
        <v>784000</v>
      </c>
    </row>
    <row r="811" spans="1:15" x14ac:dyDescent="0.4">
      <c r="A811" t="s">
        <v>185</v>
      </c>
      <c r="B811">
        <v>60</v>
      </c>
      <c r="C811" t="s">
        <v>3</v>
      </c>
      <c r="D811">
        <v>31</v>
      </c>
      <c r="E811" t="s">
        <v>447</v>
      </c>
      <c r="F811">
        <v>1367</v>
      </c>
      <c r="G811" t="s">
        <v>977</v>
      </c>
      <c r="I811">
        <v>10003387</v>
      </c>
      <c r="J811" t="s">
        <v>2237</v>
      </c>
      <c r="K811">
        <v>800159</v>
      </c>
      <c r="L811">
        <v>1</v>
      </c>
      <c r="M811" t="s">
        <v>275</v>
      </c>
      <c r="N811" t="s">
        <v>234</v>
      </c>
      <c r="O811">
        <v>1260000</v>
      </c>
    </row>
    <row r="812" spans="1:15" x14ac:dyDescent="0.4">
      <c r="A812" t="s">
        <v>250</v>
      </c>
      <c r="B812">
        <v>50</v>
      </c>
      <c r="C812" t="s">
        <v>1</v>
      </c>
      <c r="D812">
        <v>11</v>
      </c>
      <c r="E812" t="s">
        <v>192</v>
      </c>
      <c r="F812">
        <v>1353</v>
      </c>
      <c r="G812" t="s">
        <v>1017</v>
      </c>
      <c r="I812">
        <v>10003394</v>
      </c>
      <c r="J812" t="s">
        <v>2238</v>
      </c>
      <c r="K812">
        <v>800157</v>
      </c>
      <c r="L812">
        <v>1</v>
      </c>
      <c r="M812" t="s">
        <v>196</v>
      </c>
      <c r="N812" t="s">
        <v>213</v>
      </c>
      <c r="O812">
        <v>777600</v>
      </c>
    </row>
    <row r="813" spans="1:15" x14ac:dyDescent="0.4">
      <c r="A813" t="s">
        <v>290</v>
      </c>
      <c r="B813">
        <v>70</v>
      </c>
      <c r="C813" t="s">
        <v>2</v>
      </c>
      <c r="D813">
        <v>41</v>
      </c>
      <c r="E813" t="s">
        <v>306</v>
      </c>
      <c r="F813">
        <v>1552</v>
      </c>
      <c r="G813" t="s">
        <v>929</v>
      </c>
      <c r="I813">
        <v>10003399</v>
      </c>
      <c r="J813" t="s">
        <v>2239</v>
      </c>
      <c r="K813">
        <v>800159</v>
      </c>
      <c r="L813">
        <v>1</v>
      </c>
      <c r="M813" t="s">
        <v>250</v>
      </c>
      <c r="N813" t="s">
        <v>255</v>
      </c>
      <c r="O813">
        <v>1460400</v>
      </c>
    </row>
    <row r="814" spans="1:15" x14ac:dyDescent="0.4">
      <c r="A814" t="s">
        <v>376</v>
      </c>
      <c r="B814">
        <v>70</v>
      </c>
      <c r="C814" t="s">
        <v>2</v>
      </c>
      <c r="D814">
        <v>41</v>
      </c>
      <c r="E814" t="s">
        <v>306</v>
      </c>
      <c r="F814">
        <v>1561</v>
      </c>
      <c r="G814" t="s">
        <v>1070</v>
      </c>
      <c r="I814">
        <v>20003221</v>
      </c>
      <c r="J814" t="s">
        <v>2240</v>
      </c>
      <c r="K814">
        <v>800157</v>
      </c>
      <c r="L814">
        <v>1</v>
      </c>
      <c r="M814" t="s">
        <v>353</v>
      </c>
      <c r="N814" t="s">
        <v>328</v>
      </c>
      <c r="O814">
        <v>784000</v>
      </c>
    </row>
    <row r="815" spans="1:15" x14ac:dyDescent="0.4">
      <c r="A815" t="s">
        <v>196</v>
      </c>
      <c r="B815">
        <v>60</v>
      </c>
      <c r="C815" t="s">
        <v>3</v>
      </c>
      <c r="D815">
        <v>31</v>
      </c>
      <c r="E815" t="s">
        <v>447</v>
      </c>
      <c r="F815">
        <v>1299</v>
      </c>
      <c r="G815" t="s">
        <v>947</v>
      </c>
      <c r="I815">
        <v>20008621</v>
      </c>
      <c r="J815" t="s">
        <v>2241</v>
      </c>
      <c r="K815">
        <v>800159</v>
      </c>
      <c r="L815">
        <v>1</v>
      </c>
      <c r="M815" t="s">
        <v>186</v>
      </c>
      <c r="N815" t="s">
        <v>302</v>
      </c>
      <c r="O815">
        <v>1320000</v>
      </c>
    </row>
    <row r="816" spans="1:15" x14ac:dyDescent="0.4">
      <c r="A816" t="s">
        <v>281</v>
      </c>
      <c r="B816">
        <v>50</v>
      </c>
      <c r="C816" t="s">
        <v>1</v>
      </c>
      <c r="D816">
        <v>21</v>
      </c>
      <c r="E816" t="s">
        <v>182</v>
      </c>
      <c r="F816">
        <v>1166</v>
      </c>
      <c r="G816" t="s">
        <v>1082</v>
      </c>
      <c r="I816">
        <v>10003447</v>
      </c>
      <c r="J816" t="s">
        <v>2242</v>
      </c>
      <c r="K816">
        <v>800159</v>
      </c>
      <c r="L816">
        <v>1</v>
      </c>
      <c r="M816" t="s">
        <v>363</v>
      </c>
      <c r="N816" t="s">
        <v>315</v>
      </c>
      <c r="O816">
        <v>1325400</v>
      </c>
    </row>
    <row r="817" spans="1:15" x14ac:dyDescent="0.4">
      <c r="A817" t="s">
        <v>1548</v>
      </c>
      <c r="B817">
        <v>75</v>
      </c>
      <c r="C817" t="s">
        <v>5</v>
      </c>
      <c r="D817">
        <v>51</v>
      </c>
      <c r="E817" t="s">
        <v>657</v>
      </c>
      <c r="F817">
        <v>1435</v>
      </c>
      <c r="G817" t="s">
        <v>860</v>
      </c>
      <c r="I817">
        <v>10003455</v>
      </c>
      <c r="J817" t="s">
        <v>2243</v>
      </c>
      <c r="K817">
        <v>800157</v>
      </c>
      <c r="L817">
        <v>1</v>
      </c>
      <c r="M817" t="s">
        <v>1586</v>
      </c>
      <c r="N817" t="s">
        <v>222</v>
      </c>
      <c r="O817">
        <v>812800</v>
      </c>
    </row>
    <row r="818" spans="1:15" x14ac:dyDescent="0.4">
      <c r="A818" t="s">
        <v>1475</v>
      </c>
      <c r="B818">
        <v>76</v>
      </c>
      <c r="C818" t="s">
        <v>6</v>
      </c>
      <c r="D818">
        <v>61</v>
      </c>
      <c r="E818" t="s">
        <v>703</v>
      </c>
      <c r="F818">
        <v>1468</v>
      </c>
      <c r="G818" t="s">
        <v>914</v>
      </c>
      <c r="I818">
        <v>10003464</v>
      </c>
      <c r="J818" t="s">
        <v>2244</v>
      </c>
      <c r="K818">
        <v>800155</v>
      </c>
      <c r="L818">
        <v>1</v>
      </c>
      <c r="M818" t="s">
        <v>1479</v>
      </c>
      <c r="N818" t="s">
        <v>185</v>
      </c>
      <c r="O818">
        <v>176400</v>
      </c>
    </row>
    <row r="819" spans="1:15" x14ac:dyDescent="0.4">
      <c r="A819" t="s">
        <v>238</v>
      </c>
      <c r="B819">
        <v>76</v>
      </c>
      <c r="C819" t="s">
        <v>6</v>
      </c>
      <c r="D819">
        <v>61</v>
      </c>
      <c r="E819" t="s">
        <v>703</v>
      </c>
      <c r="F819">
        <v>1468</v>
      </c>
      <c r="G819" t="s">
        <v>914</v>
      </c>
      <c r="I819">
        <v>10003464</v>
      </c>
      <c r="J819" t="s">
        <v>2244</v>
      </c>
      <c r="K819">
        <v>800155</v>
      </c>
      <c r="L819">
        <v>1</v>
      </c>
      <c r="M819" t="s">
        <v>230</v>
      </c>
      <c r="N819" t="s">
        <v>231</v>
      </c>
      <c r="O819">
        <v>176400</v>
      </c>
    </row>
    <row r="820" spans="1:15" x14ac:dyDescent="0.4">
      <c r="A820" t="s">
        <v>1548</v>
      </c>
      <c r="B820">
        <v>80</v>
      </c>
      <c r="C820" t="s">
        <v>4</v>
      </c>
      <c r="D820">
        <v>71</v>
      </c>
      <c r="E820" t="s">
        <v>556</v>
      </c>
      <c r="F820">
        <v>1296</v>
      </c>
      <c r="G820" t="s">
        <v>964</v>
      </c>
      <c r="I820">
        <v>20003503</v>
      </c>
      <c r="J820" t="s">
        <v>2245</v>
      </c>
      <c r="K820">
        <v>800157</v>
      </c>
      <c r="L820">
        <v>1</v>
      </c>
      <c r="M820" t="s">
        <v>1586</v>
      </c>
      <c r="N820" t="s">
        <v>222</v>
      </c>
      <c r="O820">
        <v>784000</v>
      </c>
    </row>
    <row r="821" spans="1:15" x14ac:dyDescent="0.4">
      <c r="A821" t="s">
        <v>1586</v>
      </c>
      <c r="B821">
        <v>80</v>
      </c>
      <c r="C821" t="s">
        <v>4</v>
      </c>
      <c r="D821">
        <v>81</v>
      </c>
      <c r="E821" t="s">
        <v>550</v>
      </c>
      <c r="F821">
        <v>1154</v>
      </c>
      <c r="G821" t="s">
        <v>1044</v>
      </c>
      <c r="I821">
        <v>10000157</v>
      </c>
      <c r="J821" t="s">
        <v>2246</v>
      </c>
      <c r="K821">
        <v>800159</v>
      </c>
      <c r="L821">
        <v>1</v>
      </c>
      <c r="M821" t="s">
        <v>1589</v>
      </c>
      <c r="N821" t="s">
        <v>207</v>
      </c>
      <c r="O821">
        <v>1417200</v>
      </c>
    </row>
    <row r="822" spans="1:15" x14ac:dyDescent="0.4">
      <c r="A822" t="s">
        <v>1523</v>
      </c>
      <c r="B822">
        <v>60</v>
      </c>
      <c r="C822" t="s">
        <v>3</v>
      </c>
      <c r="D822">
        <v>33</v>
      </c>
      <c r="E822" t="s">
        <v>451</v>
      </c>
      <c r="F822">
        <v>1220</v>
      </c>
      <c r="G822" t="s">
        <v>1343</v>
      </c>
      <c r="I822">
        <v>10000161</v>
      </c>
      <c r="J822" t="s">
        <v>2247</v>
      </c>
      <c r="K822">
        <v>800159</v>
      </c>
      <c r="L822">
        <v>1</v>
      </c>
      <c r="M822" t="s">
        <v>1587</v>
      </c>
      <c r="N822" t="s">
        <v>261</v>
      </c>
      <c r="O822">
        <v>1606200</v>
      </c>
    </row>
    <row r="823" spans="1:15" x14ac:dyDescent="0.4">
      <c r="A823" t="s">
        <v>1479</v>
      </c>
      <c r="B823">
        <v>60</v>
      </c>
      <c r="C823" t="s">
        <v>3</v>
      </c>
      <c r="D823">
        <v>31</v>
      </c>
      <c r="E823" t="s">
        <v>447</v>
      </c>
      <c r="F823">
        <v>1299</v>
      </c>
      <c r="G823" t="s">
        <v>947</v>
      </c>
      <c r="I823">
        <v>10000162</v>
      </c>
      <c r="J823" t="s">
        <v>2248</v>
      </c>
      <c r="K823">
        <v>800157</v>
      </c>
      <c r="L823">
        <v>1</v>
      </c>
      <c r="M823" t="s">
        <v>1487</v>
      </c>
      <c r="N823" t="s">
        <v>243</v>
      </c>
      <c r="O823">
        <v>790400</v>
      </c>
    </row>
    <row r="824" spans="1:15" x14ac:dyDescent="0.4">
      <c r="A824" t="s">
        <v>1594</v>
      </c>
      <c r="B824">
        <v>50</v>
      </c>
      <c r="C824" t="s">
        <v>1</v>
      </c>
      <c r="D824">
        <v>21</v>
      </c>
      <c r="E824" t="s">
        <v>182</v>
      </c>
      <c r="F824">
        <v>1166</v>
      </c>
      <c r="G824" t="s">
        <v>1082</v>
      </c>
      <c r="I824">
        <v>10000163</v>
      </c>
      <c r="J824" t="s">
        <v>2249</v>
      </c>
      <c r="K824">
        <v>800159</v>
      </c>
      <c r="L824">
        <v>1</v>
      </c>
      <c r="M824" t="s">
        <v>1596</v>
      </c>
      <c r="N824" t="s">
        <v>254</v>
      </c>
      <c r="O824">
        <v>1325400</v>
      </c>
    </row>
    <row r="825" spans="1:15" x14ac:dyDescent="0.4">
      <c r="A825" t="s">
        <v>203</v>
      </c>
      <c r="B825">
        <v>80</v>
      </c>
      <c r="C825" t="s">
        <v>4</v>
      </c>
      <c r="D825">
        <v>81</v>
      </c>
      <c r="E825" t="s">
        <v>550</v>
      </c>
      <c r="F825">
        <v>1436</v>
      </c>
      <c r="G825" t="s">
        <v>918</v>
      </c>
      <c r="I825">
        <v>10000167</v>
      </c>
      <c r="J825" t="s">
        <v>2250</v>
      </c>
      <c r="K825">
        <v>800157</v>
      </c>
      <c r="L825">
        <v>1</v>
      </c>
      <c r="M825" t="s">
        <v>290</v>
      </c>
      <c r="N825" t="s">
        <v>293</v>
      </c>
      <c r="O825">
        <v>784000</v>
      </c>
    </row>
    <row r="826" spans="1:15" x14ac:dyDescent="0.4">
      <c r="A826" t="s">
        <v>203</v>
      </c>
      <c r="B826">
        <v>75</v>
      </c>
      <c r="C826" t="s">
        <v>5</v>
      </c>
      <c r="D826">
        <v>51</v>
      </c>
      <c r="E826" t="s">
        <v>657</v>
      </c>
      <c r="F826">
        <v>1415</v>
      </c>
      <c r="G826" t="s">
        <v>1038</v>
      </c>
      <c r="I826">
        <v>10000173</v>
      </c>
      <c r="J826" t="s">
        <v>2250</v>
      </c>
      <c r="K826">
        <v>800157</v>
      </c>
      <c r="L826">
        <v>1</v>
      </c>
      <c r="M826" t="s">
        <v>290</v>
      </c>
      <c r="N826" t="s">
        <v>293</v>
      </c>
      <c r="O826">
        <v>832000</v>
      </c>
    </row>
    <row r="827" spans="1:15" x14ac:dyDescent="0.4">
      <c r="A827" t="s">
        <v>195</v>
      </c>
      <c r="B827">
        <v>50</v>
      </c>
      <c r="C827" t="s">
        <v>1</v>
      </c>
      <c r="D827">
        <v>21</v>
      </c>
      <c r="E827" t="s">
        <v>182</v>
      </c>
      <c r="F827">
        <v>1264</v>
      </c>
      <c r="G827" t="s">
        <v>1023</v>
      </c>
      <c r="I827">
        <v>10000177</v>
      </c>
      <c r="J827" t="s">
        <v>2250</v>
      </c>
      <c r="K827">
        <v>800159</v>
      </c>
      <c r="L827">
        <v>1</v>
      </c>
      <c r="M827" t="s">
        <v>185</v>
      </c>
      <c r="N827" t="s">
        <v>190</v>
      </c>
      <c r="O827">
        <v>1368000</v>
      </c>
    </row>
    <row r="828" spans="1:15" x14ac:dyDescent="0.4">
      <c r="A828" t="s">
        <v>275</v>
      </c>
      <c r="B828">
        <v>75</v>
      </c>
      <c r="C828" t="s">
        <v>5</v>
      </c>
      <c r="D828">
        <v>51</v>
      </c>
      <c r="E828" t="s">
        <v>657</v>
      </c>
      <c r="F828">
        <v>1365</v>
      </c>
      <c r="G828" t="s">
        <v>1148</v>
      </c>
      <c r="I828">
        <v>20007537</v>
      </c>
      <c r="J828" t="s">
        <v>2251</v>
      </c>
      <c r="K828">
        <v>800159</v>
      </c>
      <c r="L828">
        <v>1</v>
      </c>
      <c r="M828" t="s">
        <v>281</v>
      </c>
      <c r="N828" t="s">
        <v>246</v>
      </c>
      <c r="O828">
        <v>1438800</v>
      </c>
    </row>
    <row r="829" spans="1:15" x14ac:dyDescent="0.4">
      <c r="A829" t="s">
        <v>1479</v>
      </c>
      <c r="B829">
        <v>60</v>
      </c>
      <c r="C829" t="s">
        <v>3</v>
      </c>
      <c r="D829">
        <v>33</v>
      </c>
      <c r="E829" t="s">
        <v>451</v>
      </c>
      <c r="F829">
        <v>1220</v>
      </c>
      <c r="G829" t="s">
        <v>1343</v>
      </c>
      <c r="I829">
        <v>20007584</v>
      </c>
      <c r="J829" t="s">
        <v>2252</v>
      </c>
      <c r="K829">
        <v>800157</v>
      </c>
      <c r="L829">
        <v>1</v>
      </c>
      <c r="M829" t="s">
        <v>1487</v>
      </c>
      <c r="N829" t="s">
        <v>243</v>
      </c>
      <c r="O829">
        <v>867200</v>
      </c>
    </row>
    <row r="830" spans="1:15" x14ac:dyDescent="0.4">
      <c r="A830" t="s">
        <v>363</v>
      </c>
      <c r="B830">
        <v>50</v>
      </c>
      <c r="C830" t="s">
        <v>1</v>
      </c>
      <c r="D830">
        <v>21</v>
      </c>
      <c r="E830" t="s">
        <v>182</v>
      </c>
      <c r="F830">
        <v>1264</v>
      </c>
      <c r="G830" t="s">
        <v>1023</v>
      </c>
      <c r="I830">
        <v>10002970</v>
      </c>
      <c r="J830" t="s">
        <v>2253</v>
      </c>
      <c r="K830">
        <v>800157</v>
      </c>
      <c r="L830">
        <v>1</v>
      </c>
      <c r="M830" t="s">
        <v>376</v>
      </c>
      <c r="N830" t="s">
        <v>260</v>
      </c>
      <c r="O830">
        <v>790400</v>
      </c>
    </row>
    <row r="831" spans="1:15" x14ac:dyDescent="0.4">
      <c r="A831" t="s">
        <v>281</v>
      </c>
      <c r="B831">
        <v>50</v>
      </c>
      <c r="C831" t="s">
        <v>1</v>
      </c>
      <c r="D831">
        <v>21</v>
      </c>
      <c r="E831" t="s">
        <v>182</v>
      </c>
      <c r="F831">
        <v>1264</v>
      </c>
      <c r="G831" t="s">
        <v>1023</v>
      </c>
      <c r="I831">
        <v>10002978</v>
      </c>
      <c r="J831" t="s">
        <v>2254</v>
      </c>
      <c r="K831">
        <v>800159</v>
      </c>
      <c r="L831">
        <v>1</v>
      </c>
      <c r="M831" t="s">
        <v>363</v>
      </c>
      <c r="N831" t="s">
        <v>315</v>
      </c>
      <c r="O831">
        <v>1320000</v>
      </c>
    </row>
    <row r="832" spans="1:15" x14ac:dyDescent="0.4">
      <c r="A832" t="s">
        <v>275</v>
      </c>
      <c r="B832">
        <v>60</v>
      </c>
      <c r="C832" t="s">
        <v>3</v>
      </c>
      <c r="D832">
        <v>31</v>
      </c>
      <c r="E832" t="s">
        <v>447</v>
      </c>
      <c r="F832">
        <v>1543</v>
      </c>
      <c r="G832" t="s">
        <v>1183</v>
      </c>
      <c r="I832">
        <v>20009838</v>
      </c>
      <c r="J832" t="s">
        <v>2255</v>
      </c>
      <c r="K832">
        <v>800157</v>
      </c>
      <c r="L832">
        <v>1</v>
      </c>
      <c r="M832" t="s">
        <v>281</v>
      </c>
      <c r="N832" t="s">
        <v>244</v>
      </c>
      <c r="O832">
        <v>835200</v>
      </c>
    </row>
    <row r="833" spans="1:15" x14ac:dyDescent="0.4">
      <c r="A833" t="s">
        <v>1596</v>
      </c>
      <c r="B833">
        <v>50</v>
      </c>
      <c r="C833" t="s">
        <v>1</v>
      </c>
      <c r="D833">
        <v>21</v>
      </c>
      <c r="E833" t="s">
        <v>182</v>
      </c>
      <c r="F833">
        <v>1166</v>
      </c>
      <c r="G833" t="s">
        <v>1082</v>
      </c>
      <c r="I833">
        <v>10002990</v>
      </c>
      <c r="J833" t="s">
        <v>2256</v>
      </c>
      <c r="K833">
        <v>800159</v>
      </c>
      <c r="L833">
        <v>1</v>
      </c>
      <c r="M833" t="s">
        <v>268</v>
      </c>
      <c r="N833" t="s">
        <v>214</v>
      </c>
      <c r="O833">
        <v>1320000</v>
      </c>
    </row>
    <row r="834" spans="1:15" x14ac:dyDescent="0.4">
      <c r="A834" t="s">
        <v>1487</v>
      </c>
      <c r="B834">
        <v>76</v>
      </c>
      <c r="C834" t="s">
        <v>6</v>
      </c>
      <c r="D834">
        <v>61</v>
      </c>
      <c r="E834" t="s">
        <v>703</v>
      </c>
      <c r="F834">
        <v>1468</v>
      </c>
      <c r="G834" t="s">
        <v>914</v>
      </c>
      <c r="I834">
        <v>10002991</v>
      </c>
      <c r="J834" t="s">
        <v>2257</v>
      </c>
      <c r="K834">
        <v>800157</v>
      </c>
      <c r="L834">
        <v>1</v>
      </c>
      <c r="M834" t="s">
        <v>1523</v>
      </c>
      <c r="N834" t="s">
        <v>312</v>
      </c>
      <c r="O834">
        <v>784000</v>
      </c>
    </row>
    <row r="835" spans="1:15" x14ac:dyDescent="0.4">
      <c r="A835" t="s">
        <v>290</v>
      </c>
      <c r="B835">
        <v>75</v>
      </c>
      <c r="C835" t="s">
        <v>5</v>
      </c>
      <c r="D835">
        <v>51</v>
      </c>
      <c r="E835" t="s">
        <v>657</v>
      </c>
      <c r="F835">
        <v>1365</v>
      </c>
      <c r="G835" t="s">
        <v>1148</v>
      </c>
      <c r="I835">
        <v>10002995</v>
      </c>
      <c r="J835" t="s">
        <v>2258</v>
      </c>
      <c r="K835">
        <v>800159</v>
      </c>
      <c r="L835">
        <v>1</v>
      </c>
      <c r="M835" t="s">
        <v>250</v>
      </c>
      <c r="N835" t="s">
        <v>255</v>
      </c>
      <c r="O835">
        <v>1444200</v>
      </c>
    </row>
    <row r="836" spans="1:15" x14ac:dyDescent="0.4">
      <c r="A836" t="s">
        <v>1469</v>
      </c>
      <c r="B836">
        <v>50</v>
      </c>
      <c r="C836" t="s">
        <v>1</v>
      </c>
      <c r="D836">
        <v>21</v>
      </c>
      <c r="E836" t="s">
        <v>182</v>
      </c>
      <c r="F836">
        <v>1345</v>
      </c>
      <c r="G836" t="s">
        <v>874</v>
      </c>
      <c r="I836">
        <v>10002998</v>
      </c>
      <c r="J836" t="s">
        <v>1703</v>
      </c>
      <c r="K836">
        <v>800157</v>
      </c>
      <c r="L836">
        <v>1</v>
      </c>
      <c r="M836" t="s">
        <v>1475</v>
      </c>
      <c r="N836" t="s">
        <v>187</v>
      </c>
      <c r="O836">
        <v>806400</v>
      </c>
    </row>
    <row r="837" spans="1:15" x14ac:dyDescent="0.4">
      <c r="A837" t="s">
        <v>203</v>
      </c>
      <c r="B837">
        <v>75</v>
      </c>
      <c r="C837" t="s">
        <v>5</v>
      </c>
      <c r="D837">
        <v>51</v>
      </c>
      <c r="E837" t="s">
        <v>657</v>
      </c>
      <c r="F837">
        <v>1365</v>
      </c>
      <c r="G837" t="s">
        <v>1148</v>
      </c>
      <c r="I837">
        <v>10003041</v>
      </c>
      <c r="J837" t="s">
        <v>2259</v>
      </c>
      <c r="K837">
        <v>800159</v>
      </c>
      <c r="L837">
        <v>1</v>
      </c>
      <c r="M837" t="s">
        <v>290</v>
      </c>
      <c r="N837" t="s">
        <v>295</v>
      </c>
      <c r="O837">
        <v>1492800</v>
      </c>
    </row>
    <row r="838" spans="1:15" x14ac:dyDescent="0.4">
      <c r="A838" t="s">
        <v>1594</v>
      </c>
      <c r="B838">
        <v>70</v>
      </c>
      <c r="C838" t="s">
        <v>2</v>
      </c>
      <c r="D838">
        <v>41</v>
      </c>
      <c r="E838" t="s">
        <v>306</v>
      </c>
      <c r="F838">
        <v>1552</v>
      </c>
      <c r="G838" t="s">
        <v>929</v>
      </c>
      <c r="I838">
        <v>10003058</v>
      </c>
      <c r="J838" t="s">
        <v>2260</v>
      </c>
      <c r="K838">
        <v>800157</v>
      </c>
      <c r="L838">
        <v>1</v>
      </c>
      <c r="M838" t="s">
        <v>1596</v>
      </c>
      <c r="N838" t="s">
        <v>252</v>
      </c>
      <c r="O838">
        <v>612000</v>
      </c>
    </row>
    <row r="839" spans="1:15" x14ac:dyDescent="0.4">
      <c r="A839" t="s">
        <v>250</v>
      </c>
      <c r="B839">
        <v>70</v>
      </c>
      <c r="C839" t="s">
        <v>2</v>
      </c>
      <c r="D839">
        <v>41</v>
      </c>
      <c r="E839" t="s">
        <v>306</v>
      </c>
      <c r="F839">
        <v>1610</v>
      </c>
      <c r="G839" t="s">
        <v>1352</v>
      </c>
      <c r="I839">
        <v>10003061</v>
      </c>
      <c r="J839" t="s">
        <v>2261</v>
      </c>
      <c r="K839">
        <v>800159</v>
      </c>
      <c r="L839">
        <v>1</v>
      </c>
      <c r="M839" t="s">
        <v>196</v>
      </c>
      <c r="N839" t="s">
        <v>215</v>
      </c>
      <c r="O839">
        <v>1320000</v>
      </c>
    </row>
    <row r="840" spans="1:15" x14ac:dyDescent="0.4">
      <c r="A840" t="s">
        <v>268</v>
      </c>
      <c r="B840">
        <v>76</v>
      </c>
      <c r="C840" t="s">
        <v>6</v>
      </c>
      <c r="D840">
        <v>61</v>
      </c>
      <c r="E840" t="s">
        <v>703</v>
      </c>
      <c r="F840">
        <v>1389</v>
      </c>
      <c r="G840" t="s">
        <v>1197</v>
      </c>
      <c r="I840">
        <v>10011585</v>
      </c>
      <c r="J840" t="s">
        <v>2262</v>
      </c>
      <c r="K840">
        <v>800155</v>
      </c>
      <c r="L840">
        <v>1</v>
      </c>
      <c r="M840" t="s">
        <v>195</v>
      </c>
      <c r="N840" t="s">
        <v>196</v>
      </c>
      <c r="O840">
        <v>204000</v>
      </c>
    </row>
    <row r="841" spans="1:15" x14ac:dyDescent="0.4">
      <c r="A841" t="s">
        <v>196</v>
      </c>
      <c r="B841">
        <v>76</v>
      </c>
      <c r="C841" t="s">
        <v>6</v>
      </c>
      <c r="D841">
        <v>61</v>
      </c>
      <c r="E841" t="s">
        <v>703</v>
      </c>
      <c r="F841">
        <v>1389</v>
      </c>
      <c r="G841" t="s">
        <v>1197</v>
      </c>
      <c r="I841">
        <v>10011585</v>
      </c>
      <c r="J841" t="s">
        <v>2262</v>
      </c>
      <c r="K841">
        <v>800155</v>
      </c>
      <c r="L841">
        <v>1</v>
      </c>
      <c r="M841" t="s">
        <v>186</v>
      </c>
      <c r="N841" t="s">
        <v>197</v>
      </c>
      <c r="O841">
        <v>204000</v>
      </c>
    </row>
    <row r="842" spans="1:15" x14ac:dyDescent="0.4">
      <c r="A842" t="s">
        <v>1523</v>
      </c>
      <c r="B842">
        <v>75</v>
      </c>
      <c r="C842" t="s">
        <v>5</v>
      </c>
      <c r="D842">
        <v>51</v>
      </c>
      <c r="E842" t="s">
        <v>657</v>
      </c>
      <c r="F842">
        <v>1365</v>
      </c>
      <c r="G842" t="s">
        <v>1148</v>
      </c>
      <c r="I842">
        <v>10003073</v>
      </c>
      <c r="J842" t="s">
        <v>2263</v>
      </c>
      <c r="K842">
        <v>800157</v>
      </c>
      <c r="L842">
        <v>1</v>
      </c>
      <c r="M842" t="s">
        <v>1587</v>
      </c>
      <c r="N842" t="s">
        <v>259</v>
      </c>
      <c r="O842">
        <v>809600</v>
      </c>
    </row>
    <row r="843" spans="1:15" x14ac:dyDescent="0.4">
      <c r="A843" t="s">
        <v>353</v>
      </c>
      <c r="B843">
        <v>60</v>
      </c>
      <c r="C843" t="s">
        <v>3</v>
      </c>
      <c r="D843">
        <v>33</v>
      </c>
      <c r="E843" t="s">
        <v>451</v>
      </c>
      <c r="F843">
        <v>1372</v>
      </c>
      <c r="G843" t="s">
        <v>992</v>
      </c>
      <c r="I843">
        <v>10018920</v>
      </c>
      <c r="J843" t="s">
        <v>2264</v>
      </c>
      <c r="K843">
        <v>800159</v>
      </c>
      <c r="L843">
        <v>1</v>
      </c>
      <c r="M843" t="s">
        <v>220</v>
      </c>
      <c r="N843" t="s">
        <v>225</v>
      </c>
      <c r="O843">
        <v>1384800</v>
      </c>
    </row>
    <row r="844" spans="1:15" x14ac:dyDescent="0.4">
      <c r="A844" t="s">
        <v>250</v>
      </c>
      <c r="B844">
        <v>60</v>
      </c>
      <c r="C844" t="s">
        <v>3</v>
      </c>
      <c r="D844">
        <v>33</v>
      </c>
      <c r="E844" t="s">
        <v>451</v>
      </c>
      <c r="F844">
        <v>1273</v>
      </c>
      <c r="G844" t="s">
        <v>1084</v>
      </c>
      <c r="I844">
        <v>10003124</v>
      </c>
      <c r="J844" t="s">
        <v>2265</v>
      </c>
      <c r="K844">
        <v>800159</v>
      </c>
      <c r="L844">
        <v>1</v>
      </c>
      <c r="M844" t="s">
        <v>196</v>
      </c>
      <c r="N844" t="s">
        <v>215</v>
      </c>
      <c r="O844">
        <v>1449600</v>
      </c>
    </row>
    <row r="845" spans="1:15" x14ac:dyDescent="0.4">
      <c r="A845" t="s">
        <v>290</v>
      </c>
      <c r="B845">
        <v>60</v>
      </c>
      <c r="C845" t="s">
        <v>3</v>
      </c>
      <c r="D845">
        <v>33</v>
      </c>
      <c r="E845" t="s">
        <v>451</v>
      </c>
      <c r="F845">
        <v>1372</v>
      </c>
      <c r="G845" t="s">
        <v>992</v>
      </c>
      <c r="I845">
        <v>10028928</v>
      </c>
      <c r="J845" t="s">
        <v>2266</v>
      </c>
      <c r="K845">
        <v>800159</v>
      </c>
      <c r="L845">
        <v>1</v>
      </c>
      <c r="M845" t="s">
        <v>250</v>
      </c>
      <c r="N845" t="s">
        <v>255</v>
      </c>
      <c r="O845">
        <v>1347000</v>
      </c>
    </row>
    <row r="846" spans="1:15" x14ac:dyDescent="0.4">
      <c r="A846" t="s">
        <v>185</v>
      </c>
      <c r="B846">
        <v>76</v>
      </c>
      <c r="C846" t="s">
        <v>6</v>
      </c>
      <c r="D846">
        <v>61</v>
      </c>
      <c r="E846" t="s">
        <v>703</v>
      </c>
      <c r="F846">
        <v>1468</v>
      </c>
      <c r="G846" t="s">
        <v>914</v>
      </c>
      <c r="I846">
        <v>10003135</v>
      </c>
      <c r="J846" t="s">
        <v>2267</v>
      </c>
      <c r="K846">
        <v>800159</v>
      </c>
      <c r="L846">
        <v>1</v>
      </c>
      <c r="M846" t="s">
        <v>275</v>
      </c>
      <c r="N846" t="s">
        <v>234</v>
      </c>
      <c r="O846">
        <v>1379400</v>
      </c>
    </row>
    <row r="847" spans="1:15" x14ac:dyDescent="0.4">
      <c r="A847" t="s">
        <v>1479</v>
      </c>
      <c r="B847">
        <v>70</v>
      </c>
      <c r="C847" t="s">
        <v>2</v>
      </c>
      <c r="D847">
        <v>41</v>
      </c>
      <c r="E847" t="s">
        <v>306</v>
      </c>
      <c r="F847">
        <v>1510</v>
      </c>
      <c r="G847" t="s">
        <v>870</v>
      </c>
      <c r="I847">
        <v>10003143</v>
      </c>
      <c r="J847" t="s">
        <v>1877</v>
      </c>
      <c r="K847">
        <v>800157</v>
      </c>
      <c r="L847">
        <v>1</v>
      </c>
      <c r="M847" t="s">
        <v>1487</v>
      </c>
      <c r="N847" t="s">
        <v>243</v>
      </c>
      <c r="O847">
        <v>873600</v>
      </c>
    </row>
    <row r="848" spans="1:15" x14ac:dyDescent="0.4">
      <c r="A848" t="s">
        <v>1523</v>
      </c>
      <c r="B848">
        <v>70</v>
      </c>
      <c r="C848" t="s">
        <v>2</v>
      </c>
      <c r="D848">
        <v>41</v>
      </c>
      <c r="E848" t="s">
        <v>306</v>
      </c>
      <c r="F848">
        <v>1445</v>
      </c>
      <c r="G848" t="s">
        <v>886</v>
      </c>
      <c r="I848">
        <v>10003192</v>
      </c>
      <c r="J848" t="s">
        <v>2268</v>
      </c>
      <c r="K848">
        <v>800157</v>
      </c>
      <c r="L848">
        <v>1</v>
      </c>
      <c r="M848" t="s">
        <v>1587</v>
      </c>
      <c r="N848" t="s">
        <v>259</v>
      </c>
      <c r="O848">
        <v>787200</v>
      </c>
    </row>
    <row r="849" spans="1:15" x14ac:dyDescent="0.4">
      <c r="A849" t="s">
        <v>1589</v>
      </c>
      <c r="B849">
        <v>75</v>
      </c>
      <c r="C849" t="s">
        <v>5</v>
      </c>
      <c r="D849">
        <v>52</v>
      </c>
      <c r="E849" t="s">
        <v>665</v>
      </c>
      <c r="F849">
        <v>1403</v>
      </c>
      <c r="G849" t="s">
        <v>925</v>
      </c>
      <c r="I849">
        <v>10035825</v>
      </c>
      <c r="J849" t="s">
        <v>2269</v>
      </c>
      <c r="K849">
        <v>800157</v>
      </c>
      <c r="L849">
        <v>1</v>
      </c>
      <c r="M849" t="s">
        <v>1594</v>
      </c>
      <c r="N849" t="s">
        <v>292</v>
      </c>
      <c r="O849">
        <v>924800</v>
      </c>
    </row>
    <row r="850" spans="1:15" x14ac:dyDescent="0.4">
      <c r="A850" t="s">
        <v>1548</v>
      </c>
      <c r="B850">
        <v>80</v>
      </c>
      <c r="C850" t="s">
        <v>4</v>
      </c>
      <c r="D850">
        <v>81</v>
      </c>
      <c r="E850" t="s">
        <v>550</v>
      </c>
      <c r="F850">
        <v>1154</v>
      </c>
      <c r="G850" t="s">
        <v>1044</v>
      </c>
      <c r="I850">
        <v>10003210</v>
      </c>
      <c r="J850" t="s">
        <v>1977</v>
      </c>
      <c r="K850">
        <v>800157</v>
      </c>
      <c r="L850">
        <v>1</v>
      </c>
      <c r="M850" t="s">
        <v>1586</v>
      </c>
      <c r="N850" t="s">
        <v>222</v>
      </c>
      <c r="O850">
        <v>790400</v>
      </c>
    </row>
    <row r="851" spans="1:15" x14ac:dyDescent="0.4">
      <c r="A851" t="s">
        <v>275</v>
      </c>
      <c r="B851">
        <v>50</v>
      </c>
      <c r="C851" t="s">
        <v>1</v>
      </c>
      <c r="D851">
        <v>21</v>
      </c>
      <c r="E851" t="s">
        <v>182</v>
      </c>
      <c r="F851">
        <v>1166</v>
      </c>
      <c r="G851" t="s">
        <v>1082</v>
      </c>
      <c r="I851">
        <v>10078056</v>
      </c>
      <c r="J851" t="s">
        <v>2270</v>
      </c>
      <c r="K851">
        <v>800159</v>
      </c>
      <c r="L851">
        <v>1</v>
      </c>
      <c r="M851" t="s">
        <v>281</v>
      </c>
      <c r="N851" t="s">
        <v>246</v>
      </c>
      <c r="O851">
        <v>1320000</v>
      </c>
    </row>
    <row r="852" spans="1:15" x14ac:dyDescent="0.4">
      <c r="A852" t="s">
        <v>1475</v>
      </c>
      <c r="B852">
        <v>76</v>
      </c>
      <c r="C852" t="s">
        <v>6</v>
      </c>
      <c r="D852">
        <v>61</v>
      </c>
      <c r="E852" t="s">
        <v>703</v>
      </c>
      <c r="F852">
        <v>1389</v>
      </c>
      <c r="G852" t="s">
        <v>1197</v>
      </c>
      <c r="I852">
        <v>10003216</v>
      </c>
      <c r="J852" t="s">
        <v>2271</v>
      </c>
      <c r="K852">
        <v>800157</v>
      </c>
      <c r="L852">
        <v>1</v>
      </c>
      <c r="M852" t="s">
        <v>1479</v>
      </c>
      <c r="N852" t="s">
        <v>231</v>
      </c>
      <c r="O852">
        <v>972800</v>
      </c>
    </row>
    <row r="853" spans="1:15" x14ac:dyDescent="0.4">
      <c r="A853" t="s">
        <v>185</v>
      </c>
      <c r="B853">
        <v>76</v>
      </c>
      <c r="C853" t="s">
        <v>6</v>
      </c>
      <c r="D853">
        <v>61</v>
      </c>
      <c r="E853" t="s">
        <v>703</v>
      </c>
      <c r="F853">
        <v>1602</v>
      </c>
      <c r="G853" t="s">
        <v>1013</v>
      </c>
      <c r="I853">
        <v>20003134</v>
      </c>
      <c r="J853" t="s">
        <v>2272</v>
      </c>
      <c r="K853">
        <v>800159</v>
      </c>
      <c r="L853">
        <v>1</v>
      </c>
      <c r="M853" t="s">
        <v>275</v>
      </c>
      <c r="N853" t="s">
        <v>234</v>
      </c>
      <c r="O853">
        <v>1568400</v>
      </c>
    </row>
    <row r="854" spans="1:15" x14ac:dyDescent="0.4">
      <c r="A854" t="s">
        <v>275</v>
      </c>
      <c r="B854">
        <v>75</v>
      </c>
      <c r="C854" t="s">
        <v>5</v>
      </c>
      <c r="D854">
        <v>52</v>
      </c>
      <c r="E854" t="s">
        <v>665</v>
      </c>
      <c r="F854">
        <v>1403</v>
      </c>
      <c r="G854" t="s">
        <v>925</v>
      </c>
      <c r="I854">
        <v>10003274</v>
      </c>
      <c r="J854" t="s">
        <v>2273</v>
      </c>
      <c r="K854">
        <v>800157</v>
      </c>
      <c r="L854">
        <v>1</v>
      </c>
      <c r="M854" t="s">
        <v>281</v>
      </c>
      <c r="N854" t="s">
        <v>244</v>
      </c>
      <c r="O854">
        <v>787200</v>
      </c>
    </row>
    <row r="855" spans="1:15" x14ac:dyDescent="0.4">
      <c r="A855" t="s">
        <v>363</v>
      </c>
      <c r="B855">
        <v>75</v>
      </c>
      <c r="C855" t="s">
        <v>5</v>
      </c>
      <c r="D855">
        <v>51</v>
      </c>
      <c r="E855" t="s">
        <v>657</v>
      </c>
      <c r="F855">
        <v>1435</v>
      </c>
      <c r="G855" t="s">
        <v>860</v>
      </c>
      <c r="I855">
        <v>10003277</v>
      </c>
      <c r="J855" t="s">
        <v>2274</v>
      </c>
      <c r="K855">
        <v>800159</v>
      </c>
      <c r="L855">
        <v>1</v>
      </c>
      <c r="M855" t="s">
        <v>376</v>
      </c>
      <c r="N855" t="s">
        <v>262</v>
      </c>
      <c r="O855">
        <v>1308000</v>
      </c>
    </row>
    <row r="856" spans="1:15" x14ac:dyDescent="0.4">
      <c r="A856" t="s">
        <v>275</v>
      </c>
      <c r="B856">
        <v>70</v>
      </c>
      <c r="C856" t="s">
        <v>2</v>
      </c>
      <c r="D856">
        <v>41</v>
      </c>
      <c r="E856" t="s">
        <v>306</v>
      </c>
      <c r="F856">
        <v>1552</v>
      </c>
      <c r="G856" t="s">
        <v>929</v>
      </c>
      <c r="I856">
        <v>10003285</v>
      </c>
      <c r="J856" t="s">
        <v>2275</v>
      </c>
      <c r="K856">
        <v>800159</v>
      </c>
      <c r="L856">
        <v>1</v>
      </c>
      <c r="M856" t="s">
        <v>281</v>
      </c>
      <c r="N856" t="s">
        <v>246</v>
      </c>
      <c r="O856">
        <v>1525200</v>
      </c>
    </row>
    <row r="857" spans="1:15" x14ac:dyDescent="0.4">
      <c r="A857" t="s">
        <v>1479</v>
      </c>
      <c r="B857">
        <v>50</v>
      </c>
      <c r="C857" t="s">
        <v>1</v>
      </c>
      <c r="D857">
        <v>21</v>
      </c>
      <c r="E857" t="s">
        <v>182</v>
      </c>
      <c r="F857">
        <v>1166</v>
      </c>
      <c r="G857" t="s">
        <v>1082</v>
      </c>
      <c r="I857">
        <v>10003290</v>
      </c>
      <c r="J857" t="s">
        <v>2276</v>
      </c>
      <c r="K857">
        <v>800157</v>
      </c>
      <c r="L857">
        <v>1</v>
      </c>
      <c r="M857" t="s">
        <v>1487</v>
      </c>
      <c r="N857" t="s">
        <v>243</v>
      </c>
      <c r="O857">
        <v>819200</v>
      </c>
    </row>
    <row r="858" spans="1:15" x14ac:dyDescent="0.4">
      <c r="A858" t="s">
        <v>238</v>
      </c>
      <c r="B858">
        <v>60</v>
      </c>
      <c r="C858" t="s">
        <v>3</v>
      </c>
      <c r="D858">
        <v>33</v>
      </c>
      <c r="E858" t="s">
        <v>451</v>
      </c>
      <c r="F858">
        <v>1220</v>
      </c>
      <c r="G858" t="s">
        <v>1343</v>
      </c>
      <c r="I858">
        <v>10003328</v>
      </c>
      <c r="J858" t="s">
        <v>2277</v>
      </c>
      <c r="K858">
        <v>800159</v>
      </c>
      <c r="L858">
        <v>1</v>
      </c>
      <c r="M858" t="s">
        <v>230</v>
      </c>
      <c r="N858" t="s">
        <v>235</v>
      </c>
      <c r="O858">
        <v>1290000</v>
      </c>
    </row>
    <row r="859" spans="1:15" x14ac:dyDescent="0.4">
      <c r="A859" t="s">
        <v>1586</v>
      </c>
      <c r="B859">
        <v>50</v>
      </c>
      <c r="C859" t="s">
        <v>1</v>
      </c>
      <c r="D859">
        <v>21</v>
      </c>
      <c r="E859" t="s">
        <v>182</v>
      </c>
      <c r="F859">
        <v>1166</v>
      </c>
      <c r="G859" t="s">
        <v>1082</v>
      </c>
      <c r="I859">
        <v>10003338</v>
      </c>
      <c r="J859" t="s">
        <v>2278</v>
      </c>
      <c r="K859">
        <v>800157</v>
      </c>
      <c r="L859">
        <v>1</v>
      </c>
      <c r="M859" t="s">
        <v>1589</v>
      </c>
      <c r="N859" t="s">
        <v>205</v>
      </c>
      <c r="O859">
        <v>648000</v>
      </c>
    </row>
    <row r="860" spans="1:15" x14ac:dyDescent="0.4">
      <c r="A860" t="s">
        <v>1523</v>
      </c>
      <c r="B860">
        <v>75</v>
      </c>
      <c r="C860" t="s">
        <v>5</v>
      </c>
      <c r="D860">
        <v>51</v>
      </c>
      <c r="E860" t="s">
        <v>657</v>
      </c>
      <c r="F860">
        <v>1365</v>
      </c>
      <c r="G860" t="s">
        <v>1148</v>
      </c>
      <c r="I860">
        <v>10041911</v>
      </c>
      <c r="J860" t="s">
        <v>2279</v>
      </c>
      <c r="K860">
        <v>800157</v>
      </c>
      <c r="L860">
        <v>1</v>
      </c>
      <c r="M860" t="s">
        <v>1587</v>
      </c>
      <c r="N860" t="s">
        <v>259</v>
      </c>
      <c r="O860">
        <v>759600</v>
      </c>
    </row>
    <row r="861" spans="1:15" x14ac:dyDescent="0.4">
      <c r="A861" t="s">
        <v>1548</v>
      </c>
      <c r="B861">
        <v>80</v>
      </c>
      <c r="C861" t="s">
        <v>4</v>
      </c>
      <c r="D861">
        <v>71</v>
      </c>
      <c r="E861" t="s">
        <v>556</v>
      </c>
      <c r="F861">
        <v>1296</v>
      </c>
      <c r="G861" t="s">
        <v>964</v>
      </c>
      <c r="I861">
        <v>10006948</v>
      </c>
      <c r="J861" t="s">
        <v>2280</v>
      </c>
      <c r="K861">
        <v>800159</v>
      </c>
      <c r="L861">
        <v>1</v>
      </c>
      <c r="M861" t="s">
        <v>1586</v>
      </c>
      <c r="N861" t="s">
        <v>224</v>
      </c>
      <c r="O861">
        <v>1320000</v>
      </c>
    </row>
    <row r="862" spans="1:15" x14ac:dyDescent="0.4">
      <c r="A862" t="s">
        <v>196</v>
      </c>
      <c r="B862">
        <v>76</v>
      </c>
      <c r="C862" t="s">
        <v>6</v>
      </c>
      <c r="D862">
        <v>61</v>
      </c>
      <c r="E862" t="s">
        <v>703</v>
      </c>
      <c r="F862">
        <v>1389</v>
      </c>
      <c r="G862" t="s">
        <v>1197</v>
      </c>
      <c r="I862">
        <v>10003346</v>
      </c>
      <c r="J862" t="s">
        <v>2281</v>
      </c>
      <c r="K862">
        <v>800159</v>
      </c>
      <c r="L862">
        <v>1</v>
      </c>
      <c r="M862" t="s">
        <v>186</v>
      </c>
      <c r="N862" t="s">
        <v>302</v>
      </c>
      <c r="O862">
        <v>1325400</v>
      </c>
    </row>
    <row r="863" spans="1:15" x14ac:dyDescent="0.4">
      <c r="A863" t="s">
        <v>363</v>
      </c>
      <c r="B863">
        <v>76</v>
      </c>
      <c r="C863" t="s">
        <v>6</v>
      </c>
      <c r="D863">
        <v>61</v>
      </c>
      <c r="E863" t="s">
        <v>703</v>
      </c>
      <c r="F863">
        <v>1472</v>
      </c>
      <c r="G863" t="s">
        <v>998</v>
      </c>
      <c r="I863">
        <v>20007245</v>
      </c>
      <c r="J863" t="s">
        <v>2282</v>
      </c>
      <c r="K863">
        <v>800159</v>
      </c>
      <c r="L863">
        <v>1</v>
      </c>
      <c r="M863" t="s">
        <v>376</v>
      </c>
      <c r="N863" t="s">
        <v>262</v>
      </c>
      <c r="O863">
        <v>1568400</v>
      </c>
    </row>
    <row r="864" spans="1:15" x14ac:dyDescent="0.4">
      <c r="A864" t="s">
        <v>1469</v>
      </c>
      <c r="B864">
        <v>60</v>
      </c>
      <c r="C864" t="s">
        <v>3</v>
      </c>
      <c r="D864">
        <v>31</v>
      </c>
      <c r="E864" t="s">
        <v>447</v>
      </c>
      <c r="F864">
        <v>1299</v>
      </c>
      <c r="G864" t="s">
        <v>947</v>
      </c>
      <c r="I864">
        <v>10003357</v>
      </c>
      <c r="J864" t="s">
        <v>2283</v>
      </c>
      <c r="K864">
        <v>800157</v>
      </c>
      <c r="L864">
        <v>1</v>
      </c>
      <c r="M864" t="s">
        <v>1475</v>
      </c>
      <c r="N864" t="s">
        <v>187</v>
      </c>
      <c r="O864">
        <v>784000</v>
      </c>
    </row>
    <row r="865" spans="1:15" x14ac:dyDescent="0.4">
      <c r="A865" t="s">
        <v>281</v>
      </c>
      <c r="B865">
        <v>60</v>
      </c>
      <c r="C865" t="s">
        <v>3</v>
      </c>
      <c r="D865">
        <v>33</v>
      </c>
      <c r="E865" t="s">
        <v>451</v>
      </c>
      <c r="F865">
        <v>1220</v>
      </c>
      <c r="G865" t="s">
        <v>1343</v>
      </c>
      <c r="I865">
        <v>10003400</v>
      </c>
      <c r="J865" t="s">
        <v>2284</v>
      </c>
      <c r="K865">
        <v>800159</v>
      </c>
      <c r="L865">
        <v>1</v>
      </c>
      <c r="M865" t="s">
        <v>363</v>
      </c>
      <c r="N865" t="s">
        <v>315</v>
      </c>
      <c r="O865">
        <v>1460400</v>
      </c>
    </row>
    <row r="866" spans="1:15" x14ac:dyDescent="0.4">
      <c r="A866" t="s">
        <v>1479</v>
      </c>
      <c r="B866">
        <v>76</v>
      </c>
      <c r="C866" t="s">
        <v>6</v>
      </c>
      <c r="D866">
        <v>61</v>
      </c>
      <c r="E866" t="s">
        <v>703</v>
      </c>
      <c r="F866">
        <v>1389</v>
      </c>
      <c r="G866" t="s">
        <v>1197</v>
      </c>
      <c r="I866">
        <v>10003402</v>
      </c>
      <c r="J866" t="s">
        <v>2284</v>
      </c>
      <c r="K866">
        <v>800157</v>
      </c>
      <c r="L866">
        <v>1</v>
      </c>
      <c r="M866" t="s">
        <v>1487</v>
      </c>
      <c r="N866" t="s">
        <v>243</v>
      </c>
      <c r="O866">
        <v>912000</v>
      </c>
    </row>
    <row r="867" spans="1:15" x14ac:dyDescent="0.4">
      <c r="A867" t="s">
        <v>281</v>
      </c>
      <c r="B867">
        <v>76</v>
      </c>
      <c r="C867" t="s">
        <v>6</v>
      </c>
      <c r="D867">
        <v>61</v>
      </c>
      <c r="E867" t="s">
        <v>703</v>
      </c>
      <c r="F867">
        <v>1468</v>
      </c>
      <c r="G867" t="s">
        <v>914</v>
      </c>
      <c r="I867">
        <v>10041856</v>
      </c>
      <c r="J867" t="s">
        <v>2285</v>
      </c>
      <c r="K867">
        <v>800157</v>
      </c>
      <c r="L867">
        <v>1</v>
      </c>
      <c r="M867" t="s">
        <v>363</v>
      </c>
      <c r="N867" t="s">
        <v>313</v>
      </c>
      <c r="O867">
        <v>784000</v>
      </c>
    </row>
    <row r="868" spans="1:15" x14ac:dyDescent="0.4">
      <c r="A868" t="s">
        <v>1548</v>
      </c>
      <c r="B868">
        <v>70</v>
      </c>
      <c r="C868" t="s">
        <v>2</v>
      </c>
      <c r="D868">
        <v>41</v>
      </c>
      <c r="E868" t="s">
        <v>306</v>
      </c>
      <c r="F868">
        <v>1118</v>
      </c>
      <c r="G868" t="s">
        <v>1471</v>
      </c>
      <c r="I868">
        <v>20009280</v>
      </c>
      <c r="J868" t="s">
        <v>2286</v>
      </c>
      <c r="K868">
        <v>800157</v>
      </c>
      <c r="L868">
        <v>1</v>
      </c>
      <c r="M868" t="s">
        <v>1586</v>
      </c>
      <c r="N868" t="s">
        <v>222</v>
      </c>
      <c r="O868">
        <v>790400</v>
      </c>
    </row>
    <row r="869" spans="1:15" x14ac:dyDescent="0.4">
      <c r="A869" t="s">
        <v>268</v>
      </c>
      <c r="B869">
        <v>60</v>
      </c>
      <c r="C869" t="s">
        <v>3</v>
      </c>
      <c r="D869">
        <v>31</v>
      </c>
      <c r="E869" t="s">
        <v>447</v>
      </c>
      <c r="F869">
        <v>1367</v>
      </c>
      <c r="G869" t="s">
        <v>977</v>
      </c>
      <c r="I869">
        <v>10003427</v>
      </c>
      <c r="J869" t="s">
        <v>2287</v>
      </c>
      <c r="K869">
        <v>800159</v>
      </c>
      <c r="L869">
        <v>1</v>
      </c>
      <c r="M869" t="s">
        <v>195</v>
      </c>
      <c r="N869" t="s">
        <v>200</v>
      </c>
      <c r="O869">
        <v>852000</v>
      </c>
    </row>
    <row r="870" spans="1:15" x14ac:dyDescent="0.4">
      <c r="A870" t="s">
        <v>1589</v>
      </c>
      <c r="B870">
        <v>70</v>
      </c>
      <c r="C870" t="s">
        <v>2</v>
      </c>
      <c r="D870">
        <v>41</v>
      </c>
      <c r="E870" t="s">
        <v>306</v>
      </c>
      <c r="F870">
        <v>1610</v>
      </c>
      <c r="G870" t="s">
        <v>1352</v>
      </c>
      <c r="I870">
        <v>10003433</v>
      </c>
      <c r="J870" t="s">
        <v>2288</v>
      </c>
      <c r="K870">
        <v>800157</v>
      </c>
      <c r="L870">
        <v>1</v>
      </c>
      <c r="M870" t="s">
        <v>1594</v>
      </c>
      <c r="N870" t="s">
        <v>292</v>
      </c>
      <c r="O870">
        <v>800000</v>
      </c>
    </row>
    <row r="871" spans="1:15" x14ac:dyDescent="0.4">
      <c r="A871" t="s">
        <v>203</v>
      </c>
      <c r="B871">
        <v>60</v>
      </c>
      <c r="C871" t="s">
        <v>3</v>
      </c>
      <c r="D871">
        <v>31</v>
      </c>
      <c r="E871" t="s">
        <v>447</v>
      </c>
      <c r="F871">
        <v>1543</v>
      </c>
      <c r="G871" t="s">
        <v>1183</v>
      </c>
      <c r="I871">
        <v>10018207</v>
      </c>
      <c r="J871" t="s">
        <v>2289</v>
      </c>
      <c r="K871">
        <v>800157</v>
      </c>
      <c r="L871">
        <v>1</v>
      </c>
      <c r="M871" t="s">
        <v>290</v>
      </c>
      <c r="N871" t="s">
        <v>293</v>
      </c>
      <c r="O871">
        <v>784000</v>
      </c>
    </row>
    <row r="872" spans="1:15" x14ac:dyDescent="0.4">
      <c r="A872" t="s">
        <v>185</v>
      </c>
      <c r="B872">
        <v>60</v>
      </c>
      <c r="C872" t="s">
        <v>3</v>
      </c>
      <c r="D872">
        <v>31</v>
      </c>
      <c r="E872" t="s">
        <v>447</v>
      </c>
      <c r="F872">
        <v>1543</v>
      </c>
      <c r="G872" t="s">
        <v>1183</v>
      </c>
      <c r="I872">
        <v>10000194</v>
      </c>
      <c r="J872" t="s">
        <v>2290</v>
      </c>
      <c r="K872">
        <v>800157</v>
      </c>
      <c r="L872">
        <v>1</v>
      </c>
      <c r="M872" t="s">
        <v>275</v>
      </c>
      <c r="N872" t="s">
        <v>232</v>
      </c>
      <c r="O872">
        <v>784000</v>
      </c>
    </row>
    <row r="873" spans="1:15" x14ac:dyDescent="0.4">
      <c r="A873" t="s">
        <v>281</v>
      </c>
      <c r="B873">
        <v>80</v>
      </c>
      <c r="C873" t="s">
        <v>4</v>
      </c>
      <c r="D873">
        <v>81</v>
      </c>
      <c r="E873" t="s">
        <v>550</v>
      </c>
      <c r="F873">
        <v>1322</v>
      </c>
      <c r="G873" t="s">
        <v>961</v>
      </c>
      <c r="I873">
        <v>20009832</v>
      </c>
      <c r="J873" t="s">
        <v>2291</v>
      </c>
      <c r="K873">
        <v>800157</v>
      </c>
      <c r="L873">
        <v>1</v>
      </c>
      <c r="M873" t="s">
        <v>363</v>
      </c>
      <c r="N873" t="s">
        <v>313</v>
      </c>
      <c r="O873">
        <v>889600</v>
      </c>
    </row>
    <row r="874" spans="1:15" x14ac:dyDescent="0.4">
      <c r="A874" t="s">
        <v>1594</v>
      </c>
      <c r="B874">
        <v>76</v>
      </c>
      <c r="C874" t="s">
        <v>6</v>
      </c>
      <c r="D874">
        <v>61</v>
      </c>
      <c r="E874" t="s">
        <v>703</v>
      </c>
      <c r="F874">
        <v>1472</v>
      </c>
      <c r="G874" t="s">
        <v>998</v>
      </c>
      <c r="I874">
        <v>10000211</v>
      </c>
      <c r="J874" t="s">
        <v>2292</v>
      </c>
      <c r="K874">
        <v>800159</v>
      </c>
      <c r="L874">
        <v>1</v>
      </c>
      <c r="M874" t="s">
        <v>1596</v>
      </c>
      <c r="N874" t="s">
        <v>254</v>
      </c>
      <c r="O874">
        <v>1320000</v>
      </c>
    </row>
    <row r="875" spans="1:15" x14ac:dyDescent="0.4">
      <c r="A875" t="s">
        <v>220</v>
      </c>
      <c r="B875">
        <v>80</v>
      </c>
      <c r="C875" t="s">
        <v>4</v>
      </c>
      <c r="D875">
        <v>81</v>
      </c>
      <c r="E875" t="s">
        <v>550</v>
      </c>
      <c r="F875">
        <v>1322</v>
      </c>
      <c r="G875" t="s">
        <v>961</v>
      </c>
      <c r="I875">
        <v>10000214</v>
      </c>
      <c r="J875" t="s">
        <v>2293</v>
      </c>
      <c r="K875">
        <v>800157</v>
      </c>
      <c r="L875">
        <v>1</v>
      </c>
      <c r="M875" t="s">
        <v>203</v>
      </c>
      <c r="N875" t="s">
        <v>206</v>
      </c>
      <c r="O875">
        <v>838400</v>
      </c>
    </row>
    <row r="876" spans="1:15" x14ac:dyDescent="0.4">
      <c r="A876" t="s">
        <v>195</v>
      </c>
      <c r="B876">
        <v>60</v>
      </c>
      <c r="C876" t="s">
        <v>3</v>
      </c>
      <c r="D876">
        <v>33</v>
      </c>
      <c r="E876" t="s">
        <v>451</v>
      </c>
      <c r="F876">
        <v>1372</v>
      </c>
      <c r="G876" t="s">
        <v>992</v>
      </c>
      <c r="I876">
        <v>10052636</v>
      </c>
      <c r="J876" t="s">
        <v>2294</v>
      </c>
      <c r="K876">
        <v>800159</v>
      </c>
      <c r="L876">
        <v>1</v>
      </c>
      <c r="M876" t="s">
        <v>185</v>
      </c>
      <c r="N876" t="s">
        <v>190</v>
      </c>
      <c r="O876">
        <v>1320000</v>
      </c>
    </row>
    <row r="877" spans="1:15" x14ac:dyDescent="0.4">
      <c r="A877" t="s">
        <v>1523</v>
      </c>
      <c r="B877">
        <v>75</v>
      </c>
      <c r="C877" t="s">
        <v>5</v>
      </c>
      <c r="D877">
        <v>51</v>
      </c>
      <c r="E877" t="s">
        <v>657</v>
      </c>
      <c r="F877">
        <v>1365</v>
      </c>
      <c r="G877" t="s">
        <v>1148</v>
      </c>
      <c r="I877">
        <v>10002571</v>
      </c>
      <c r="J877" t="s">
        <v>2295</v>
      </c>
      <c r="K877">
        <v>800157</v>
      </c>
      <c r="L877">
        <v>1</v>
      </c>
      <c r="M877" t="s">
        <v>1587</v>
      </c>
      <c r="N877" t="s">
        <v>259</v>
      </c>
      <c r="O877">
        <v>784000</v>
      </c>
    </row>
    <row r="878" spans="1:15" x14ac:dyDescent="0.4">
      <c r="A878" t="s">
        <v>376</v>
      </c>
      <c r="B878">
        <v>70</v>
      </c>
      <c r="C878" t="s">
        <v>2</v>
      </c>
      <c r="D878">
        <v>41</v>
      </c>
      <c r="E878" t="s">
        <v>306</v>
      </c>
      <c r="F878">
        <v>1552</v>
      </c>
      <c r="G878" t="s">
        <v>929</v>
      </c>
      <c r="I878">
        <v>10002575</v>
      </c>
      <c r="J878" t="s">
        <v>2296</v>
      </c>
      <c r="K878">
        <v>800157</v>
      </c>
      <c r="L878">
        <v>1</v>
      </c>
      <c r="M878" t="s">
        <v>353</v>
      </c>
      <c r="N878" t="s">
        <v>328</v>
      </c>
      <c r="O878">
        <v>784000</v>
      </c>
    </row>
    <row r="879" spans="1:15" x14ac:dyDescent="0.4">
      <c r="A879" t="s">
        <v>195</v>
      </c>
      <c r="B879">
        <v>76</v>
      </c>
      <c r="C879" t="s">
        <v>6</v>
      </c>
      <c r="D879">
        <v>61</v>
      </c>
      <c r="E879" t="s">
        <v>703</v>
      </c>
      <c r="F879">
        <v>1475</v>
      </c>
      <c r="G879" t="s">
        <v>909</v>
      </c>
      <c r="I879">
        <v>10002587</v>
      </c>
      <c r="J879" t="s">
        <v>2297</v>
      </c>
      <c r="K879">
        <v>800157</v>
      </c>
      <c r="L879">
        <v>1</v>
      </c>
      <c r="M879" t="s">
        <v>185</v>
      </c>
      <c r="N879" t="s">
        <v>188</v>
      </c>
      <c r="O879">
        <v>774000</v>
      </c>
    </row>
    <row r="880" spans="1:15" x14ac:dyDescent="0.4">
      <c r="A880" t="s">
        <v>1586</v>
      </c>
      <c r="B880">
        <v>76</v>
      </c>
      <c r="C880" t="s">
        <v>6</v>
      </c>
      <c r="D880">
        <v>61</v>
      </c>
      <c r="E880" t="s">
        <v>703</v>
      </c>
      <c r="F880">
        <v>1472</v>
      </c>
      <c r="G880" t="s">
        <v>998</v>
      </c>
      <c r="I880">
        <v>10002591</v>
      </c>
      <c r="J880" t="s">
        <v>2298</v>
      </c>
      <c r="K880">
        <v>800159</v>
      </c>
      <c r="L880">
        <v>1</v>
      </c>
      <c r="M880" t="s">
        <v>1589</v>
      </c>
      <c r="N880" t="s">
        <v>207</v>
      </c>
      <c r="O880">
        <v>1363200</v>
      </c>
    </row>
    <row r="881" spans="1:15" x14ac:dyDescent="0.4">
      <c r="A881" t="s">
        <v>290</v>
      </c>
      <c r="B881">
        <v>50</v>
      </c>
      <c r="C881" t="s">
        <v>1</v>
      </c>
      <c r="D881">
        <v>21</v>
      </c>
      <c r="E881" t="s">
        <v>182</v>
      </c>
      <c r="F881">
        <v>1166</v>
      </c>
      <c r="G881" t="s">
        <v>1082</v>
      </c>
      <c r="I881">
        <v>10056644</v>
      </c>
      <c r="J881" t="s">
        <v>2299</v>
      </c>
      <c r="K881">
        <v>800159</v>
      </c>
      <c r="L881">
        <v>1</v>
      </c>
      <c r="M881" t="s">
        <v>250</v>
      </c>
      <c r="N881" t="s">
        <v>255</v>
      </c>
      <c r="O881">
        <v>774000</v>
      </c>
    </row>
    <row r="882" spans="1:15" x14ac:dyDescent="0.4">
      <c r="A882" t="s">
        <v>1475</v>
      </c>
      <c r="B882">
        <v>60</v>
      </c>
      <c r="C882" t="s">
        <v>3</v>
      </c>
      <c r="D882">
        <v>31</v>
      </c>
      <c r="E882" t="s">
        <v>447</v>
      </c>
      <c r="F882">
        <v>1299</v>
      </c>
      <c r="G882" t="s">
        <v>947</v>
      </c>
      <c r="I882">
        <v>10002596</v>
      </c>
      <c r="J882" t="s">
        <v>2300</v>
      </c>
      <c r="K882">
        <v>800157</v>
      </c>
      <c r="L882">
        <v>1</v>
      </c>
      <c r="M882" t="s">
        <v>1479</v>
      </c>
      <c r="N882" t="s">
        <v>231</v>
      </c>
      <c r="O882">
        <v>787200</v>
      </c>
    </row>
    <row r="883" spans="1:15" x14ac:dyDescent="0.4">
      <c r="A883" t="s">
        <v>1523</v>
      </c>
      <c r="B883">
        <v>76</v>
      </c>
      <c r="C883" t="s">
        <v>6</v>
      </c>
      <c r="D883">
        <v>61</v>
      </c>
      <c r="E883" t="s">
        <v>703</v>
      </c>
      <c r="F883">
        <v>1468</v>
      </c>
      <c r="G883" t="s">
        <v>914</v>
      </c>
      <c r="I883">
        <v>10002606</v>
      </c>
      <c r="J883" t="s">
        <v>2301</v>
      </c>
      <c r="K883">
        <v>800157</v>
      </c>
      <c r="L883">
        <v>1</v>
      </c>
      <c r="M883" t="s">
        <v>1587</v>
      </c>
      <c r="N883" t="s">
        <v>259</v>
      </c>
      <c r="O883">
        <v>889600</v>
      </c>
    </row>
    <row r="884" spans="1:15" x14ac:dyDescent="0.4">
      <c r="A884" t="s">
        <v>1594</v>
      </c>
      <c r="B884">
        <v>80</v>
      </c>
      <c r="C884" t="s">
        <v>4</v>
      </c>
      <c r="D884">
        <v>81</v>
      </c>
      <c r="E884" t="s">
        <v>550</v>
      </c>
      <c r="F884">
        <v>1154</v>
      </c>
      <c r="G884" t="s">
        <v>1044</v>
      </c>
      <c r="I884">
        <v>10002643</v>
      </c>
      <c r="J884" t="s">
        <v>2302</v>
      </c>
      <c r="K884">
        <v>800159</v>
      </c>
      <c r="L884">
        <v>1</v>
      </c>
      <c r="M884" t="s">
        <v>1596</v>
      </c>
      <c r="N884" t="s">
        <v>254</v>
      </c>
      <c r="O884">
        <v>1014000</v>
      </c>
    </row>
    <row r="885" spans="1:15" x14ac:dyDescent="0.4">
      <c r="A885" t="s">
        <v>1587</v>
      </c>
      <c r="B885">
        <v>75</v>
      </c>
      <c r="C885" t="s">
        <v>5</v>
      </c>
      <c r="D885">
        <v>51</v>
      </c>
      <c r="E885" t="s">
        <v>657</v>
      </c>
      <c r="F885">
        <v>1365</v>
      </c>
      <c r="G885" t="s">
        <v>1148</v>
      </c>
      <c r="I885">
        <v>10059329</v>
      </c>
      <c r="J885" t="s">
        <v>2303</v>
      </c>
      <c r="K885">
        <v>800157</v>
      </c>
      <c r="L885">
        <v>1</v>
      </c>
      <c r="M885" t="s">
        <v>1548</v>
      </c>
      <c r="N885" t="s">
        <v>327</v>
      </c>
      <c r="O885">
        <v>787200</v>
      </c>
    </row>
    <row r="886" spans="1:15" x14ac:dyDescent="0.4">
      <c r="A886" t="s">
        <v>1469</v>
      </c>
      <c r="B886">
        <v>50</v>
      </c>
      <c r="C886" t="s">
        <v>1</v>
      </c>
      <c r="D886">
        <v>21</v>
      </c>
      <c r="E886" t="s">
        <v>182</v>
      </c>
      <c r="F886">
        <v>1166</v>
      </c>
      <c r="G886" t="s">
        <v>1082</v>
      </c>
      <c r="I886">
        <v>10002653</v>
      </c>
      <c r="J886" t="s">
        <v>2304</v>
      </c>
      <c r="K886">
        <v>800157</v>
      </c>
      <c r="L886">
        <v>1</v>
      </c>
      <c r="M886" t="s">
        <v>1475</v>
      </c>
      <c r="N886" t="s">
        <v>187</v>
      </c>
      <c r="O886">
        <v>774000</v>
      </c>
    </row>
    <row r="887" spans="1:15" x14ac:dyDescent="0.4">
      <c r="A887" t="s">
        <v>258</v>
      </c>
      <c r="B887">
        <v>60</v>
      </c>
      <c r="C887" t="s">
        <v>3</v>
      </c>
      <c r="D887">
        <v>33</v>
      </c>
      <c r="E887" t="s">
        <v>451</v>
      </c>
      <c r="F887">
        <v>1372</v>
      </c>
      <c r="G887" t="s">
        <v>992</v>
      </c>
      <c r="I887">
        <v>20007205</v>
      </c>
      <c r="J887" t="s">
        <v>2305</v>
      </c>
      <c r="K887">
        <v>800157</v>
      </c>
      <c r="L887">
        <v>1</v>
      </c>
      <c r="M887" t="s">
        <v>221</v>
      </c>
      <c r="N887" t="s">
        <v>329</v>
      </c>
      <c r="O887">
        <v>784000</v>
      </c>
    </row>
    <row r="888" spans="1:15" x14ac:dyDescent="0.4">
      <c r="A888" t="s">
        <v>1469</v>
      </c>
      <c r="B888">
        <v>70</v>
      </c>
      <c r="C888" t="s">
        <v>2</v>
      </c>
      <c r="D888">
        <v>41</v>
      </c>
      <c r="E888" t="s">
        <v>306</v>
      </c>
      <c r="F888">
        <v>1552</v>
      </c>
      <c r="G888" t="s">
        <v>929</v>
      </c>
      <c r="I888">
        <v>10002657</v>
      </c>
      <c r="J888" t="s">
        <v>2306</v>
      </c>
      <c r="K888">
        <v>800157</v>
      </c>
      <c r="L888">
        <v>1</v>
      </c>
      <c r="M888" t="s">
        <v>1475</v>
      </c>
      <c r="N888" t="s">
        <v>187</v>
      </c>
      <c r="O888">
        <v>784000</v>
      </c>
    </row>
    <row r="889" spans="1:15" x14ac:dyDescent="0.4">
      <c r="A889" t="s">
        <v>186</v>
      </c>
      <c r="B889">
        <v>60</v>
      </c>
      <c r="C889" t="s">
        <v>3</v>
      </c>
      <c r="D889">
        <v>33</v>
      </c>
      <c r="E889" t="s">
        <v>451</v>
      </c>
      <c r="F889">
        <v>1505</v>
      </c>
      <c r="G889" t="s">
        <v>900</v>
      </c>
      <c r="I889">
        <v>10002665</v>
      </c>
      <c r="J889" t="s">
        <v>2285</v>
      </c>
      <c r="K889">
        <v>800155</v>
      </c>
      <c r="L889">
        <v>1</v>
      </c>
      <c r="M889" t="s">
        <v>238</v>
      </c>
      <c r="N889" t="s">
        <v>187</v>
      </c>
      <c r="O889">
        <v>164400</v>
      </c>
    </row>
    <row r="890" spans="1:15" x14ac:dyDescent="0.4">
      <c r="A890" t="s">
        <v>1594</v>
      </c>
      <c r="B890">
        <v>80</v>
      </c>
      <c r="C890" t="s">
        <v>4</v>
      </c>
      <c r="D890">
        <v>81</v>
      </c>
      <c r="E890" t="s">
        <v>550</v>
      </c>
      <c r="F890">
        <v>1154</v>
      </c>
      <c r="G890" t="s">
        <v>1044</v>
      </c>
      <c r="I890">
        <v>10002666</v>
      </c>
      <c r="J890" t="s">
        <v>2307</v>
      </c>
      <c r="K890">
        <v>800159</v>
      </c>
      <c r="L890">
        <v>1</v>
      </c>
      <c r="M890" t="s">
        <v>1596</v>
      </c>
      <c r="N890" t="s">
        <v>254</v>
      </c>
      <c r="O890">
        <v>1320000</v>
      </c>
    </row>
    <row r="891" spans="1:15" x14ac:dyDescent="0.4">
      <c r="A891" t="s">
        <v>353</v>
      </c>
      <c r="B891">
        <v>50</v>
      </c>
      <c r="C891" t="s">
        <v>1</v>
      </c>
      <c r="D891">
        <v>11</v>
      </c>
      <c r="E891" t="s">
        <v>192</v>
      </c>
      <c r="F891">
        <v>1085</v>
      </c>
      <c r="G891" t="s">
        <v>854</v>
      </c>
      <c r="I891">
        <v>10002670</v>
      </c>
      <c r="J891" t="s">
        <v>2308</v>
      </c>
      <c r="K891">
        <v>800159</v>
      </c>
      <c r="L891">
        <v>1</v>
      </c>
      <c r="M891" t="s">
        <v>220</v>
      </c>
      <c r="N891" t="s">
        <v>225</v>
      </c>
      <c r="O891">
        <v>1330800</v>
      </c>
    </row>
    <row r="892" spans="1:15" x14ac:dyDescent="0.4">
      <c r="A892" t="s">
        <v>185</v>
      </c>
      <c r="B892">
        <v>70</v>
      </c>
      <c r="C892" t="s">
        <v>2</v>
      </c>
      <c r="D892">
        <v>41</v>
      </c>
      <c r="E892" t="s">
        <v>306</v>
      </c>
      <c r="F892">
        <v>1445</v>
      </c>
      <c r="G892" t="s">
        <v>886</v>
      </c>
      <c r="I892">
        <v>10057527</v>
      </c>
      <c r="J892" t="s">
        <v>2309</v>
      </c>
      <c r="K892">
        <v>800159</v>
      </c>
      <c r="L892">
        <v>1</v>
      </c>
      <c r="M892" t="s">
        <v>275</v>
      </c>
      <c r="N892" t="s">
        <v>234</v>
      </c>
      <c r="O892">
        <v>1628400</v>
      </c>
    </row>
    <row r="893" spans="1:15" x14ac:dyDescent="0.4">
      <c r="A893" t="s">
        <v>1587</v>
      </c>
      <c r="B893">
        <v>50</v>
      </c>
      <c r="C893" t="s">
        <v>1</v>
      </c>
      <c r="D893">
        <v>11</v>
      </c>
      <c r="E893" t="s">
        <v>192</v>
      </c>
      <c r="F893">
        <v>1353</v>
      </c>
      <c r="G893" t="s">
        <v>1017</v>
      </c>
      <c r="I893">
        <v>10002675</v>
      </c>
      <c r="J893" t="s">
        <v>2310</v>
      </c>
      <c r="K893">
        <v>800159</v>
      </c>
      <c r="L893">
        <v>1</v>
      </c>
      <c r="M893" t="s">
        <v>1548</v>
      </c>
      <c r="N893" t="s">
        <v>329</v>
      </c>
      <c r="O893">
        <v>1336200</v>
      </c>
    </row>
    <row r="894" spans="1:15" x14ac:dyDescent="0.4">
      <c r="A894" t="s">
        <v>1487</v>
      </c>
      <c r="B894">
        <v>76</v>
      </c>
      <c r="C894" t="s">
        <v>6</v>
      </c>
      <c r="D894">
        <v>61</v>
      </c>
      <c r="E894" t="s">
        <v>703</v>
      </c>
      <c r="F894">
        <v>1472</v>
      </c>
      <c r="G894" t="s">
        <v>998</v>
      </c>
      <c r="I894">
        <v>10002722</v>
      </c>
      <c r="J894" t="s">
        <v>2311</v>
      </c>
      <c r="K894">
        <v>800157</v>
      </c>
      <c r="L894">
        <v>1</v>
      </c>
      <c r="M894" t="s">
        <v>1523</v>
      </c>
      <c r="N894" t="s">
        <v>312</v>
      </c>
      <c r="O894">
        <v>876800</v>
      </c>
    </row>
    <row r="895" spans="1:15" x14ac:dyDescent="0.4">
      <c r="A895" t="s">
        <v>353</v>
      </c>
      <c r="B895">
        <v>75</v>
      </c>
      <c r="C895" t="s">
        <v>5</v>
      </c>
      <c r="D895">
        <v>51</v>
      </c>
      <c r="E895" t="s">
        <v>657</v>
      </c>
      <c r="F895">
        <v>1435</v>
      </c>
      <c r="G895" t="s">
        <v>860</v>
      </c>
      <c r="I895">
        <v>10002731</v>
      </c>
      <c r="J895" t="s">
        <v>2312</v>
      </c>
      <c r="K895">
        <v>800159</v>
      </c>
      <c r="L895">
        <v>1</v>
      </c>
      <c r="M895" t="s">
        <v>220</v>
      </c>
      <c r="N895" t="s">
        <v>225</v>
      </c>
      <c r="O895">
        <v>1338000</v>
      </c>
    </row>
    <row r="896" spans="1:15" x14ac:dyDescent="0.4">
      <c r="A896" t="s">
        <v>268</v>
      </c>
      <c r="B896">
        <v>76</v>
      </c>
      <c r="C896" t="s">
        <v>6</v>
      </c>
      <c r="D896">
        <v>61</v>
      </c>
      <c r="E896" t="s">
        <v>703</v>
      </c>
      <c r="F896">
        <v>1468</v>
      </c>
      <c r="G896" t="s">
        <v>914</v>
      </c>
      <c r="I896">
        <v>10002740</v>
      </c>
      <c r="J896" t="s">
        <v>2313</v>
      </c>
      <c r="K896">
        <v>800159</v>
      </c>
      <c r="L896">
        <v>1</v>
      </c>
      <c r="M896" t="s">
        <v>195</v>
      </c>
      <c r="N896" t="s">
        <v>200</v>
      </c>
      <c r="O896">
        <v>1492800</v>
      </c>
    </row>
    <row r="897" spans="1:15" x14ac:dyDescent="0.4">
      <c r="A897" t="s">
        <v>195</v>
      </c>
      <c r="B897">
        <v>76</v>
      </c>
      <c r="C897" t="s">
        <v>6</v>
      </c>
      <c r="D897">
        <v>61</v>
      </c>
      <c r="E897" t="s">
        <v>703</v>
      </c>
      <c r="F897">
        <v>1468</v>
      </c>
      <c r="G897" t="s">
        <v>914</v>
      </c>
      <c r="I897">
        <v>10002751</v>
      </c>
      <c r="J897" t="s">
        <v>2314</v>
      </c>
      <c r="K897">
        <v>800159</v>
      </c>
      <c r="L897">
        <v>1</v>
      </c>
      <c r="M897" t="s">
        <v>185</v>
      </c>
      <c r="N897" t="s">
        <v>190</v>
      </c>
      <c r="O897">
        <v>1347000</v>
      </c>
    </row>
    <row r="898" spans="1:15" x14ac:dyDescent="0.4">
      <c r="A898" t="s">
        <v>1594</v>
      </c>
      <c r="B898">
        <v>75</v>
      </c>
      <c r="C898" t="s">
        <v>5</v>
      </c>
      <c r="D898">
        <v>51</v>
      </c>
      <c r="E898" t="s">
        <v>657</v>
      </c>
      <c r="F898">
        <v>1365</v>
      </c>
      <c r="G898" t="s">
        <v>1148</v>
      </c>
      <c r="I898">
        <v>10002815</v>
      </c>
      <c r="J898" t="s">
        <v>2315</v>
      </c>
      <c r="K898">
        <v>800157</v>
      </c>
      <c r="L898">
        <v>1</v>
      </c>
      <c r="M898" t="s">
        <v>1596</v>
      </c>
      <c r="N898" t="s">
        <v>252</v>
      </c>
      <c r="O898">
        <v>450000</v>
      </c>
    </row>
    <row r="899" spans="1:15" x14ac:dyDescent="0.4">
      <c r="A899" t="s">
        <v>1548</v>
      </c>
      <c r="B899">
        <v>50</v>
      </c>
      <c r="C899" t="s">
        <v>1</v>
      </c>
      <c r="D899">
        <v>21</v>
      </c>
      <c r="E899" t="s">
        <v>182</v>
      </c>
      <c r="F899">
        <v>1264</v>
      </c>
      <c r="G899" t="s">
        <v>1023</v>
      </c>
      <c r="I899">
        <v>10002816</v>
      </c>
      <c r="J899" t="s">
        <v>2316</v>
      </c>
      <c r="K899">
        <v>800157</v>
      </c>
      <c r="L899">
        <v>1</v>
      </c>
      <c r="M899" t="s">
        <v>1586</v>
      </c>
      <c r="N899" t="s">
        <v>222</v>
      </c>
      <c r="O899">
        <v>796800</v>
      </c>
    </row>
    <row r="900" spans="1:15" x14ac:dyDescent="0.4">
      <c r="A900" t="s">
        <v>196</v>
      </c>
      <c r="B900">
        <v>60</v>
      </c>
      <c r="C900" t="s">
        <v>3</v>
      </c>
      <c r="D900">
        <v>31</v>
      </c>
      <c r="E900" t="s">
        <v>447</v>
      </c>
      <c r="F900">
        <v>1616</v>
      </c>
      <c r="G900" t="s">
        <v>1659</v>
      </c>
      <c r="I900">
        <v>20009981</v>
      </c>
      <c r="J900" t="s">
        <v>2317</v>
      </c>
      <c r="K900">
        <v>800159</v>
      </c>
      <c r="L900">
        <v>1</v>
      </c>
      <c r="M900" t="s">
        <v>186</v>
      </c>
      <c r="N900" t="s">
        <v>302</v>
      </c>
      <c r="O900">
        <v>1411800</v>
      </c>
    </row>
    <row r="901" spans="1:15" x14ac:dyDescent="0.4">
      <c r="A901" t="s">
        <v>242</v>
      </c>
      <c r="B901">
        <v>70</v>
      </c>
      <c r="C901" t="s">
        <v>2</v>
      </c>
      <c r="D901">
        <v>41</v>
      </c>
      <c r="E901" t="s">
        <v>306</v>
      </c>
      <c r="F901">
        <v>1445</v>
      </c>
      <c r="G901" t="s">
        <v>886</v>
      </c>
      <c r="I901">
        <v>10002822</v>
      </c>
      <c r="J901" t="s">
        <v>2318</v>
      </c>
      <c r="K901">
        <v>800159</v>
      </c>
      <c r="L901">
        <v>1</v>
      </c>
      <c r="M901" t="s">
        <v>311</v>
      </c>
      <c r="N901" t="s">
        <v>316</v>
      </c>
      <c r="O901">
        <v>1357800</v>
      </c>
    </row>
    <row r="902" spans="1:15" x14ac:dyDescent="0.4">
      <c r="A902" t="s">
        <v>195</v>
      </c>
      <c r="B902">
        <v>76</v>
      </c>
      <c r="C902" t="s">
        <v>6</v>
      </c>
      <c r="D902">
        <v>61</v>
      </c>
      <c r="E902" t="s">
        <v>703</v>
      </c>
      <c r="F902">
        <v>1602</v>
      </c>
      <c r="G902" t="s">
        <v>1013</v>
      </c>
      <c r="I902">
        <v>10002865</v>
      </c>
      <c r="J902" t="s">
        <v>2048</v>
      </c>
      <c r="K902">
        <v>800159</v>
      </c>
      <c r="L902">
        <v>1</v>
      </c>
      <c r="M902" t="s">
        <v>185</v>
      </c>
      <c r="N902" t="s">
        <v>190</v>
      </c>
      <c r="O902">
        <v>1390200</v>
      </c>
    </row>
    <row r="903" spans="1:15" x14ac:dyDescent="0.4">
      <c r="A903" t="s">
        <v>220</v>
      </c>
      <c r="B903">
        <v>80</v>
      </c>
      <c r="C903" t="s">
        <v>4</v>
      </c>
      <c r="D903">
        <v>81</v>
      </c>
      <c r="E903" t="s">
        <v>550</v>
      </c>
      <c r="F903">
        <v>1154</v>
      </c>
      <c r="G903" t="s">
        <v>1044</v>
      </c>
      <c r="I903">
        <v>20008184</v>
      </c>
      <c r="J903" t="s">
        <v>2319</v>
      </c>
      <c r="K903">
        <v>800159</v>
      </c>
      <c r="L903">
        <v>1</v>
      </c>
      <c r="M903" t="s">
        <v>203</v>
      </c>
      <c r="N903" t="s">
        <v>208</v>
      </c>
      <c r="O903">
        <v>1320000</v>
      </c>
    </row>
    <row r="904" spans="1:15" x14ac:dyDescent="0.4">
      <c r="A904" t="s">
        <v>353</v>
      </c>
      <c r="B904">
        <v>76</v>
      </c>
      <c r="C904" t="s">
        <v>6</v>
      </c>
      <c r="D904">
        <v>61</v>
      </c>
      <c r="E904" t="s">
        <v>703</v>
      </c>
      <c r="F904">
        <v>1389</v>
      </c>
      <c r="G904" t="s">
        <v>1197</v>
      </c>
      <c r="I904">
        <v>10002872</v>
      </c>
      <c r="J904" t="s">
        <v>2320</v>
      </c>
      <c r="K904">
        <v>800159</v>
      </c>
      <c r="L904">
        <v>1</v>
      </c>
      <c r="M904" t="s">
        <v>220</v>
      </c>
      <c r="N904" t="s">
        <v>225</v>
      </c>
      <c r="O904">
        <v>1476600</v>
      </c>
    </row>
    <row r="905" spans="1:15" x14ac:dyDescent="0.4">
      <c r="A905" t="s">
        <v>281</v>
      </c>
      <c r="B905">
        <v>80</v>
      </c>
      <c r="C905" t="s">
        <v>4</v>
      </c>
      <c r="D905">
        <v>81</v>
      </c>
      <c r="E905" t="s">
        <v>550</v>
      </c>
      <c r="F905">
        <v>1154</v>
      </c>
      <c r="G905" t="s">
        <v>1044</v>
      </c>
      <c r="I905">
        <v>20009828</v>
      </c>
      <c r="J905" t="s">
        <v>2321</v>
      </c>
      <c r="K905">
        <v>800159</v>
      </c>
      <c r="L905">
        <v>1</v>
      </c>
      <c r="M905" t="s">
        <v>363</v>
      </c>
      <c r="N905" t="s">
        <v>315</v>
      </c>
      <c r="O905">
        <v>1428000</v>
      </c>
    </row>
    <row r="906" spans="1:15" x14ac:dyDescent="0.4">
      <c r="A906" t="s">
        <v>250</v>
      </c>
      <c r="B906">
        <v>60</v>
      </c>
      <c r="C906" t="s">
        <v>3</v>
      </c>
      <c r="D906">
        <v>31</v>
      </c>
      <c r="E906" t="s">
        <v>447</v>
      </c>
      <c r="F906">
        <v>1543</v>
      </c>
      <c r="G906" t="s">
        <v>1183</v>
      </c>
      <c r="I906">
        <v>10015926</v>
      </c>
      <c r="J906" t="s">
        <v>2322</v>
      </c>
      <c r="K906">
        <v>800157</v>
      </c>
      <c r="L906">
        <v>1</v>
      </c>
      <c r="M906" t="s">
        <v>196</v>
      </c>
      <c r="N906" t="s">
        <v>213</v>
      </c>
      <c r="O906">
        <v>963200</v>
      </c>
    </row>
    <row r="907" spans="1:15" x14ac:dyDescent="0.4">
      <c r="A907" t="s">
        <v>1596</v>
      </c>
      <c r="B907">
        <v>60</v>
      </c>
      <c r="C907" t="s">
        <v>3</v>
      </c>
      <c r="D907">
        <v>33</v>
      </c>
      <c r="E907" t="s">
        <v>451</v>
      </c>
      <c r="F907">
        <v>1372</v>
      </c>
      <c r="G907" t="s">
        <v>992</v>
      </c>
      <c r="I907">
        <v>10002875</v>
      </c>
      <c r="J907" t="s">
        <v>2323</v>
      </c>
      <c r="K907">
        <v>800157</v>
      </c>
      <c r="L907">
        <v>1</v>
      </c>
      <c r="M907" t="s">
        <v>268</v>
      </c>
      <c r="N907" t="s">
        <v>212</v>
      </c>
      <c r="O907">
        <v>819200</v>
      </c>
    </row>
    <row r="908" spans="1:15" x14ac:dyDescent="0.4">
      <c r="A908" t="s">
        <v>268</v>
      </c>
      <c r="B908">
        <v>80</v>
      </c>
      <c r="C908" t="s">
        <v>4</v>
      </c>
      <c r="D908">
        <v>81</v>
      </c>
      <c r="E908" t="s">
        <v>550</v>
      </c>
      <c r="F908">
        <v>1322</v>
      </c>
      <c r="G908" t="s">
        <v>961</v>
      </c>
      <c r="I908">
        <v>10002890</v>
      </c>
      <c r="J908" t="s">
        <v>2324</v>
      </c>
      <c r="K908">
        <v>800159</v>
      </c>
      <c r="L908">
        <v>1</v>
      </c>
      <c r="M908" t="s">
        <v>195</v>
      </c>
      <c r="N908" t="s">
        <v>200</v>
      </c>
      <c r="O908">
        <v>1433400</v>
      </c>
    </row>
    <row r="909" spans="1:15" x14ac:dyDescent="0.4">
      <c r="A909" t="s">
        <v>1589</v>
      </c>
      <c r="B909">
        <v>60</v>
      </c>
      <c r="C909" t="s">
        <v>3</v>
      </c>
      <c r="D909">
        <v>31</v>
      </c>
      <c r="E909" t="s">
        <v>447</v>
      </c>
      <c r="F909">
        <v>1116</v>
      </c>
      <c r="G909" t="s">
        <v>1075</v>
      </c>
      <c r="I909">
        <v>10002936</v>
      </c>
      <c r="J909" t="s">
        <v>2325</v>
      </c>
      <c r="K909">
        <v>800157</v>
      </c>
      <c r="L909">
        <v>1</v>
      </c>
      <c r="M909" t="s">
        <v>1594</v>
      </c>
      <c r="N909" t="s">
        <v>292</v>
      </c>
      <c r="O909">
        <v>784000</v>
      </c>
    </row>
    <row r="910" spans="1:15" x14ac:dyDescent="0.4">
      <c r="A910" t="s">
        <v>353</v>
      </c>
      <c r="B910">
        <v>50</v>
      </c>
      <c r="C910" t="s">
        <v>1</v>
      </c>
      <c r="D910">
        <v>21</v>
      </c>
      <c r="E910" t="s">
        <v>182</v>
      </c>
      <c r="F910">
        <v>1166</v>
      </c>
      <c r="G910" t="s">
        <v>1082</v>
      </c>
      <c r="I910">
        <v>10002937</v>
      </c>
      <c r="J910" t="s">
        <v>2325</v>
      </c>
      <c r="K910">
        <v>800159</v>
      </c>
      <c r="L910">
        <v>1</v>
      </c>
      <c r="M910" t="s">
        <v>220</v>
      </c>
      <c r="N910" t="s">
        <v>225</v>
      </c>
      <c r="O910">
        <v>1008000</v>
      </c>
    </row>
    <row r="911" spans="1:15" x14ac:dyDescent="0.4">
      <c r="A911" t="s">
        <v>1589</v>
      </c>
      <c r="B911">
        <v>60</v>
      </c>
      <c r="C911" t="s">
        <v>3</v>
      </c>
      <c r="D911">
        <v>31</v>
      </c>
      <c r="E911" t="s">
        <v>447</v>
      </c>
      <c r="F911">
        <v>1116</v>
      </c>
      <c r="G911" t="s">
        <v>1075</v>
      </c>
      <c r="I911">
        <v>10002938</v>
      </c>
      <c r="J911" t="s">
        <v>2326</v>
      </c>
      <c r="K911">
        <v>800159</v>
      </c>
      <c r="L911">
        <v>1</v>
      </c>
      <c r="M911" t="s">
        <v>1594</v>
      </c>
      <c r="N911" t="s">
        <v>294</v>
      </c>
      <c r="O911">
        <v>1330800</v>
      </c>
    </row>
    <row r="912" spans="1:15" x14ac:dyDescent="0.4">
      <c r="A912" t="s">
        <v>1589</v>
      </c>
      <c r="B912">
        <v>60</v>
      </c>
      <c r="C912" t="s">
        <v>3</v>
      </c>
      <c r="D912">
        <v>31</v>
      </c>
      <c r="E912" t="s">
        <v>447</v>
      </c>
      <c r="F912">
        <v>1116</v>
      </c>
      <c r="G912" t="s">
        <v>1075</v>
      </c>
      <c r="I912">
        <v>10002939</v>
      </c>
      <c r="J912" t="s">
        <v>2326</v>
      </c>
      <c r="K912">
        <v>800157</v>
      </c>
      <c r="L912">
        <v>1</v>
      </c>
      <c r="M912" t="s">
        <v>1594</v>
      </c>
      <c r="N912" t="s">
        <v>292</v>
      </c>
      <c r="O912">
        <v>784000</v>
      </c>
    </row>
    <row r="913" spans="1:15" x14ac:dyDescent="0.4">
      <c r="A913" t="s">
        <v>250</v>
      </c>
      <c r="B913">
        <v>50</v>
      </c>
      <c r="C913" t="s">
        <v>1</v>
      </c>
      <c r="D913">
        <v>21</v>
      </c>
      <c r="E913" t="s">
        <v>182</v>
      </c>
      <c r="F913">
        <v>1345</v>
      </c>
      <c r="G913" t="s">
        <v>874</v>
      </c>
      <c r="I913">
        <v>20003511</v>
      </c>
      <c r="J913" t="s">
        <v>2327</v>
      </c>
      <c r="K913">
        <v>800159</v>
      </c>
      <c r="L913">
        <v>1</v>
      </c>
      <c r="M913" t="s">
        <v>196</v>
      </c>
      <c r="N913" t="s">
        <v>215</v>
      </c>
      <c r="O913">
        <v>1390200</v>
      </c>
    </row>
    <row r="914" spans="1:15" x14ac:dyDescent="0.4">
      <c r="A914" t="s">
        <v>186</v>
      </c>
      <c r="B914">
        <v>80</v>
      </c>
      <c r="C914" t="s">
        <v>4</v>
      </c>
      <c r="D914">
        <v>81</v>
      </c>
      <c r="E914" t="s">
        <v>550</v>
      </c>
      <c r="F914">
        <v>1154</v>
      </c>
      <c r="G914" t="s">
        <v>1044</v>
      </c>
      <c r="I914">
        <v>10003010</v>
      </c>
      <c r="J914" t="s">
        <v>2328</v>
      </c>
      <c r="K914">
        <v>800157</v>
      </c>
      <c r="L914">
        <v>1</v>
      </c>
      <c r="M914" t="s">
        <v>238</v>
      </c>
      <c r="N914" t="s">
        <v>189</v>
      </c>
      <c r="O914">
        <v>787200</v>
      </c>
    </row>
    <row r="915" spans="1:15" x14ac:dyDescent="0.4">
      <c r="A915" t="s">
        <v>1487</v>
      </c>
      <c r="B915">
        <v>60</v>
      </c>
      <c r="C915" t="s">
        <v>3</v>
      </c>
      <c r="D915">
        <v>33</v>
      </c>
      <c r="E915" t="s">
        <v>451</v>
      </c>
      <c r="F915">
        <v>1220</v>
      </c>
      <c r="G915" t="s">
        <v>1343</v>
      </c>
      <c r="I915">
        <v>10003023</v>
      </c>
      <c r="J915" t="s">
        <v>2329</v>
      </c>
      <c r="K915">
        <v>800159</v>
      </c>
      <c r="L915">
        <v>1</v>
      </c>
      <c r="M915" t="s">
        <v>1523</v>
      </c>
      <c r="N915" t="s">
        <v>314</v>
      </c>
      <c r="O915">
        <v>774000</v>
      </c>
    </row>
    <row r="916" spans="1:15" x14ac:dyDescent="0.4">
      <c r="A916" t="s">
        <v>281</v>
      </c>
      <c r="B916">
        <v>75</v>
      </c>
      <c r="C916" t="s">
        <v>5</v>
      </c>
      <c r="D916">
        <v>51</v>
      </c>
      <c r="E916" t="s">
        <v>657</v>
      </c>
      <c r="F916">
        <v>1365</v>
      </c>
      <c r="G916" t="s">
        <v>1148</v>
      </c>
      <c r="I916">
        <v>10003028</v>
      </c>
      <c r="J916" t="s">
        <v>2330</v>
      </c>
      <c r="K916">
        <v>800159</v>
      </c>
      <c r="L916">
        <v>1</v>
      </c>
      <c r="M916" t="s">
        <v>363</v>
      </c>
      <c r="N916" t="s">
        <v>315</v>
      </c>
      <c r="O916">
        <v>1320000</v>
      </c>
    </row>
    <row r="917" spans="1:15" x14ac:dyDescent="0.4">
      <c r="A917" t="s">
        <v>290</v>
      </c>
      <c r="B917">
        <v>75</v>
      </c>
      <c r="C917" t="s">
        <v>5</v>
      </c>
      <c r="D917">
        <v>51</v>
      </c>
      <c r="E917" t="s">
        <v>657</v>
      </c>
      <c r="F917">
        <v>1435</v>
      </c>
      <c r="G917" t="s">
        <v>860</v>
      </c>
      <c r="I917">
        <v>10003031</v>
      </c>
      <c r="J917" t="s">
        <v>2331</v>
      </c>
      <c r="K917">
        <v>800159</v>
      </c>
      <c r="L917">
        <v>1</v>
      </c>
      <c r="M917" t="s">
        <v>250</v>
      </c>
      <c r="N917" t="s">
        <v>255</v>
      </c>
      <c r="O917">
        <v>1362000</v>
      </c>
    </row>
    <row r="918" spans="1:15" x14ac:dyDescent="0.4">
      <c r="A918" t="s">
        <v>1589</v>
      </c>
      <c r="B918">
        <v>76</v>
      </c>
      <c r="C918" t="s">
        <v>6</v>
      </c>
      <c r="D918">
        <v>61</v>
      </c>
      <c r="E918" t="s">
        <v>703</v>
      </c>
      <c r="F918">
        <v>1389</v>
      </c>
      <c r="G918" t="s">
        <v>1197</v>
      </c>
      <c r="I918">
        <v>10003032</v>
      </c>
      <c r="J918" t="s">
        <v>2332</v>
      </c>
      <c r="K918">
        <v>800159</v>
      </c>
      <c r="L918">
        <v>1</v>
      </c>
      <c r="M918" t="s">
        <v>1594</v>
      </c>
      <c r="N918" t="s">
        <v>294</v>
      </c>
      <c r="O918">
        <v>1422600</v>
      </c>
    </row>
    <row r="919" spans="1:15" x14ac:dyDescent="0.4">
      <c r="A919" t="s">
        <v>268</v>
      </c>
      <c r="B919">
        <v>76</v>
      </c>
      <c r="C919" t="s">
        <v>6</v>
      </c>
      <c r="D919">
        <v>61</v>
      </c>
      <c r="E919" t="s">
        <v>703</v>
      </c>
      <c r="F919">
        <v>1472</v>
      </c>
      <c r="G919" t="s">
        <v>998</v>
      </c>
      <c r="I919">
        <v>10012561</v>
      </c>
      <c r="J919" t="s">
        <v>2333</v>
      </c>
      <c r="K919">
        <v>800157</v>
      </c>
      <c r="L919">
        <v>1</v>
      </c>
      <c r="M919" t="s">
        <v>195</v>
      </c>
      <c r="N919" t="s">
        <v>198</v>
      </c>
      <c r="O919">
        <v>796800</v>
      </c>
    </row>
    <row r="920" spans="1:15" x14ac:dyDescent="0.4">
      <c r="A920" t="s">
        <v>1596</v>
      </c>
      <c r="B920">
        <v>60</v>
      </c>
      <c r="C920" t="s">
        <v>3</v>
      </c>
      <c r="D920">
        <v>31</v>
      </c>
      <c r="E920" t="s">
        <v>447</v>
      </c>
      <c r="F920">
        <v>1299</v>
      </c>
      <c r="G920" t="s">
        <v>947</v>
      </c>
      <c r="I920">
        <v>10000217</v>
      </c>
      <c r="J920" t="s">
        <v>2334</v>
      </c>
      <c r="K920">
        <v>800159</v>
      </c>
      <c r="L920">
        <v>1</v>
      </c>
      <c r="M920" t="s">
        <v>268</v>
      </c>
      <c r="N920" t="s">
        <v>214</v>
      </c>
      <c r="O920">
        <v>1368000</v>
      </c>
    </row>
    <row r="921" spans="1:15" x14ac:dyDescent="0.4">
      <c r="A921" t="s">
        <v>363</v>
      </c>
      <c r="B921">
        <v>60</v>
      </c>
      <c r="C921" t="s">
        <v>3</v>
      </c>
      <c r="D921">
        <v>33</v>
      </c>
      <c r="E921" t="s">
        <v>451</v>
      </c>
      <c r="F921">
        <v>1372</v>
      </c>
      <c r="G921" t="s">
        <v>992</v>
      </c>
      <c r="I921">
        <v>10000221</v>
      </c>
      <c r="J921" t="s">
        <v>2335</v>
      </c>
      <c r="K921">
        <v>800159</v>
      </c>
      <c r="L921">
        <v>1</v>
      </c>
      <c r="M921" t="s">
        <v>376</v>
      </c>
      <c r="N921" t="s">
        <v>262</v>
      </c>
      <c r="O921">
        <v>1379400</v>
      </c>
    </row>
    <row r="922" spans="1:15" x14ac:dyDescent="0.4">
      <c r="A922" t="s">
        <v>1587</v>
      </c>
      <c r="B922">
        <v>60</v>
      </c>
      <c r="C922" t="s">
        <v>3</v>
      </c>
      <c r="D922">
        <v>31</v>
      </c>
      <c r="E922" t="s">
        <v>447</v>
      </c>
      <c r="F922">
        <v>1367</v>
      </c>
      <c r="G922" t="s">
        <v>977</v>
      </c>
      <c r="I922">
        <v>10000225</v>
      </c>
      <c r="J922" t="s">
        <v>2336</v>
      </c>
      <c r="K922">
        <v>800159</v>
      </c>
      <c r="L922">
        <v>1</v>
      </c>
      <c r="M922" t="s">
        <v>1548</v>
      </c>
      <c r="N922" t="s">
        <v>329</v>
      </c>
      <c r="O922">
        <v>936000</v>
      </c>
    </row>
    <row r="923" spans="1:15" x14ac:dyDescent="0.4">
      <c r="A923" t="s">
        <v>1469</v>
      </c>
      <c r="B923">
        <v>70</v>
      </c>
      <c r="C923" t="s">
        <v>2</v>
      </c>
      <c r="D923">
        <v>41</v>
      </c>
      <c r="E923" t="s">
        <v>306</v>
      </c>
      <c r="F923">
        <v>1552</v>
      </c>
      <c r="G923" t="s">
        <v>929</v>
      </c>
      <c r="I923">
        <v>20009307</v>
      </c>
      <c r="J923" t="s">
        <v>2337</v>
      </c>
      <c r="K923">
        <v>800157</v>
      </c>
      <c r="L923">
        <v>1</v>
      </c>
      <c r="M923" t="s">
        <v>1475</v>
      </c>
      <c r="N923" t="s">
        <v>187</v>
      </c>
      <c r="O923">
        <v>870400</v>
      </c>
    </row>
    <row r="924" spans="1:15" x14ac:dyDescent="0.4">
      <c r="A924" t="s">
        <v>203</v>
      </c>
      <c r="B924">
        <v>50</v>
      </c>
      <c r="C924" t="s">
        <v>1</v>
      </c>
      <c r="D924">
        <v>21</v>
      </c>
      <c r="E924" t="s">
        <v>182</v>
      </c>
      <c r="F924">
        <v>1166</v>
      </c>
      <c r="G924" t="s">
        <v>1082</v>
      </c>
      <c r="I924">
        <v>10000227</v>
      </c>
      <c r="J924" t="s">
        <v>2338</v>
      </c>
      <c r="K924">
        <v>800159</v>
      </c>
      <c r="L924">
        <v>1</v>
      </c>
      <c r="M924" t="s">
        <v>290</v>
      </c>
      <c r="N924" t="s">
        <v>295</v>
      </c>
      <c r="O924">
        <v>1330800</v>
      </c>
    </row>
    <row r="925" spans="1:15" x14ac:dyDescent="0.4">
      <c r="A925" t="s">
        <v>1487</v>
      </c>
      <c r="B925">
        <v>50</v>
      </c>
      <c r="C925" t="s">
        <v>1</v>
      </c>
      <c r="D925">
        <v>11</v>
      </c>
      <c r="E925" t="s">
        <v>192</v>
      </c>
      <c r="F925">
        <v>1353</v>
      </c>
      <c r="G925" t="s">
        <v>1017</v>
      </c>
      <c r="I925">
        <v>20003478</v>
      </c>
      <c r="J925" t="s">
        <v>1789</v>
      </c>
      <c r="K925">
        <v>800159</v>
      </c>
      <c r="L925">
        <v>1</v>
      </c>
      <c r="M925" t="s">
        <v>1523</v>
      </c>
      <c r="N925" t="s">
        <v>314</v>
      </c>
      <c r="O925">
        <v>1325400</v>
      </c>
    </row>
    <row r="926" spans="1:15" x14ac:dyDescent="0.4">
      <c r="A926" t="s">
        <v>1587</v>
      </c>
      <c r="B926">
        <v>70</v>
      </c>
      <c r="C926" t="s">
        <v>2</v>
      </c>
      <c r="D926">
        <v>41</v>
      </c>
      <c r="E926" t="s">
        <v>306</v>
      </c>
      <c r="F926">
        <v>1118</v>
      </c>
      <c r="G926" t="s">
        <v>1471</v>
      </c>
      <c r="I926">
        <v>10000234</v>
      </c>
      <c r="J926" t="s">
        <v>2339</v>
      </c>
      <c r="K926">
        <v>800157</v>
      </c>
      <c r="L926">
        <v>1</v>
      </c>
      <c r="M926" t="s">
        <v>1548</v>
      </c>
      <c r="N926" t="s">
        <v>327</v>
      </c>
      <c r="O926">
        <v>784000</v>
      </c>
    </row>
    <row r="927" spans="1:15" x14ac:dyDescent="0.4">
      <c r="A927" t="s">
        <v>1479</v>
      </c>
      <c r="B927">
        <v>60</v>
      </c>
      <c r="C927" t="s">
        <v>3</v>
      </c>
      <c r="D927">
        <v>31</v>
      </c>
      <c r="E927" t="s">
        <v>447</v>
      </c>
      <c r="F927">
        <v>1299</v>
      </c>
      <c r="G927" t="s">
        <v>947</v>
      </c>
      <c r="I927">
        <v>10000236</v>
      </c>
      <c r="J927" t="s">
        <v>2340</v>
      </c>
      <c r="K927">
        <v>800157</v>
      </c>
      <c r="L927">
        <v>1</v>
      </c>
      <c r="M927" t="s">
        <v>1487</v>
      </c>
      <c r="N927" t="s">
        <v>243</v>
      </c>
      <c r="O927">
        <v>902400</v>
      </c>
    </row>
    <row r="928" spans="1:15" x14ac:dyDescent="0.4">
      <c r="A928" t="s">
        <v>376</v>
      </c>
      <c r="B928">
        <v>76</v>
      </c>
      <c r="C928" t="s">
        <v>6</v>
      </c>
      <c r="D928">
        <v>61</v>
      </c>
      <c r="E928" t="s">
        <v>703</v>
      </c>
      <c r="F928">
        <v>1472</v>
      </c>
      <c r="G928" t="s">
        <v>998</v>
      </c>
      <c r="I928">
        <v>10000242</v>
      </c>
      <c r="J928" t="s">
        <v>2341</v>
      </c>
      <c r="K928">
        <v>800157</v>
      </c>
      <c r="L928">
        <v>1</v>
      </c>
      <c r="M928" t="s">
        <v>353</v>
      </c>
      <c r="N928" t="s">
        <v>328</v>
      </c>
      <c r="O928">
        <v>784000</v>
      </c>
    </row>
    <row r="929" spans="1:15" x14ac:dyDescent="0.4">
      <c r="A929" t="s">
        <v>1586</v>
      </c>
      <c r="B929">
        <v>50</v>
      </c>
      <c r="C929" t="s">
        <v>1</v>
      </c>
      <c r="D929">
        <v>11</v>
      </c>
      <c r="E929" t="s">
        <v>192</v>
      </c>
      <c r="F929">
        <v>1085</v>
      </c>
      <c r="G929" t="s">
        <v>854</v>
      </c>
      <c r="I929">
        <v>10002464</v>
      </c>
      <c r="J929" t="s">
        <v>2342</v>
      </c>
      <c r="K929">
        <v>800157</v>
      </c>
      <c r="L929">
        <v>1</v>
      </c>
      <c r="M929" t="s">
        <v>1589</v>
      </c>
      <c r="N929" t="s">
        <v>205</v>
      </c>
      <c r="O929">
        <v>496800</v>
      </c>
    </row>
    <row r="930" spans="1:15" x14ac:dyDescent="0.4">
      <c r="A930" t="s">
        <v>203</v>
      </c>
      <c r="B930">
        <v>50</v>
      </c>
      <c r="C930" t="s">
        <v>1</v>
      </c>
      <c r="D930">
        <v>21</v>
      </c>
      <c r="E930" t="s">
        <v>182</v>
      </c>
      <c r="F930">
        <v>1166</v>
      </c>
      <c r="G930" t="s">
        <v>1082</v>
      </c>
      <c r="I930">
        <v>10002468</v>
      </c>
      <c r="J930" t="s">
        <v>567</v>
      </c>
      <c r="K930">
        <v>800157</v>
      </c>
      <c r="L930">
        <v>1</v>
      </c>
      <c r="M930" t="s">
        <v>290</v>
      </c>
      <c r="N930" t="s">
        <v>293</v>
      </c>
      <c r="O930">
        <v>784000</v>
      </c>
    </row>
    <row r="931" spans="1:15" x14ac:dyDescent="0.4">
      <c r="A931" t="s">
        <v>363</v>
      </c>
      <c r="B931">
        <v>60</v>
      </c>
      <c r="C931" t="s">
        <v>3</v>
      </c>
      <c r="D931">
        <v>33</v>
      </c>
      <c r="E931" t="s">
        <v>451</v>
      </c>
      <c r="F931">
        <v>1372</v>
      </c>
      <c r="G931" t="s">
        <v>992</v>
      </c>
      <c r="I931">
        <v>10002483</v>
      </c>
      <c r="J931" t="s">
        <v>2343</v>
      </c>
      <c r="K931">
        <v>800159</v>
      </c>
      <c r="L931">
        <v>1</v>
      </c>
      <c r="M931" t="s">
        <v>376</v>
      </c>
      <c r="N931" t="s">
        <v>262</v>
      </c>
      <c r="O931">
        <v>1384800</v>
      </c>
    </row>
    <row r="932" spans="1:15" x14ac:dyDescent="0.4">
      <c r="A932" t="s">
        <v>311</v>
      </c>
      <c r="B932">
        <v>75</v>
      </c>
      <c r="C932" t="s">
        <v>5</v>
      </c>
      <c r="D932">
        <v>51</v>
      </c>
      <c r="E932" t="s">
        <v>657</v>
      </c>
      <c r="F932">
        <v>1365</v>
      </c>
      <c r="G932" t="s">
        <v>1148</v>
      </c>
      <c r="I932">
        <v>10002491</v>
      </c>
      <c r="J932" t="s">
        <v>2344</v>
      </c>
      <c r="K932">
        <v>800159</v>
      </c>
      <c r="L932">
        <v>1</v>
      </c>
      <c r="M932" t="s">
        <v>258</v>
      </c>
      <c r="N932" t="s">
        <v>263</v>
      </c>
      <c r="O932">
        <v>1509000</v>
      </c>
    </row>
    <row r="933" spans="1:15" x14ac:dyDescent="0.4">
      <c r="A933" t="s">
        <v>195</v>
      </c>
      <c r="B933">
        <v>60</v>
      </c>
      <c r="C933" t="s">
        <v>3</v>
      </c>
      <c r="D933">
        <v>33</v>
      </c>
      <c r="E933" t="s">
        <v>451</v>
      </c>
      <c r="F933">
        <v>1372</v>
      </c>
      <c r="G933" t="s">
        <v>992</v>
      </c>
      <c r="I933">
        <v>10002494</v>
      </c>
      <c r="J933" t="s">
        <v>2345</v>
      </c>
      <c r="K933">
        <v>800159</v>
      </c>
      <c r="L933">
        <v>1</v>
      </c>
      <c r="M933" t="s">
        <v>185</v>
      </c>
      <c r="N933" t="s">
        <v>190</v>
      </c>
      <c r="O933">
        <v>1320000</v>
      </c>
    </row>
    <row r="934" spans="1:15" x14ac:dyDescent="0.4">
      <c r="A934" t="s">
        <v>281</v>
      </c>
      <c r="B934">
        <v>76</v>
      </c>
      <c r="C934" t="s">
        <v>6</v>
      </c>
      <c r="D934">
        <v>61</v>
      </c>
      <c r="E934" t="s">
        <v>703</v>
      </c>
      <c r="F934">
        <v>1389</v>
      </c>
      <c r="G934" t="s">
        <v>1197</v>
      </c>
      <c r="I934">
        <v>10011503</v>
      </c>
      <c r="J934" t="s">
        <v>2346</v>
      </c>
      <c r="K934">
        <v>800155</v>
      </c>
      <c r="L934">
        <v>1</v>
      </c>
      <c r="M934" t="s">
        <v>363</v>
      </c>
      <c r="N934" t="s">
        <v>242</v>
      </c>
      <c r="O934">
        <v>160800</v>
      </c>
    </row>
    <row r="935" spans="1:15" x14ac:dyDescent="0.4">
      <c r="A935" t="s">
        <v>242</v>
      </c>
      <c r="B935">
        <v>76</v>
      </c>
      <c r="C935" t="s">
        <v>6</v>
      </c>
      <c r="D935">
        <v>61</v>
      </c>
      <c r="E935" t="s">
        <v>703</v>
      </c>
      <c r="F935">
        <v>1389</v>
      </c>
      <c r="G935" t="s">
        <v>1197</v>
      </c>
      <c r="I935">
        <v>10011503</v>
      </c>
      <c r="J935" t="s">
        <v>2346</v>
      </c>
      <c r="K935">
        <v>800155</v>
      </c>
      <c r="L935">
        <v>1</v>
      </c>
      <c r="M935" t="s">
        <v>311</v>
      </c>
      <c r="N935" t="s">
        <v>312</v>
      </c>
      <c r="O935">
        <v>160800</v>
      </c>
    </row>
    <row r="936" spans="1:15" x14ac:dyDescent="0.4">
      <c r="A936" t="s">
        <v>1469</v>
      </c>
      <c r="B936">
        <v>50</v>
      </c>
      <c r="C936" t="s">
        <v>1</v>
      </c>
      <c r="D936">
        <v>21</v>
      </c>
      <c r="E936" t="s">
        <v>182</v>
      </c>
      <c r="F936">
        <v>1166</v>
      </c>
      <c r="G936" t="s">
        <v>1082</v>
      </c>
      <c r="I936">
        <v>10002551</v>
      </c>
      <c r="J936" t="s">
        <v>2347</v>
      </c>
      <c r="K936">
        <v>800157</v>
      </c>
      <c r="L936">
        <v>1</v>
      </c>
      <c r="M936" t="s">
        <v>1475</v>
      </c>
      <c r="N936" t="s">
        <v>187</v>
      </c>
      <c r="O936">
        <v>471600</v>
      </c>
    </row>
    <row r="937" spans="1:15" x14ac:dyDescent="0.4">
      <c r="A937" t="s">
        <v>1469</v>
      </c>
      <c r="B937">
        <v>60</v>
      </c>
      <c r="C937" t="s">
        <v>3</v>
      </c>
      <c r="D937">
        <v>31</v>
      </c>
      <c r="E937" t="s">
        <v>447</v>
      </c>
      <c r="F937">
        <v>1612</v>
      </c>
      <c r="G937" t="s">
        <v>1720</v>
      </c>
      <c r="I937">
        <v>10002554</v>
      </c>
      <c r="J937" t="s">
        <v>2348</v>
      </c>
      <c r="K937">
        <v>800157</v>
      </c>
      <c r="L937">
        <v>1</v>
      </c>
      <c r="M937" t="s">
        <v>1475</v>
      </c>
      <c r="N937" t="s">
        <v>187</v>
      </c>
      <c r="O937">
        <v>1020000</v>
      </c>
    </row>
    <row r="938" spans="1:15" x14ac:dyDescent="0.4">
      <c r="A938" t="s">
        <v>376</v>
      </c>
      <c r="B938">
        <v>60</v>
      </c>
      <c r="C938" t="s">
        <v>3</v>
      </c>
      <c r="D938">
        <v>33</v>
      </c>
      <c r="E938" t="s">
        <v>451</v>
      </c>
      <c r="F938">
        <v>1372</v>
      </c>
      <c r="G938" t="s">
        <v>992</v>
      </c>
      <c r="I938">
        <v>10002565</v>
      </c>
      <c r="J938" t="s">
        <v>2349</v>
      </c>
      <c r="K938">
        <v>800157</v>
      </c>
      <c r="L938">
        <v>1</v>
      </c>
      <c r="M938" t="s">
        <v>353</v>
      </c>
      <c r="N938" t="s">
        <v>328</v>
      </c>
      <c r="O938">
        <v>698400</v>
      </c>
    </row>
    <row r="939" spans="1:15" x14ac:dyDescent="0.4">
      <c r="A939" t="s">
        <v>353</v>
      </c>
      <c r="B939">
        <v>70</v>
      </c>
      <c r="C939" t="s">
        <v>2</v>
      </c>
      <c r="D939">
        <v>41</v>
      </c>
      <c r="E939" t="s">
        <v>306</v>
      </c>
      <c r="F939">
        <v>1118</v>
      </c>
      <c r="G939" t="s">
        <v>1471</v>
      </c>
      <c r="I939">
        <v>10002612</v>
      </c>
      <c r="J939" t="s">
        <v>2350</v>
      </c>
      <c r="K939">
        <v>800159</v>
      </c>
      <c r="L939">
        <v>1</v>
      </c>
      <c r="M939" t="s">
        <v>220</v>
      </c>
      <c r="N939" t="s">
        <v>225</v>
      </c>
      <c r="O939">
        <v>1379400</v>
      </c>
    </row>
    <row r="940" spans="1:15" x14ac:dyDescent="0.4">
      <c r="A940" t="s">
        <v>1548</v>
      </c>
      <c r="B940">
        <v>80</v>
      </c>
      <c r="C940" t="s">
        <v>4</v>
      </c>
      <c r="D940">
        <v>81</v>
      </c>
      <c r="E940" t="s">
        <v>550</v>
      </c>
      <c r="F940">
        <v>1436</v>
      </c>
      <c r="G940" t="s">
        <v>918</v>
      </c>
      <c r="I940">
        <v>10002630</v>
      </c>
      <c r="J940" t="s">
        <v>2351</v>
      </c>
      <c r="K940">
        <v>800159</v>
      </c>
      <c r="L940">
        <v>1</v>
      </c>
      <c r="M940" t="s">
        <v>1586</v>
      </c>
      <c r="N940" t="s">
        <v>224</v>
      </c>
      <c r="O940">
        <v>1320000</v>
      </c>
    </row>
    <row r="941" spans="1:15" x14ac:dyDescent="0.4">
      <c r="A941" t="s">
        <v>195</v>
      </c>
      <c r="B941">
        <v>76</v>
      </c>
      <c r="C941" t="s">
        <v>6</v>
      </c>
      <c r="D941">
        <v>61</v>
      </c>
      <c r="E941" t="s">
        <v>703</v>
      </c>
      <c r="F941">
        <v>1563</v>
      </c>
      <c r="G941" t="s">
        <v>942</v>
      </c>
      <c r="I941">
        <v>10002639</v>
      </c>
      <c r="J941" t="s">
        <v>2352</v>
      </c>
      <c r="K941">
        <v>800157</v>
      </c>
      <c r="L941">
        <v>1</v>
      </c>
      <c r="M941" t="s">
        <v>185</v>
      </c>
      <c r="N941" t="s">
        <v>188</v>
      </c>
      <c r="O941">
        <v>822400</v>
      </c>
    </row>
    <row r="942" spans="1:15" x14ac:dyDescent="0.4">
      <c r="A942" t="s">
        <v>250</v>
      </c>
      <c r="B942">
        <v>70</v>
      </c>
      <c r="C942" t="s">
        <v>2</v>
      </c>
      <c r="D942">
        <v>41</v>
      </c>
      <c r="E942" t="s">
        <v>306</v>
      </c>
      <c r="F942">
        <v>1552</v>
      </c>
      <c r="G942" t="s">
        <v>929</v>
      </c>
      <c r="I942">
        <v>10002641</v>
      </c>
      <c r="J942" t="s">
        <v>2353</v>
      </c>
      <c r="K942">
        <v>800159</v>
      </c>
      <c r="L942">
        <v>1</v>
      </c>
      <c r="M942" t="s">
        <v>196</v>
      </c>
      <c r="N942" t="s">
        <v>215</v>
      </c>
      <c r="O942">
        <v>1455000</v>
      </c>
    </row>
    <row r="943" spans="1:15" x14ac:dyDescent="0.4">
      <c r="A943" t="s">
        <v>1523</v>
      </c>
      <c r="B943">
        <v>76</v>
      </c>
      <c r="C943" t="s">
        <v>6</v>
      </c>
      <c r="D943">
        <v>61</v>
      </c>
      <c r="E943" t="s">
        <v>703</v>
      </c>
      <c r="F943">
        <v>1563</v>
      </c>
      <c r="G943" t="s">
        <v>942</v>
      </c>
      <c r="I943">
        <v>10002684</v>
      </c>
      <c r="J943" t="s">
        <v>2354</v>
      </c>
      <c r="K943">
        <v>800157</v>
      </c>
      <c r="L943">
        <v>1</v>
      </c>
      <c r="M943" t="s">
        <v>1587</v>
      </c>
      <c r="N943" t="s">
        <v>259</v>
      </c>
      <c r="O943">
        <v>784000</v>
      </c>
    </row>
    <row r="944" spans="1:15" x14ac:dyDescent="0.4">
      <c r="A944" t="s">
        <v>250</v>
      </c>
      <c r="B944">
        <v>50</v>
      </c>
      <c r="C944" t="s">
        <v>1</v>
      </c>
      <c r="D944">
        <v>11</v>
      </c>
      <c r="E944" t="s">
        <v>192</v>
      </c>
      <c r="F944">
        <v>1085</v>
      </c>
      <c r="G944" t="s">
        <v>854</v>
      </c>
      <c r="I944">
        <v>10002686</v>
      </c>
      <c r="J944" t="s">
        <v>2355</v>
      </c>
      <c r="K944">
        <v>800159</v>
      </c>
      <c r="L944">
        <v>1</v>
      </c>
      <c r="M944" t="s">
        <v>196</v>
      </c>
      <c r="N944" t="s">
        <v>215</v>
      </c>
      <c r="O944">
        <v>780000</v>
      </c>
    </row>
    <row r="945" spans="1:15" x14ac:dyDescent="0.4">
      <c r="A945" t="s">
        <v>1594</v>
      </c>
      <c r="B945">
        <v>76</v>
      </c>
      <c r="C945" t="s">
        <v>6</v>
      </c>
      <c r="D945">
        <v>61</v>
      </c>
      <c r="E945" t="s">
        <v>703</v>
      </c>
      <c r="F945">
        <v>1468</v>
      </c>
      <c r="G945" t="s">
        <v>914</v>
      </c>
      <c r="I945">
        <v>10002703</v>
      </c>
      <c r="J945" t="s">
        <v>2356</v>
      </c>
      <c r="K945">
        <v>800157</v>
      </c>
      <c r="L945">
        <v>1</v>
      </c>
      <c r="M945" t="s">
        <v>1596</v>
      </c>
      <c r="N945" t="s">
        <v>252</v>
      </c>
      <c r="O945">
        <v>835200</v>
      </c>
    </row>
    <row r="946" spans="1:15" x14ac:dyDescent="0.4">
      <c r="A946" t="s">
        <v>220</v>
      </c>
      <c r="B946">
        <v>80</v>
      </c>
      <c r="C946" t="s">
        <v>4</v>
      </c>
      <c r="D946">
        <v>71</v>
      </c>
      <c r="E946" t="s">
        <v>556</v>
      </c>
      <c r="F946">
        <v>1296</v>
      </c>
      <c r="G946" t="s">
        <v>964</v>
      </c>
      <c r="I946">
        <v>10002707</v>
      </c>
      <c r="J946" t="s">
        <v>2357</v>
      </c>
      <c r="K946">
        <v>800157</v>
      </c>
      <c r="L946">
        <v>1</v>
      </c>
      <c r="M946" t="s">
        <v>203</v>
      </c>
      <c r="N946" t="s">
        <v>206</v>
      </c>
      <c r="O946">
        <v>790400</v>
      </c>
    </row>
    <row r="947" spans="1:15" x14ac:dyDescent="0.4">
      <c r="A947" t="s">
        <v>1475</v>
      </c>
      <c r="B947">
        <v>80</v>
      </c>
      <c r="C947" t="s">
        <v>4</v>
      </c>
      <c r="D947">
        <v>81</v>
      </c>
      <c r="E947" t="s">
        <v>550</v>
      </c>
      <c r="F947">
        <v>1154</v>
      </c>
      <c r="G947" t="s">
        <v>1044</v>
      </c>
      <c r="I947">
        <v>10002757</v>
      </c>
      <c r="J947" t="s">
        <v>2358</v>
      </c>
      <c r="K947">
        <v>800157</v>
      </c>
      <c r="L947">
        <v>1</v>
      </c>
      <c r="M947" t="s">
        <v>1479</v>
      </c>
      <c r="N947" t="s">
        <v>231</v>
      </c>
      <c r="O947">
        <v>784000</v>
      </c>
    </row>
    <row r="948" spans="1:15" x14ac:dyDescent="0.4">
      <c r="A948" t="s">
        <v>1523</v>
      </c>
      <c r="B948">
        <v>80</v>
      </c>
      <c r="C948" t="s">
        <v>4</v>
      </c>
      <c r="D948">
        <v>81</v>
      </c>
      <c r="E948" t="s">
        <v>550</v>
      </c>
      <c r="F948">
        <v>1378</v>
      </c>
      <c r="G948" t="s">
        <v>881</v>
      </c>
      <c r="I948">
        <v>20005384</v>
      </c>
      <c r="J948" t="s">
        <v>1849</v>
      </c>
      <c r="K948">
        <v>800157</v>
      </c>
      <c r="L948">
        <v>1</v>
      </c>
      <c r="M948" t="s">
        <v>1587</v>
      </c>
      <c r="N948" t="s">
        <v>259</v>
      </c>
      <c r="O948">
        <v>816000</v>
      </c>
    </row>
    <row r="949" spans="1:15" x14ac:dyDescent="0.4">
      <c r="A949" t="s">
        <v>221</v>
      </c>
      <c r="B949">
        <v>80</v>
      </c>
      <c r="C949" t="s">
        <v>4</v>
      </c>
      <c r="D949">
        <v>81</v>
      </c>
      <c r="E949" t="s">
        <v>550</v>
      </c>
      <c r="F949">
        <v>1154</v>
      </c>
      <c r="G949" t="s">
        <v>1044</v>
      </c>
      <c r="I949">
        <v>10002763</v>
      </c>
      <c r="J949" t="s">
        <v>1901</v>
      </c>
      <c r="K949">
        <v>800159</v>
      </c>
      <c r="L949">
        <v>1</v>
      </c>
      <c r="M949" t="s">
        <v>204</v>
      </c>
      <c r="O949">
        <v>1325400</v>
      </c>
    </row>
    <row r="950" spans="1:15" x14ac:dyDescent="0.4">
      <c r="A950" t="s">
        <v>1594</v>
      </c>
      <c r="B950">
        <v>75</v>
      </c>
      <c r="C950" t="s">
        <v>5</v>
      </c>
      <c r="D950">
        <v>51</v>
      </c>
      <c r="E950" t="s">
        <v>657</v>
      </c>
      <c r="F950">
        <v>1435</v>
      </c>
      <c r="G950" t="s">
        <v>860</v>
      </c>
      <c r="I950">
        <v>10002768</v>
      </c>
      <c r="J950" t="s">
        <v>2359</v>
      </c>
      <c r="K950">
        <v>800159</v>
      </c>
      <c r="L950">
        <v>1</v>
      </c>
      <c r="M950" t="s">
        <v>1596</v>
      </c>
      <c r="N950" t="s">
        <v>254</v>
      </c>
      <c r="O950">
        <v>1330800</v>
      </c>
    </row>
    <row r="951" spans="1:15" x14ac:dyDescent="0.4">
      <c r="A951" t="s">
        <v>275</v>
      </c>
      <c r="B951">
        <v>50</v>
      </c>
      <c r="C951" t="s">
        <v>1</v>
      </c>
      <c r="D951">
        <v>11</v>
      </c>
      <c r="E951" t="s">
        <v>192</v>
      </c>
      <c r="F951">
        <v>1085</v>
      </c>
      <c r="G951" t="s">
        <v>854</v>
      </c>
      <c r="I951">
        <v>10002771</v>
      </c>
      <c r="J951" t="s">
        <v>1901</v>
      </c>
      <c r="K951">
        <v>800155</v>
      </c>
      <c r="L951">
        <v>1</v>
      </c>
      <c r="M951" t="s">
        <v>281</v>
      </c>
      <c r="N951" t="s">
        <v>230</v>
      </c>
      <c r="O951">
        <v>172800</v>
      </c>
    </row>
    <row r="952" spans="1:15" x14ac:dyDescent="0.4">
      <c r="A952" t="s">
        <v>230</v>
      </c>
      <c r="B952">
        <v>50</v>
      </c>
      <c r="C952" t="s">
        <v>1</v>
      </c>
      <c r="D952">
        <v>11</v>
      </c>
      <c r="E952" t="s">
        <v>192</v>
      </c>
      <c r="F952">
        <v>1085</v>
      </c>
      <c r="G952" t="s">
        <v>854</v>
      </c>
      <c r="I952">
        <v>10002771</v>
      </c>
      <c r="J952" t="s">
        <v>1901</v>
      </c>
      <c r="K952">
        <v>800155</v>
      </c>
      <c r="L952">
        <v>1</v>
      </c>
      <c r="M952" t="s">
        <v>242</v>
      </c>
      <c r="N952" t="s">
        <v>243</v>
      </c>
      <c r="O952">
        <v>172800</v>
      </c>
    </row>
    <row r="953" spans="1:15" x14ac:dyDescent="0.4">
      <c r="A953" t="s">
        <v>1475</v>
      </c>
      <c r="B953">
        <v>80</v>
      </c>
      <c r="C953" t="s">
        <v>4</v>
      </c>
      <c r="D953">
        <v>81</v>
      </c>
      <c r="E953" t="s">
        <v>550</v>
      </c>
      <c r="F953">
        <v>1378</v>
      </c>
      <c r="G953" t="s">
        <v>881</v>
      </c>
      <c r="I953">
        <v>10002827</v>
      </c>
      <c r="J953" t="s">
        <v>2360</v>
      </c>
      <c r="K953">
        <v>800157</v>
      </c>
      <c r="L953">
        <v>1</v>
      </c>
      <c r="M953" t="s">
        <v>1479</v>
      </c>
      <c r="N953" t="s">
        <v>231</v>
      </c>
      <c r="O953">
        <v>844800</v>
      </c>
    </row>
    <row r="954" spans="1:15" x14ac:dyDescent="0.4">
      <c r="A954" t="s">
        <v>311</v>
      </c>
      <c r="B954">
        <v>50</v>
      </c>
      <c r="C954" t="s">
        <v>1</v>
      </c>
      <c r="D954">
        <v>21</v>
      </c>
      <c r="E954" t="s">
        <v>182</v>
      </c>
      <c r="F954">
        <v>1264</v>
      </c>
      <c r="G954" t="s">
        <v>1023</v>
      </c>
      <c r="I954">
        <v>20009074</v>
      </c>
      <c r="J954" t="s">
        <v>2361</v>
      </c>
      <c r="K954">
        <v>800159</v>
      </c>
      <c r="L954">
        <v>1</v>
      </c>
      <c r="M954" t="s">
        <v>258</v>
      </c>
      <c r="N954" t="s">
        <v>263</v>
      </c>
      <c r="O954">
        <v>1670000</v>
      </c>
    </row>
    <row r="955" spans="1:15" x14ac:dyDescent="0.4">
      <c r="A955" t="s">
        <v>1594</v>
      </c>
      <c r="B955">
        <v>60</v>
      </c>
      <c r="C955" t="s">
        <v>3</v>
      </c>
      <c r="D955">
        <v>33</v>
      </c>
      <c r="E955" t="s">
        <v>451</v>
      </c>
      <c r="F955">
        <v>1273</v>
      </c>
      <c r="G955" t="s">
        <v>1084</v>
      </c>
      <c r="I955">
        <v>10002900</v>
      </c>
      <c r="J955" t="s">
        <v>470</v>
      </c>
      <c r="K955">
        <v>800159</v>
      </c>
      <c r="L955">
        <v>1</v>
      </c>
      <c r="M955" t="s">
        <v>1596</v>
      </c>
      <c r="N955" t="s">
        <v>254</v>
      </c>
      <c r="O955">
        <v>1254000</v>
      </c>
    </row>
    <row r="956" spans="1:15" x14ac:dyDescent="0.4">
      <c r="A956" t="s">
        <v>185</v>
      </c>
      <c r="B956">
        <v>70</v>
      </c>
      <c r="C956" t="s">
        <v>2</v>
      </c>
      <c r="D956">
        <v>41</v>
      </c>
      <c r="E956" t="s">
        <v>306</v>
      </c>
      <c r="F956">
        <v>1118</v>
      </c>
      <c r="G956" t="s">
        <v>1471</v>
      </c>
      <c r="I956">
        <v>10007952</v>
      </c>
      <c r="J956" t="s">
        <v>2362</v>
      </c>
      <c r="K956">
        <v>800159</v>
      </c>
      <c r="L956">
        <v>1</v>
      </c>
      <c r="M956" t="s">
        <v>275</v>
      </c>
      <c r="N956" t="s">
        <v>234</v>
      </c>
      <c r="O956">
        <v>1296000</v>
      </c>
    </row>
    <row r="957" spans="1:15" x14ac:dyDescent="0.4">
      <c r="A957" t="s">
        <v>186</v>
      </c>
      <c r="B957">
        <v>50</v>
      </c>
      <c r="C957" t="s">
        <v>1</v>
      </c>
      <c r="D957">
        <v>21</v>
      </c>
      <c r="E957" t="s">
        <v>182</v>
      </c>
      <c r="F957">
        <v>1345</v>
      </c>
      <c r="G957" t="s">
        <v>874</v>
      </c>
      <c r="I957">
        <v>20010144</v>
      </c>
      <c r="J957" t="s">
        <v>2363</v>
      </c>
      <c r="K957">
        <v>800157</v>
      </c>
      <c r="L957">
        <v>1</v>
      </c>
      <c r="M957" t="s">
        <v>238</v>
      </c>
      <c r="N957" t="s">
        <v>189</v>
      </c>
      <c r="O957">
        <v>787200</v>
      </c>
    </row>
    <row r="958" spans="1:15" x14ac:dyDescent="0.4">
      <c r="A958" t="s">
        <v>311</v>
      </c>
      <c r="B958">
        <v>70</v>
      </c>
      <c r="C958" t="s">
        <v>2</v>
      </c>
      <c r="D958">
        <v>41</v>
      </c>
      <c r="E958" t="s">
        <v>306</v>
      </c>
      <c r="F958">
        <v>1383</v>
      </c>
      <c r="G958" t="s">
        <v>957</v>
      </c>
      <c r="I958">
        <v>10002910</v>
      </c>
      <c r="J958" t="s">
        <v>2364</v>
      </c>
      <c r="K958">
        <v>800159</v>
      </c>
      <c r="L958">
        <v>1</v>
      </c>
      <c r="M958" t="s">
        <v>258</v>
      </c>
      <c r="N958" t="s">
        <v>263</v>
      </c>
      <c r="O958">
        <v>1390200</v>
      </c>
    </row>
    <row r="959" spans="1:15" x14ac:dyDescent="0.4">
      <c r="A959" t="s">
        <v>268</v>
      </c>
      <c r="B959">
        <v>80</v>
      </c>
      <c r="C959" t="s">
        <v>4</v>
      </c>
      <c r="D959">
        <v>81</v>
      </c>
      <c r="E959" t="s">
        <v>550</v>
      </c>
      <c r="F959">
        <v>1378</v>
      </c>
      <c r="G959" t="s">
        <v>881</v>
      </c>
      <c r="I959">
        <v>20008087</v>
      </c>
      <c r="J959" t="s">
        <v>2365</v>
      </c>
      <c r="K959">
        <v>800159</v>
      </c>
      <c r="L959">
        <v>1</v>
      </c>
      <c r="M959" t="s">
        <v>195</v>
      </c>
      <c r="N959" t="s">
        <v>200</v>
      </c>
      <c r="O959">
        <v>1347000</v>
      </c>
    </row>
    <row r="960" spans="1:15" x14ac:dyDescent="0.4">
      <c r="A960" t="s">
        <v>185</v>
      </c>
      <c r="B960">
        <v>50</v>
      </c>
      <c r="C960" t="s">
        <v>1</v>
      </c>
      <c r="D960">
        <v>21</v>
      </c>
      <c r="E960" t="s">
        <v>182</v>
      </c>
      <c r="F960">
        <v>1345</v>
      </c>
      <c r="G960" t="s">
        <v>874</v>
      </c>
      <c r="I960">
        <v>10002920</v>
      </c>
      <c r="J960" t="s">
        <v>2366</v>
      </c>
      <c r="K960">
        <v>800157</v>
      </c>
      <c r="L960">
        <v>1</v>
      </c>
      <c r="M960" t="s">
        <v>275</v>
      </c>
      <c r="N960" t="s">
        <v>232</v>
      </c>
      <c r="O960">
        <v>816000</v>
      </c>
    </row>
    <row r="961" spans="1:15" x14ac:dyDescent="0.4">
      <c r="A961" t="s">
        <v>1469</v>
      </c>
      <c r="B961">
        <v>50</v>
      </c>
      <c r="C961" t="s">
        <v>1</v>
      </c>
      <c r="D961">
        <v>21</v>
      </c>
      <c r="E961" t="s">
        <v>182</v>
      </c>
      <c r="F961">
        <v>1264</v>
      </c>
      <c r="G961" t="s">
        <v>1023</v>
      </c>
      <c r="I961">
        <v>10000263</v>
      </c>
      <c r="J961" t="s">
        <v>2367</v>
      </c>
      <c r="K961">
        <v>800155</v>
      </c>
      <c r="L961">
        <v>1</v>
      </c>
      <c r="M961" t="s">
        <v>1475</v>
      </c>
      <c r="N961" t="s">
        <v>195</v>
      </c>
      <c r="O961">
        <v>193200</v>
      </c>
    </row>
    <row r="962" spans="1:15" x14ac:dyDescent="0.4">
      <c r="A962" t="s">
        <v>186</v>
      </c>
      <c r="B962">
        <v>80</v>
      </c>
      <c r="C962" t="s">
        <v>4</v>
      </c>
      <c r="D962">
        <v>81</v>
      </c>
      <c r="E962" t="s">
        <v>550</v>
      </c>
      <c r="F962">
        <v>1322</v>
      </c>
      <c r="G962" t="s">
        <v>961</v>
      </c>
      <c r="I962">
        <v>10012266</v>
      </c>
      <c r="J962" t="s">
        <v>1978</v>
      </c>
      <c r="K962">
        <v>800159</v>
      </c>
      <c r="L962">
        <v>1</v>
      </c>
      <c r="M962" t="s">
        <v>238</v>
      </c>
      <c r="N962" t="s">
        <v>239</v>
      </c>
      <c r="O962">
        <v>1320000</v>
      </c>
    </row>
    <row r="963" spans="1:15" x14ac:dyDescent="0.4">
      <c r="A963" t="s">
        <v>268</v>
      </c>
      <c r="B963">
        <v>80</v>
      </c>
      <c r="C963" t="s">
        <v>4</v>
      </c>
      <c r="D963">
        <v>81</v>
      </c>
      <c r="E963" t="s">
        <v>550</v>
      </c>
      <c r="F963">
        <v>1322</v>
      </c>
      <c r="G963" t="s">
        <v>961</v>
      </c>
      <c r="I963">
        <v>10000276</v>
      </c>
      <c r="J963" t="s">
        <v>2368</v>
      </c>
      <c r="K963">
        <v>800159</v>
      </c>
      <c r="L963">
        <v>1</v>
      </c>
      <c r="M963" t="s">
        <v>195</v>
      </c>
      <c r="N963" t="s">
        <v>200</v>
      </c>
      <c r="O963">
        <v>1330800</v>
      </c>
    </row>
    <row r="964" spans="1:15" x14ac:dyDescent="0.4">
      <c r="A964" t="s">
        <v>363</v>
      </c>
      <c r="B964">
        <v>70</v>
      </c>
      <c r="C964" t="s">
        <v>2</v>
      </c>
      <c r="D964">
        <v>41</v>
      </c>
      <c r="E964" t="s">
        <v>306</v>
      </c>
      <c r="F964">
        <v>1552</v>
      </c>
      <c r="G964" t="s">
        <v>929</v>
      </c>
      <c r="I964">
        <v>10000281</v>
      </c>
      <c r="J964" t="s">
        <v>2369</v>
      </c>
      <c r="K964">
        <v>800159</v>
      </c>
      <c r="L964">
        <v>1</v>
      </c>
      <c r="M964" t="s">
        <v>376</v>
      </c>
      <c r="N964" t="s">
        <v>262</v>
      </c>
      <c r="O964">
        <v>1411800</v>
      </c>
    </row>
    <row r="965" spans="1:15" x14ac:dyDescent="0.4">
      <c r="A965" t="s">
        <v>1487</v>
      </c>
      <c r="B965">
        <v>80</v>
      </c>
      <c r="C965" t="s">
        <v>4</v>
      </c>
      <c r="D965">
        <v>81</v>
      </c>
      <c r="E965" t="s">
        <v>550</v>
      </c>
      <c r="F965">
        <v>1154</v>
      </c>
      <c r="G965" t="s">
        <v>1044</v>
      </c>
      <c r="I965">
        <v>10002064</v>
      </c>
      <c r="J965" t="s">
        <v>2370</v>
      </c>
      <c r="K965">
        <v>800157</v>
      </c>
      <c r="L965">
        <v>1</v>
      </c>
      <c r="M965" t="s">
        <v>1523</v>
      </c>
      <c r="N965" t="s">
        <v>312</v>
      </c>
      <c r="O965">
        <v>784000</v>
      </c>
    </row>
    <row r="966" spans="1:15" x14ac:dyDescent="0.4">
      <c r="A966" t="s">
        <v>195</v>
      </c>
      <c r="B966">
        <v>50</v>
      </c>
      <c r="C966" t="s">
        <v>1</v>
      </c>
      <c r="D966">
        <v>21</v>
      </c>
      <c r="E966" t="s">
        <v>182</v>
      </c>
      <c r="F966">
        <v>1166</v>
      </c>
      <c r="G966" t="s">
        <v>1082</v>
      </c>
      <c r="I966">
        <v>10002065</v>
      </c>
      <c r="J966" t="s">
        <v>2033</v>
      </c>
      <c r="K966">
        <v>800159</v>
      </c>
      <c r="L966">
        <v>1</v>
      </c>
      <c r="M966" t="s">
        <v>185</v>
      </c>
      <c r="N966" t="s">
        <v>190</v>
      </c>
      <c r="O966">
        <v>1320000</v>
      </c>
    </row>
    <row r="967" spans="1:15" x14ac:dyDescent="0.4">
      <c r="A967" t="s">
        <v>1589</v>
      </c>
      <c r="B967">
        <v>76</v>
      </c>
      <c r="C967" t="s">
        <v>6</v>
      </c>
      <c r="D967">
        <v>61</v>
      </c>
      <c r="E967" t="s">
        <v>703</v>
      </c>
      <c r="F967">
        <v>1563</v>
      </c>
      <c r="G967" t="s">
        <v>942</v>
      </c>
      <c r="I967">
        <v>10002066</v>
      </c>
      <c r="J967" t="s">
        <v>2371</v>
      </c>
      <c r="K967">
        <v>800157</v>
      </c>
      <c r="L967">
        <v>1</v>
      </c>
      <c r="M967" t="s">
        <v>1594</v>
      </c>
      <c r="N967" t="s">
        <v>292</v>
      </c>
      <c r="O967">
        <v>835200</v>
      </c>
    </row>
    <row r="968" spans="1:15" x14ac:dyDescent="0.4">
      <c r="A968" t="s">
        <v>238</v>
      </c>
      <c r="B968">
        <v>76</v>
      </c>
      <c r="C968" t="s">
        <v>6</v>
      </c>
      <c r="D968">
        <v>61</v>
      </c>
      <c r="E968" t="s">
        <v>703</v>
      </c>
      <c r="F968">
        <v>1563</v>
      </c>
      <c r="G968" t="s">
        <v>942</v>
      </c>
      <c r="I968">
        <v>10002067</v>
      </c>
      <c r="J968" t="s">
        <v>2372</v>
      </c>
      <c r="K968">
        <v>800159</v>
      </c>
      <c r="L968">
        <v>1</v>
      </c>
      <c r="M968" t="s">
        <v>230</v>
      </c>
      <c r="N968" t="s">
        <v>235</v>
      </c>
      <c r="O968">
        <v>1320000</v>
      </c>
    </row>
    <row r="969" spans="1:15" x14ac:dyDescent="0.4">
      <c r="A969" t="s">
        <v>290</v>
      </c>
      <c r="B969">
        <v>70</v>
      </c>
      <c r="C969" t="s">
        <v>2</v>
      </c>
      <c r="D969">
        <v>41</v>
      </c>
      <c r="E969" t="s">
        <v>306</v>
      </c>
      <c r="F969">
        <v>1118</v>
      </c>
      <c r="G969" t="s">
        <v>1471</v>
      </c>
      <c r="I969">
        <v>10002069</v>
      </c>
      <c r="J969" t="s">
        <v>2373</v>
      </c>
      <c r="K969">
        <v>800159</v>
      </c>
      <c r="L969">
        <v>1</v>
      </c>
      <c r="M969" t="s">
        <v>250</v>
      </c>
      <c r="N969" t="s">
        <v>255</v>
      </c>
      <c r="O969">
        <v>906000</v>
      </c>
    </row>
    <row r="970" spans="1:15" x14ac:dyDescent="0.4">
      <c r="A970" t="s">
        <v>186</v>
      </c>
      <c r="B970">
        <v>60</v>
      </c>
      <c r="C970" t="s">
        <v>3</v>
      </c>
      <c r="D970">
        <v>33</v>
      </c>
      <c r="E970" t="s">
        <v>451</v>
      </c>
      <c r="F970">
        <v>1505</v>
      </c>
      <c r="G970" t="s">
        <v>900</v>
      </c>
      <c r="I970">
        <v>10002091</v>
      </c>
      <c r="J970" t="s">
        <v>448</v>
      </c>
      <c r="K970">
        <v>800157</v>
      </c>
      <c r="L970">
        <v>1</v>
      </c>
      <c r="M970" t="s">
        <v>238</v>
      </c>
      <c r="N970" t="s">
        <v>189</v>
      </c>
      <c r="O970">
        <v>787200</v>
      </c>
    </row>
    <row r="971" spans="1:15" x14ac:dyDescent="0.4">
      <c r="A971" t="s">
        <v>376</v>
      </c>
      <c r="B971">
        <v>60</v>
      </c>
      <c r="C971" t="s">
        <v>3</v>
      </c>
      <c r="D971">
        <v>31</v>
      </c>
      <c r="E971" t="s">
        <v>447</v>
      </c>
      <c r="F971">
        <v>1616</v>
      </c>
      <c r="G971" t="s">
        <v>1659</v>
      </c>
      <c r="I971">
        <v>10002140</v>
      </c>
      <c r="J971" t="s">
        <v>2374</v>
      </c>
      <c r="K971">
        <v>800157</v>
      </c>
      <c r="L971">
        <v>1</v>
      </c>
      <c r="M971" t="s">
        <v>353</v>
      </c>
      <c r="N971" t="s">
        <v>328</v>
      </c>
      <c r="O971">
        <v>784000</v>
      </c>
    </row>
    <row r="972" spans="1:15" x14ac:dyDescent="0.4">
      <c r="A972" t="s">
        <v>1487</v>
      </c>
      <c r="B972">
        <v>60</v>
      </c>
      <c r="C972" t="s">
        <v>3</v>
      </c>
      <c r="D972">
        <v>31</v>
      </c>
      <c r="E972" t="s">
        <v>447</v>
      </c>
      <c r="F972">
        <v>1367</v>
      </c>
      <c r="G972" t="s">
        <v>977</v>
      </c>
      <c r="I972">
        <v>10002143</v>
      </c>
      <c r="J972" t="s">
        <v>2375</v>
      </c>
      <c r="K972">
        <v>800159</v>
      </c>
      <c r="L972">
        <v>1</v>
      </c>
      <c r="M972" t="s">
        <v>1523</v>
      </c>
      <c r="N972" t="s">
        <v>314</v>
      </c>
      <c r="O972">
        <v>1498200</v>
      </c>
    </row>
    <row r="973" spans="1:15" x14ac:dyDescent="0.4">
      <c r="A973" t="s">
        <v>203</v>
      </c>
      <c r="B973">
        <v>70</v>
      </c>
      <c r="C973" t="s">
        <v>2</v>
      </c>
      <c r="D973">
        <v>41</v>
      </c>
      <c r="E973" t="s">
        <v>306</v>
      </c>
      <c r="F973">
        <v>1510</v>
      </c>
      <c r="G973" t="s">
        <v>870</v>
      </c>
      <c r="I973">
        <v>10002148</v>
      </c>
      <c r="J973" t="s">
        <v>2376</v>
      </c>
      <c r="K973">
        <v>800159</v>
      </c>
      <c r="L973">
        <v>1</v>
      </c>
      <c r="M973" t="s">
        <v>290</v>
      </c>
      <c r="N973" t="s">
        <v>295</v>
      </c>
      <c r="O973">
        <v>1592000</v>
      </c>
    </row>
    <row r="974" spans="1:15" x14ac:dyDescent="0.4">
      <c r="A974" t="s">
        <v>275</v>
      </c>
      <c r="B974">
        <v>76</v>
      </c>
      <c r="C974" t="s">
        <v>6</v>
      </c>
      <c r="D974">
        <v>61</v>
      </c>
      <c r="E974" t="s">
        <v>703</v>
      </c>
      <c r="F974">
        <v>1472</v>
      </c>
      <c r="G974" t="s">
        <v>998</v>
      </c>
      <c r="I974">
        <v>10002149</v>
      </c>
      <c r="J974" t="s">
        <v>2377</v>
      </c>
      <c r="K974">
        <v>800159</v>
      </c>
      <c r="L974">
        <v>1</v>
      </c>
      <c r="M974" t="s">
        <v>281</v>
      </c>
      <c r="N974" t="s">
        <v>246</v>
      </c>
      <c r="O974">
        <v>1320000</v>
      </c>
    </row>
    <row r="975" spans="1:15" x14ac:dyDescent="0.4">
      <c r="A975" t="s">
        <v>250</v>
      </c>
      <c r="B975">
        <v>70</v>
      </c>
      <c r="C975" t="s">
        <v>2</v>
      </c>
      <c r="D975">
        <v>41</v>
      </c>
      <c r="E975" t="s">
        <v>306</v>
      </c>
      <c r="F975">
        <v>1552</v>
      </c>
      <c r="G975" t="s">
        <v>929</v>
      </c>
      <c r="I975">
        <v>10002151</v>
      </c>
      <c r="J975" t="s">
        <v>2378</v>
      </c>
      <c r="K975">
        <v>800159</v>
      </c>
      <c r="L975">
        <v>1</v>
      </c>
      <c r="M975" t="s">
        <v>196</v>
      </c>
      <c r="N975" t="s">
        <v>215</v>
      </c>
      <c r="O975">
        <v>1020000</v>
      </c>
    </row>
    <row r="976" spans="1:15" x14ac:dyDescent="0.4">
      <c r="A976" t="s">
        <v>1594</v>
      </c>
      <c r="B976">
        <v>60</v>
      </c>
      <c r="C976" t="s">
        <v>3</v>
      </c>
      <c r="D976">
        <v>33</v>
      </c>
      <c r="E976" t="s">
        <v>451</v>
      </c>
      <c r="F976">
        <v>1505</v>
      </c>
      <c r="G976" t="s">
        <v>900</v>
      </c>
      <c r="I976">
        <v>10002171</v>
      </c>
      <c r="J976" t="s">
        <v>2379</v>
      </c>
      <c r="K976">
        <v>800159</v>
      </c>
      <c r="L976">
        <v>1</v>
      </c>
      <c r="M976" t="s">
        <v>1596</v>
      </c>
      <c r="N976" t="s">
        <v>254</v>
      </c>
      <c r="O976">
        <v>1492800</v>
      </c>
    </row>
    <row r="977" spans="1:15" x14ac:dyDescent="0.4">
      <c r="A977" t="s">
        <v>1469</v>
      </c>
      <c r="B977">
        <v>60</v>
      </c>
      <c r="C977" t="s">
        <v>3</v>
      </c>
      <c r="D977">
        <v>31</v>
      </c>
      <c r="E977" t="s">
        <v>447</v>
      </c>
      <c r="F977">
        <v>1116</v>
      </c>
      <c r="G977" t="s">
        <v>1075</v>
      </c>
      <c r="I977">
        <v>20003507</v>
      </c>
      <c r="J977" t="s">
        <v>2380</v>
      </c>
      <c r="K977">
        <v>800157</v>
      </c>
      <c r="L977">
        <v>1</v>
      </c>
      <c r="M977" t="s">
        <v>1475</v>
      </c>
      <c r="N977" t="s">
        <v>187</v>
      </c>
      <c r="O977">
        <v>899200</v>
      </c>
    </row>
    <row r="978" spans="1:15" x14ac:dyDescent="0.4">
      <c r="A978" t="s">
        <v>258</v>
      </c>
      <c r="B978">
        <v>50</v>
      </c>
      <c r="C978" t="s">
        <v>1</v>
      </c>
      <c r="D978">
        <v>21</v>
      </c>
      <c r="E978" t="s">
        <v>182</v>
      </c>
      <c r="F978">
        <v>1166</v>
      </c>
      <c r="G978" t="s">
        <v>1082</v>
      </c>
      <c r="I978">
        <v>10002221</v>
      </c>
      <c r="J978" t="s">
        <v>2381</v>
      </c>
      <c r="K978">
        <v>800159</v>
      </c>
      <c r="L978">
        <v>1</v>
      </c>
      <c r="M978" t="s">
        <v>221</v>
      </c>
      <c r="N978" t="s">
        <v>331</v>
      </c>
      <c r="O978">
        <v>1302000</v>
      </c>
    </row>
    <row r="979" spans="1:15" x14ac:dyDescent="0.4">
      <c r="A979" t="s">
        <v>185</v>
      </c>
      <c r="B979">
        <v>50</v>
      </c>
      <c r="C979" t="s">
        <v>1</v>
      </c>
      <c r="D979">
        <v>11</v>
      </c>
      <c r="E979" t="s">
        <v>192</v>
      </c>
      <c r="F979">
        <v>1353</v>
      </c>
      <c r="G979" t="s">
        <v>1017</v>
      </c>
      <c r="I979">
        <v>10002224</v>
      </c>
      <c r="J979" t="s">
        <v>2382</v>
      </c>
      <c r="K979">
        <v>800157</v>
      </c>
      <c r="L979">
        <v>1</v>
      </c>
      <c r="M979" t="s">
        <v>275</v>
      </c>
      <c r="N979" t="s">
        <v>232</v>
      </c>
      <c r="O979">
        <v>784000</v>
      </c>
    </row>
    <row r="980" spans="1:15" x14ac:dyDescent="0.4">
      <c r="A980" t="s">
        <v>268</v>
      </c>
      <c r="B980">
        <v>50</v>
      </c>
      <c r="C980" t="s">
        <v>1</v>
      </c>
      <c r="D980">
        <v>21</v>
      </c>
      <c r="E980" t="s">
        <v>182</v>
      </c>
      <c r="F980">
        <v>1345</v>
      </c>
      <c r="G980" t="s">
        <v>874</v>
      </c>
      <c r="I980">
        <v>10002232</v>
      </c>
      <c r="J980" t="s">
        <v>2383</v>
      </c>
      <c r="K980">
        <v>800159</v>
      </c>
      <c r="L980">
        <v>1</v>
      </c>
      <c r="M980" t="s">
        <v>195</v>
      </c>
      <c r="N980" t="s">
        <v>200</v>
      </c>
      <c r="O980">
        <v>1336200</v>
      </c>
    </row>
    <row r="981" spans="1:15" x14ac:dyDescent="0.4">
      <c r="A981" t="s">
        <v>185</v>
      </c>
      <c r="B981">
        <v>80</v>
      </c>
      <c r="C981" t="s">
        <v>4</v>
      </c>
      <c r="D981">
        <v>81</v>
      </c>
      <c r="E981" t="s">
        <v>550</v>
      </c>
      <c r="F981">
        <v>1436</v>
      </c>
      <c r="G981" t="s">
        <v>918</v>
      </c>
      <c r="I981">
        <v>10002240</v>
      </c>
      <c r="J981" t="s">
        <v>2384</v>
      </c>
      <c r="K981">
        <v>800159</v>
      </c>
      <c r="L981">
        <v>1</v>
      </c>
      <c r="M981" t="s">
        <v>275</v>
      </c>
      <c r="N981" t="s">
        <v>234</v>
      </c>
      <c r="O981">
        <v>1320000</v>
      </c>
    </row>
    <row r="982" spans="1:15" x14ac:dyDescent="0.4">
      <c r="A982" t="s">
        <v>1596</v>
      </c>
      <c r="B982">
        <v>50</v>
      </c>
      <c r="C982" t="s">
        <v>1</v>
      </c>
      <c r="D982">
        <v>21</v>
      </c>
      <c r="E982" t="s">
        <v>182</v>
      </c>
      <c r="F982">
        <v>1166</v>
      </c>
      <c r="G982" t="s">
        <v>1082</v>
      </c>
      <c r="I982">
        <v>10010806</v>
      </c>
      <c r="J982" t="s">
        <v>2385</v>
      </c>
      <c r="K982">
        <v>800159</v>
      </c>
      <c r="L982">
        <v>1</v>
      </c>
      <c r="M982" t="s">
        <v>268</v>
      </c>
      <c r="N982" t="s">
        <v>214</v>
      </c>
      <c r="O982">
        <v>1336200</v>
      </c>
    </row>
    <row r="983" spans="1:15" x14ac:dyDescent="0.4">
      <c r="A983" t="s">
        <v>1469</v>
      </c>
      <c r="B983">
        <v>50</v>
      </c>
      <c r="C983" t="s">
        <v>1</v>
      </c>
      <c r="D983">
        <v>21</v>
      </c>
      <c r="E983" t="s">
        <v>182</v>
      </c>
      <c r="F983">
        <v>1264</v>
      </c>
      <c r="G983" t="s">
        <v>1023</v>
      </c>
      <c r="I983">
        <v>10002314</v>
      </c>
      <c r="J983" t="s">
        <v>2386</v>
      </c>
      <c r="K983">
        <v>800155</v>
      </c>
      <c r="L983">
        <v>1</v>
      </c>
      <c r="M983" t="s">
        <v>1475</v>
      </c>
      <c r="N983" t="s">
        <v>195</v>
      </c>
      <c r="O983">
        <v>284400</v>
      </c>
    </row>
    <row r="984" spans="1:15" x14ac:dyDescent="0.4">
      <c r="A984" t="s">
        <v>275</v>
      </c>
      <c r="B984">
        <v>76</v>
      </c>
      <c r="C984" t="s">
        <v>6</v>
      </c>
      <c r="D984">
        <v>61</v>
      </c>
      <c r="E984" t="s">
        <v>703</v>
      </c>
      <c r="F984">
        <v>1472</v>
      </c>
      <c r="G984" t="s">
        <v>998</v>
      </c>
      <c r="I984">
        <v>10002315</v>
      </c>
      <c r="J984" t="s">
        <v>2387</v>
      </c>
      <c r="K984">
        <v>800157</v>
      </c>
      <c r="L984">
        <v>1</v>
      </c>
      <c r="M984" t="s">
        <v>281</v>
      </c>
      <c r="N984" t="s">
        <v>244</v>
      </c>
      <c r="O984">
        <v>812800</v>
      </c>
    </row>
    <row r="985" spans="1:15" x14ac:dyDescent="0.4">
      <c r="A985" t="s">
        <v>258</v>
      </c>
      <c r="B985">
        <v>70</v>
      </c>
      <c r="C985" t="s">
        <v>2</v>
      </c>
      <c r="D985">
        <v>41</v>
      </c>
      <c r="E985" t="s">
        <v>306</v>
      </c>
      <c r="F985">
        <v>1510</v>
      </c>
      <c r="G985" t="s">
        <v>870</v>
      </c>
      <c r="I985">
        <v>10002355</v>
      </c>
      <c r="J985" t="s">
        <v>2388</v>
      </c>
      <c r="K985">
        <v>800159</v>
      </c>
      <c r="L985">
        <v>1</v>
      </c>
      <c r="M985" t="s">
        <v>221</v>
      </c>
      <c r="N985" t="s">
        <v>331</v>
      </c>
      <c r="O985">
        <v>1438800</v>
      </c>
    </row>
    <row r="986" spans="1:15" x14ac:dyDescent="0.4">
      <c r="A986" t="s">
        <v>185</v>
      </c>
      <c r="B986">
        <v>70</v>
      </c>
      <c r="C986" t="s">
        <v>2</v>
      </c>
      <c r="D986">
        <v>41</v>
      </c>
      <c r="E986" t="s">
        <v>306</v>
      </c>
      <c r="F986">
        <v>1445</v>
      </c>
      <c r="G986" t="s">
        <v>886</v>
      </c>
      <c r="I986">
        <v>10002366</v>
      </c>
      <c r="J986" t="s">
        <v>2389</v>
      </c>
      <c r="K986">
        <v>800159</v>
      </c>
      <c r="L986">
        <v>1</v>
      </c>
      <c r="M986" t="s">
        <v>275</v>
      </c>
      <c r="N986" t="s">
        <v>234</v>
      </c>
      <c r="O986">
        <v>1401000</v>
      </c>
    </row>
    <row r="987" spans="1:15" x14ac:dyDescent="0.4">
      <c r="A987" t="s">
        <v>376</v>
      </c>
      <c r="B987">
        <v>60</v>
      </c>
      <c r="C987" t="s">
        <v>3</v>
      </c>
      <c r="D987">
        <v>33</v>
      </c>
      <c r="E987" t="s">
        <v>451</v>
      </c>
      <c r="F987">
        <v>1372</v>
      </c>
      <c r="G987" t="s">
        <v>992</v>
      </c>
      <c r="I987">
        <v>10002373</v>
      </c>
      <c r="J987" t="s">
        <v>2390</v>
      </c>
      <c r="K987">
        <v>800157</v>
      </c>
      <c r="L987">
        <v>1</v>
      </c>
      <c r="M987" t="s">
        <v>353</v>
      </c>
      <c r="N987" t="s">
        <v>328</v>
      </c>
      <c r="O987">
        <v>583200</v>
      </c>
    </row>
    <row r="988" spans="1:15" x14ac:dyDescent="0.4">
      <c r="A988" t="s">
        <v>1479</v>
      </c>
      <c r="B988">
        <v>75</v>
      </c>
      <c r="C988" t="s">
        <v>5</v>
      </c>
      <c r="D988">
        <v>51</v>
      </c>
      <c r="E988" t="s">
        <v>657</v>
      </c>
      <c r="F988">
        <v>1415</v>
      </c>
      <c r="G988" t="s">
        <v>1038</v>
      </c>
      <c r="I988">
        <v>10002388</v>
      </c>
      <c r="J988" t="s">
        <v>2391</v>
      </c>
      <c r="K988">
        <v>800157</v>
      </c>
      <c r="L988">
        <v>1</v>
      </c>
      <c r="M988" t="s">
        <v>1487</v>
      </c>
      <c r="N988" t="s">
        <v>243</v>
      </c>
      <c r="O988">
        <v>822400</v>
      </c>
    </row>
    <row r="989" spans="1:15" x14ac:dyDescent="0.4">
      <c r="A989" t="s">
        <v>258</v>
      </c>
      <c r="B989">
        <v>60</v>
      </c>
      <c r="C989" t="s">
        <v>3</v>
      </c>
      <c r="D989">
        <v>33</v>
      </c>
      <c r="E989" t="s">
        <v>451</v>
      </c>
      <c r="F989">
        <v>1505</v>
      </c>
      <c r="G989" t="s">
        <v>900</v>
      </c>
      <c r="I989">
        <v>10058223</v>
      </c>
      <c r="J989" t="s">
        <v>2157</v>
      </c>
      <c r="K989">
        <v>800159</v>
      </c>
      <c r="L989">
        <v>1</v>
      </c>
      <c r="M989" t="s">
        <v>221</v>
      </c>
      <c r="N989" t="s">
        <v>331</v>
      </c>
      <c r="O989">
        <v>1341600</v>
      </c>
    </row>
    <row r="990" spans="1:15" x14ac:dyDescent="0.4">
      <c r="A990" t="s">
        <v>238</v>
      </c>
      <c r="B990">
        <v>70</v>
      </c>
      <c r="C990" t="s">
        <v>2</v>
      </c>
      <c r="D990">
        <v>41</v>
      </c>
      <c r="E990" t="s">
        <v>306</v>
      </c>
      <c r="F990">
        <v>1561</v>
      </c>
      <c r="G990" t="s">
        <v>1070</v>
      </c>
      <c r="I990">
        <v>10002445</v>
      </c>
      <c r="J990" t="s">
        <v>2392</v>
      </c>
      <c r="K990">
        <v>800159</v>
      </c>
      <c r="L990">
        <v>1</v>
      </c>
      <c r="M990" t="s">
        <v>230</v>
      </c>
      <c r="N990" t="s">
        <v>235</v>
      </c>
      <c r="O990">
        <v>1460400</v>
      </c>
    </row>
    <row r="991" spans="1:15" x14ac:dyDescent="0.4">
      <c r="A991" t="s">
        <v>376</v>
      </c>
      <c r="B991">
        <v>50</v>
      </c>
      <c r="C991" t="s">
        <v>1</v>
      </c>
      <c r="D991">
        <v>21</v>
      </c>
      <c r="E991" t="s">
        <v>182</v>
      </c>
      <c r="F991">
        <v>1166</v>
      </c>
      <c r="G991" t="s">
        <v>1082</v>
      </c>
      <c r="I991">
        <v>10002454</v>
      </c>
      <c r="J991" t="s">
        <v>2393</v>
      </c>
      <c r="K991">
        <v>800159</v>
      </c>
      <c r="L991">
        <v>1</v>
      </c>
      <c r="M991" t="s">
        <v>353</v>
      </c>
      <c r="N991" t="s">
        <v>330</v>
      </c>
      <c r="O991">
        <v>1164000</v>
      </c>
    </row>
    <row r="992" spans="1:15" x14ac:dyDescent="0.4">
      <c r="A992" t="s">
        <v>275</v>
      </c>
      <c r="B992">
        <v>70</v>
      </c>
      <c r="C992" t="s">
        <v>2</v>
      </c>
      <c r="D992">
        <v>41</v>
      </c>
      <c r="E992" t="s">
        <v>306</v>
      </c>
      <c r="F992">
        <v>1118</v>
      </c>
      <c r="G992" t="s">
        <v>1471</v>
      </c>
      <c r="I992">
        <v>10002459</v>
      </c>
      <c r="J992" t="s">
        <v>2394</v>
      </c>
      <c r="K992">
        <v>800159</v>
      </c>
      <c r="L992">
        <v>1</v>
      </c>
      <c r="M992" t="s">
        <v>281</v>
      </c>
      <c r="N992" t="s">
        <v>246</v>
      </c>
      <c r="O992">
        <v>1290000</v>
      </c>
    </row>
    <row r="993" spans="1:15" x14ac:dyDescent="0.4">
      <c r="A993" t="s">
        <v>1596</v>
      </c>
      <c r="B993">
        <v>50</v>
      </c>
      <c r="C993" t="s">
        <v>1</v>
      </c>
      <c r="D993">
        <v>11</v>
      </c>
      <c r="E993" t="s">
        <v>192</v>
      </c>
      <c r="F993">
        <v>1353</v>
      </c>
      <c r="G993" t="s">
        <v>1017</v>
      </c>
      <c r="I993">
        <v>10002463</v>
      </c>
      <c r="J993" t="s">
        <v>2395</v>
      </c>
      <c r="K993">
        <v>800159</v>
      </c>
      <c r="L993">
        <v>1</v>
      </c>
      <c r="M993" t="s">
        <v>268</v>
      </c>
      <c r="N993" t="s">
        <v>214</v>
      </c>
      <c r="O993">
        <v>1395600</v>
      </c>
    </row>
    <row r="994" spans="1:15" x14ac:dyDescent="0.4">
      <c r="A994" t="s">
        <v>281</v>
      </c>
      <c r="B994">
        <v>70</v>
      </c>
      <c r="C994" t="s">
        <v>2</v>
      </c>
      <c r="D994">
        <v>41</v>
      </c>
      <c r="E994" t="s">
        <v>306</v>
      </c>
      <c r="F994">
        <v>1118</v>
      </c>
      <c r="G994" t="s">
        <v>1471</v>
      </c>
      <c r="I994">
        <v>20006669</v>
      </c>
      <c r="J994" t="s">
        <v>2396</v>
      </c>
      <c r="K994">
        <v>800159</v>
      </c>
      <c r="L994">
        <v>1</v>
      </c>
      <c r="M994" t="s">
        <v>363</v>
      </c>
      <c r="N994" t="s">
        <v>315</v>
      </c>
      <c r="O994">
        <v>1696000</v>
      </c>
    </row>
    <row r="995" spans="1:15" x14ac:dyDescent="0.4">
      <c r="A995" t="s">
        <v>1596</v>
      </c>
      <c r="B995">
        <v>70</v>
      </c>
      <c r="C995" t="s">
        <v>2</v>
      </c>
      <c r="D995">
        <v>41</v>
      </c>
      <c r="E995" t="s">
        <v>306</v>
      </c>
      <c r="F995">
        <v>1552</v>
      </c>
      <c r="G995" t="s">
        <v>929</v>
      </c>
      <c r="I995">
        <v>10002529</v>
      </c>
      <c r="J995" t="s">
        <v>2397</v>
      </c>
      <c r="K995">
        <v>800159</v>
      </c>
      <c r="L995">
        <v>1</v>
      </c>
      <c r="M995" t="s">
        <v>268</v>
      </c>
      <c r="N995" t="s">
        <v>214</v>
      </c>
      <c r="O995">
        <v>1455000</v>
      </c>
    </row>
    <row r="996" spans="1:15" x14ac:dyDescent="0.4">
      <c r="A996" t="s">
        <v>230</v>
      </c>
      <c r="B996">
        <v>75</v>
      </c>
      <c r="C996" t="s">
        <v>5</v>
      </c>
      <c r="D996">
        <v>51</v>
      </c>
      <c r="E996" t="s">
        <v>657</v>
      </c>
      <c r="F996">
        <v>1365</v>
      </c>
      <c r="G996" t="s">
        <v>1148</v>
      </c>
      <c r="I996">
        <v>10000290</v>
      </c>
      <c r="J996" t="s">
        <v>2398</v>
      </c>
      <c r="K996">
        <v>800155</v>
      </c>
      <c r="L996">
        <v>1</v>
      </c>
      <c r="M996" t="s">
        <v>242</v>
      </c>
      <c r="N996" t="s">
        <v>243</v>
      </c>
      <c r="O996">
        <v>260400</v>
      </c>
    </row>
    <row r="997" spans="1:15" x14ac:dyDescent="0.4">
      <c r="A997" t="s">
        <v>1594</v>
      </c>
      <c r="B997">
        <v>60</v>
      </c>
      <c r="C997" t="s">
        <v>3</v>
      </c>
      <c r="D997">
        <v>33</v>
      </c>
      <c r="E997" t="s">
        <v>451</v>
      </c>
      <c r="F997">
        <v>1220</v>
      </c>
      <c r="G997" t="s">
        <v>1343</v>
      </c>
      <c r="I997">
        <v>10000302</v>
      </c>
      <c r="J997" t="s">
        <v>1925</v>
      </c>
      <c r="K997">
        <v>800159</v>
      </c>
      <c r="L997">
        <v>1</v>
      </c>
      <c r="M997" t="s">
        <v>1596</v>
      </c>
      <c r="N997" t="s">
        <v>254</v>
      </c>
      <c r="O997">
        <v>1338000</v>
      </c>
    </row>
    <row r="998" spans="1:15" x14ac:dyDescent="0.4">
      <c r="A998" t="s">
        <v>1487</v>
      </c>
      <c r="B998">
        <v>50</v>
      </c>
      <c r="C998" t="s">
        <v>1</v>
      </c>
      <c r="D998">
        <v>21</v>
      </c>
      <c r="E998" t="s">
        <v>182</v>
      </c>
      <c r="F998">
        <v>1166</v>
      </c>
      <c r="G998" t="s">
        <v>1082</v>
      </c>
      <c r="I998">
        <v>10000304</v>
      </c>
      <c r="J998" t="s">
        <v>1925</v>
      </c>
      <c r="K998">
        <v>800159</v>
      </c>
      <c r="L998">
        <v>1</v>
      </c>
      <c r="M998" t="s">
        <v>1523</v>
      </c>
      <c r="N998" t="s">
        <v>314</v>
      </c>
      <c r="O998">
        <v>1188000</v>
      </c>
    </row>
    <row r="999" spans="1:15" x14ac:dyDescent="0.4">
      <c r="A999" t="s">
        <v>268</v>
      </c>
      <c r="B999">
        <v>50</v>
      </c>
      <c r="C999" t="s">
        <v>1</v>
      </c>
      <c r="D999">
        <v>21</v>
      </c>
      <c r="E999" t="s">
        <v>182</v>
      </c>
      <c r="F999">
        <v>1166</v>
      </c>
      <c r="G999" t="s">
        <v>1082</v>
      </c>
      <c r="I999">
        <v>10000305</v>
      </c>
      <c r="J999" t="s">
        <v>2399</v>
      </c>
      <c r="K999">
        <v>800157</v>
      </c>
      <c r="L999">
        <v>1</v>
      </c>
      <c r="M999" t="s">
        <v>195</v>
      </c>
      <c r="N999" t="s">
        <v>198</v>
      </c>
      <c r="O999">
        <v>803200</v>
      </c>
    </row>
    <row r="1000" spans="1:15" x14ac:dyDescent="0.4">
      <c r="A1000" t="s">
        <v>1596</v>
      </c>
      <c r="B1000">
        <v>80</v>
      </c>
      <c r="C1000" t="s">
        <v>4</v>
      </c>
      <c r="D1000">
        <v>81</v>
      </c>
      <c r="E1000" t="s">
        <v>550</v>
      </c>
      <c r="F1000">
        <v>1436</v>
      </c>
      <c r="G1000" t="s">
        <v>918</v>
      </c>
      <c r="I1000">
        <v>10000326</v>
      </c>
      <c r="J1000" t="s">
        <v>2400</v>
      </c>
      <c r="K1000">
        <v>800157</v>
      </c>
      <c r="L1000">
        <v>1</v>
      </c>
      <c r="M1000" t="s">
        <v>268</v>
      </c>
      <c r="N1000" t="s">
        <v>212</v>
      </c>
      <c r="O1000">
        <v>453600</v>
      </c>
    </row>
    <row r="1001" spans="1:15" x14ac:dyDescent="0.4">
      <c r="A1001" t="s">
        <v>195</v>
      </c>
      <c r="B1001">
        <v>70</v>
      </c>
      <c r="C1001" t="s">
        <v>2</v>
      </c>
      <c r="D1001">
        <v>41</v>
      </c>
      <c r="E1001" t="s">
        <v>306</v>
      </c>
      <c r="F1001">
        <v>1552</v>
      </c>
      <c r="G1001" t="s">
        <v>929</v>
      </c>
      <c r="I1001">
        <v>10001966</v>
      </c>
      <c r="J1001" t="s">
        <v>2401</v>
      </c>
      <c r="K1001">
        <v>800159</v>
      </c>
      <c r="L1001">
        <v>1</v>
      </c>
      <c r="M1001" t="s">
        <v>185</v>
      </c>
      <c r="N1001" t="s">
        <v>190</v>
      </c>
      <c r="O1001">
        <v>1320000</v>
      </c>
    </row>
    <row r="1002" spans="1:15" x14ac:dyDescent="0.4">
      <c r="A1002" t="s">
        <v>1587</v>
      </c>
      <c r="B1002">
        <v>75</v>
      </c>
      <c r="C1002" t="s">
        <v>5</v>
      </c>
      <c r="D1002">
        <v>51</v>
      </c>
      <c r="E1002" t="s">
        <v>657</v>
      </c>
      <c r="F1002">
        <v>1435</v>
      </c>
      <c r="G1002" t="s">
        <v>860</v>
      </c>
      <c r="I1002">
        <v>10001971</v>
      </c>
      <c r="J1002" t="s">
        <v>2402</v>
      </c>
      <c r="K1002">
        <v>800157</v>
      </c>
      <c r="L1002">
        <v>1</v>
      </c>
      <c r="M1002" t="s">
        <v>1548</v>
      </c>
      <c r="N1002" t="s">
        <v>327</v>
      </c>
      <c r="O1002">
        <v>784000</v>
      </c>
    </row>
    <row r="1003" spans="1:15" x14ac:dyDescent="0.4">
      <c r="A1003" t="s">
        <v>196</v>
      </c>
      <c r="B1003">
        <v>80</v>
      </c>
      <c r="C1003" t="s">
        <v>4</v>
      </c>
      <c r="D1003">
        <v>81</v>
      </c>
      <c r="E1003" t="s">
        <v>550</v>
      </c>
      <c r="F1003">
        <v>1154</v>
      </c>
      <c r="G1003" t="s">
        <v>1044</v>
      </c>
      <c r="I1003">
        <v>10001976</v>
      </c>
      <c r="J1003" t="s">
        <v>2403</v>
      </c>
      <c r="K1003">
        <v>800159</v>
      </c>
      <c r="L1003">
        <v>1</v>
      </c>
      <c r="M1003" t="s">
        <v>186</v>
      </c>
      <c r="N1003" t="s">
        <v>302</v>
      </c>
      <c r="O1003">
        <v>1320000</v>
      </c>
    </row>
    <row r="1004" spans="1:15" x14ac:dyDescent="0.4">
      <c r="A1004" t="s">
        <v>195</v>
      </c>
      <c r="B1004">
        <v>70</v>
      </c>
      <c r="C1004" t="s">
        <v>2</v>
      </c>
      <c r="D1004">
        <v>41</v>
      </c>
      <c r="E1004" t="s">
        <v>306</v>
      </c>
      <c r="F1004">
        <v>1383</v>
      </c>
      <c r="G1004" t="s">
        <v>957</v>
      </c>
      <c r="I1004">
        <v>10001984</v>
      </c>
      <c r="J1004" t="s">
        <v>2404</v>
      </c>
      <c r="K1004">
        <v>800157</v>
      </c>
      <c r="L1004">
        <v>1</v>
      </c>
      <c r="M1004" t="s">
        <v>185</v>
      </c>
      <c r="N1004" t="s">
        <v>188</v>
      </c>
      <c r="O1004">
        <v>482400</v>
      </c>
    </row>
    <row r="1005" spans="1:15" x14ac:dyDescent="0.4">
      <c r="A1005" t="s">
        <v>1487</v>
      </c>
      <c r="B1005">
        <v>70</v>
      </c>
      <c r="C1005" t="s">
        <v>2</v>
      </c>
      <c r="D1005">
        <v>41</v>
      </c>
      <c r="E1005" t="s">
        <v>306</v>
      </c>
      <c r="F1005">
        <v>1383</v>
      </c>
      <c r="G1005" t="s">
        <v>957</v>
      </c>
      <c r="I1005">
        <v>10002033</v>
      </c>
      <c r="J1005" t="s">
        <v>2405</v>
      </c>
      <c r="K1005">
        <v>800157</v>
      </c>
      <c r="L1005">
        <v>1</v>
      </c>
      <c r="M1005" t="s">
        <v>1523</v>
      </c>
      <c r="N1005" t="s">
        <v>312</v>
      </c>
      <c r="O1005">
        <v>960000</v>
      </c>
    </row>
    <row r="1006" spans="1:15" x14ac:dyDescent="0.4">
      <c r="A1006" t="s">
        <v>1594</v>
      </c>
      <c r="B1006">
        <v>50</v>
      </c>
      <c r="C1006" t="s">
        <v>1</v>
      </c>
      <c r="D1006">
        <v>21</v>
      </c>
      <c r="E1006" t="s">
        <v>182</v>
      </c>
      <c r="F1006">
        <v>1166</v>
      </c>
      <c r="G1006" t="s">
        <v>1082</v>
      </c>
      <c r="I1006">
        <v>10002036</v>
      </c>
      <c r="J1006" t="s">
        <v>2406</v>
      </c>
      <c r="K1006">
        <v>800159</v>
      </c>
      <c r="L1006">
        <v>1</v>
      </c>
      <c r="M1006" t="s">
        <v>1596</v>
      </c>
      <c r="N1006" t="s">
        <v>254</v>
      </c>
      <c r="O1006">
        <v>1302000</v>
      </c>
    </row>
    <row r="1007" spans="1:15" x14ac:dyDescent="0.4">
      <c r="A1007" t="s">
        <v>1594</v>
      </c>
      <c r="B1007">
        <v>50</v>
      </c>
      <c r="C1007" t="s">
        <v>1</v>
      </c>
      <c r="D1007">
        <v>11</v>
      </c>
      <c r="E1007" t="s">
        <v>192</v>
      </c>
      <c r="F1007">
        <v>1085</v>
      </c>
      <c r="G1007" t="s">
        <v>854</v>
      </c>
      <c r="I1007">
        <v>10002041</v>
      </c>
      <c r="J1007" t="s">
        <v>2407</v>
      </c>
      <c r="K1007">
        <v>800157</v>
      </c>
      <c r="L1007">
        <v>1</v>
      </c>
      <c r="M1007" t="s">
        <v>1596</v>
      </c>
      <c r="N1007" t="s">
        <v>252</v>
      </c>
      <c r="O1007">
        <v>921600</v>
      </c>
    </row>
    <row r="1008" spans="1:15" x14ac:dyDescent="0.4">
      <c r="A1008" t="s">
        <v>258</v>
      </c>
      <c r="B1008">
        <v>80</v>
      </c>
      <c r="C1008" t="s">
        <v>4</v>
      </c>
      <c r="D1008">
        <v>81</v>
      </c>
      <c r="E1008" t="s">
        <v>550</v>
      </c>
      <c r="F1008">
        <v>1322</v>
      </c>
      <c r="G1008" t="s">
        <v>961</v>
      </c>
      <c r="I1008">
        <v>20010256</v>
      </c>
      <c r="J1008" t="s">
        <v>2408</v>
      </c>
      <c r="K1008">
        <v>800159</v>
      </c>
      <c r="L1008">
        <v>1</v>
      </c>
      <c r="M1008" t="s">
        <v>221</v>
      </c>
      <c r="N1008" t="s">
        <v>331</v>
      </c>
      <c r="O1008">
        <v>1341600</v>
      </c>
    </row>
    <row r="1009" spans="1:15" x14ac:dyDescent="0.4">
      <c r="A1009" t="s">
        <v>1475</v>
      </c>
      <c r="B1009">
        <v>76</v>
      </c>
      <c r="C1009" t="s">
        <v>6</v>
      </c>
      <c r="D1009">
        <v>61</v>
      </c>
      <c r="E1009" t="s">
        <v>703</v>
      </c>
      <c r="F1009">
        <v>1475</v>
      </c>
      <c r="G1009" t="s">
        <v>909</v>
      </c>
      <c r="I1009">
        <v>20003550</v>
      </c>
      <c r="J1009" t="s">
        <v>2409</v>
      </c>
      <c r="K1009">
        <v>800155</v>
      </c>
      <c r="L1009">
        <v>1</v>
      </c>
      <c r="M1009" t="s">
        <v>1479</v>
      </c>
      <c r="N1009" t="s">
        <v>185</v>
      </c>
      <c r="O1009">
        <v>276000</v>
      </c>
    </row>
    <row r="1010" spans="1:15" x14ac:dyDescent="0.4">
      <c r="A1010" t="s">
        <v>220</v>
      </c>
      <c r="B1010">
        <v>76</v>
      </c>
      <c r="C1010" t="s">
        <v>6</v>
      </c>
      <c r="D1010">
        <v>61</v>
      </c>
      <c r="E1010" t="s">
        <v>703</v>
      </c>
      <c r="F1010">
        <v>1475</v>
      </c>
      <c r="G1010" t="s">
        <v>909</v>
      </c>
      <c r="I1010">
        <v>20003550</v>
      </c>
      <c r="J1010" t="s">
        <v>2409</v>
      </c>
      <c r="K1010">
        <v>800157</v>
      </c>
      <c r="L1010">
        <v>1</v>
      </c>
      <c r="M1010" t="s">
        <v>203</v>
      </c>
      <c r="N1010" t="s">
        <v>206</v>
      </c>
      <c r="O1010">
        <v>784000</v>
      </c>
    </row>
    <row r="1011" spans="1:15" x14ac:dyDescent="0.4">
      <c r="A1011" t="s">
        <v>1479</v>
      </c>
      <c r="B1011">
        <v>75</v>
      </c>
      <c r="C1011" t="s">
        <v>5</v>
      </c>
      <c r="D1011">
        <v>52</v>
      </c>
      <c r="E1011" t="s">
        <v>665</v>
      </c>
      <c r="F1011">
        <v>1403</v>
      </c>
      <c r="G1011" t="s">
        <v>925</v>
      </c>
      <c r="I1011">
        <v>10030674</v>
      </c>
      <c r="J1011" t="s">
        <v>2410</v>
      </c>
      <c r="K1011">
        <v>800157</v>
      </c>
      <c r="L1011">
        <v>1</v>
      </c>
      <c r="M1011" t="s">
        <v>1487</v>
      </c>
      <c r="N1011" t="s">
        <v>243</v>
      </c>
      <c r="O1011">
        <v>793600</v>
      </c>
    </row>
    <row r="1012" spans="1:15" x14ac:dyDescent="0.4">
      <c r="A1012" t="s">
        <v>185</v>
      </c>
      <c r="B1012">
        <v>76</v>
      </c>
      <c r="C1012" t="s">
        <v>6</v>
      </c>
      <c r="D1012">
        <v>61</v>
      </c>
      <c r="E1012" t="s">
        <v>703</v>
      </c>
      <c r="F1012">
        <v>1475</v>
      </c>
      <c r="G1012" t="s">
        <v>909</v>
      </c>
      <c r="I1012">
        <v>10002102</v>
      </c>
      <c r="J1012" t="s">
        <v>2411</v>
      </c>
      <c r="K1012">
        <v>800159</v>
      </c>
      <c r="L1012">
        <v>1</v>
      </c>
      <c r="M1012" t="s">
        <v>275</v>
      </c>
      <c r="N1012" t="s">
        <v>234</v>
      </c>
      <c r="O1012">
        <v>1320000</v>
      </c>
    </row>
    <row r="1013" spans="1:15" x14ac:dyDescent="0.4">
      <c r="A1013" t="s">
        <v>203</v>
      </c>
      <c r="B1013">
        <v>80</v>
      </c>
      <c r="C1013" t="s">
        <v>4</v>
      </c>
      <c r="D1013">
        <v>71</v>
      </c>
      <c r="E1013" t="s">
        <v>556</v>
      </c>
      <c r="F1013">
        <v>1296</v>
      </c>
      <c r="G1013" t="s">
        <v>964</v>
      </c>
      <c r="I1013">
        <v>10002112</v>
      </c>
      <c r="J1013" t="s">
        <v>2412</v>
      </c>
      <c r="K1013">
        <v>800159</v>
      </c>
      <c r="L1013">
        <v>1</v>
      </c>
      <c r="M1013" t="s">
        <v>290</v>
      </c>
      <c r="N1013" t="s">
        <v>295</v>
      </c>
      <c r="O1013">
        <v>1347000</v>
      </c>
    </row>
    <row r="1014" spans="1:15" x14ac:dyDescent="0.4">
      <c r="A1014" t="s">
        <v>1479</v>
      </c>
      <c r="B1014">
        <v>80</v>
      </c>
      <c r="C1014" t="s">
        <v>4</v>
      </c>
      <c r="D1014">
        <v>81</v>
      </c>
      <c r="E1014" t="s">
        <v>550</v>
      </c>
      <c r="F1014">
        <v>1154</v>
      </c>
      <c r="G1014" t="s">
        <v>1044</v>
      </c>
      <c r="I1014">
        <v>10002116</v>
      </c>
      <c r="J1014" t="s">
        <v>2413</v>
      </c>
      <c r="K1014">
        <v>800157</v>
      </c>
      <c r="L1014">
        <v>1</v>
      </c>
      <c r="M1014" t="s">
        <v>1487</v>
      </c>
      <c r="N1014" t="s">
        <v>243</v>
      </c>
      <c r="O1014">
        <v>784000</v>
      </c>
    </row>
    <row r="1015" spans="1:15" x14ac:dyDescent="0.4">
      <c r="A1015" t="s">
        <v>203</v>
      </c>
      <c r="B1015">
        <v>75</v>
      </c>
      <c r="C1015" t="s">
        <v>5</v>
      </c>
      <c r="D1015">
        <v>51</v>
      </c>
      <c r="E1015" t="s">
        <v>657</v>
      </c>
      <c r="F1015">
        <v>1415</v>
      </c>
      <c r="G1015" t="s">
        <v>1038</v>
      </c>
      <c r="I1015">
        <v>10002128</v>
      </c>
      <c r="J1015" t="s">
        <v>2414</v>
      </c>
      <c r="K1015">
        <v>800157</v>
      </c>
      <c r="L1015">
        <v>1</v>
      </c>
      <c r="M1015" t="s">
        <v>290</v>
      </c>
      <c r="N1015" t="s">
        <v>293</v>
      </c>
      <c r="O1015">
        <v>784000</v>
      </c>
    </row>
    <row r="1016" spans="1:15" x14ac:dyDescent="0.4">
      <c r="A1016" t="s">
        <v>203</v>
      </c>
      <c r="B1016">
        <v>75</v>
      </c>
      <c r="C1016" t="s">
        <v>5</v>
      </c>
      <c r="D1016">
        <v>51</v>
      </c>
      <c r="E1016" t="s">
        <v>657</v>
      </c>
      <c r="F1016">
        <v>1365</v>
      </c>
      <c r="G1016" t="s">
        <v>1148</v>
      </c>
      <c r="I1016">
        <v>10002130</v>
      </c>
      <c r="J1016" t="s">
        <v>2415</v>
      </c>
      <c r="K1016">
        <v>800159</v>
      </c>
      <c r="L1016">
        <v>1</v>
      </c>
      <c r="M1016" t="s">
        <v>290</v>
      </c>
      <c r="N1016" t="s">
        <v>295</v>
      </c>
      <c r="O1016">
        <v>1498200</v>
      </c>
    </row>
    <row r="1017" spans="1:15" x14ac:dyDescent="0.4">
      <c r="A1017" t="s">
        <v>281</v>
      </c>
      <c r="B1017">
        <v>50</v>
      </c>
      <c r="C1017" t="s">
        <v>1</v>
      </c>
      <c r="D1017">
        <v>21</v>
      </c>
      <c r="E1017" t="s">
        <v>182</v>
      </c>
      <c r="F1017">
        <v>1264</v>
      </c>
      <c r="G1017" t="s">
        <v>1023</v>
      </c>
      <c r="I1017">
        <v>10002132</v>
      </c>
      <c r="J1017" t="s">
        <v>1584</v>
      </c>
      <c r="K1017">
        <v>800155</v>
      </c>
      <c r="L1017">
        <v>1</v>
      </c>
      <c r="M1017" t="s">
        <v>363</v>
      </c>
      <c r="N1017" t="s">
        <v>242</v>
      </c>
      <c r="O1017">
        <v>361200</v>
      </c>
    </row>
    <row r="1018" spans="1:15" x14ac:dyDescent="0.4">
      <c r="A1018" t="s">
        <v>250</v>
      </c>
      <c r="B1018">
        <v>60</v>
      </c>
      <c r="C1018" t="s">
        <v>3</v>
      </c>
      <c r="D1018">
        <v>31</v>
      </c>
      <c r="E1018" t="s">
        <v>447</v>
      </c>
      <c r="F1018">
        <v>1367</v>
      </c>
      <c r="G1018" t="s">
        <v>977</v>
      </c>
      <c r="I1018">
        <v>10002194</v>
      </c>
      <c r="J1018" t="s">
        <v>2416</v>
      </c>
      <c r="K1018">
        <v>800157</v>
      </c>
      <c r="L1018">
        <v>1</v>
      </c>
      <c r="M1018" t="s">
        <v>196</v>
      </c>
      <c r="N1018" t="s">
        <v>213</v>
      </c>
      <c r="O1018">
        <v>819200</v>
      </c>
    </row>
    <row r="1019" spans="1:15" x14ac:dyDescent="0.4">
      <c r="A1019" t="s">
        <v>1487</v>
      </c>
      <c r="B1019">
        <v>50</v>
      </c>
      <c r="C1019" t="s">
        <v>1</v>
      </c>
      <c r="D1019">
        <v>21</v>
      </c>
      <c r="E1019" t="s">
        <v>182</v>
      </c>
      <c r="F1019">
        <v>1166</v>
      </c>
      <c r="G1019" t="s">
        <v>1082</v>
      </c>
      <c r="I1019">
        <v>10002198</v>
      </c>
      <c r="J1019" t="s">
        <v>2417</v>
      </c>
      <c r="K1019">
        <v>800157</v>
      </c>
      <c r="L1019">
        <v>1</v>
      </c>
      <c r="M1019" t="s">
        <v>1523</v>
      </c>
      <c r="N1019" t="s">
        <v>312</v>
      </c>
      <c r="O1019">
        <v>876800</v>
      </c>
    </row>
    <row r="1020" spans="1:15" x14ac:dyDescent="0.4">
      <c r="A1020" t="s">
        <v>1523</v>
      </c>
      <c r="B1020">
        <v>76</v>
      </c>
      <c r="C1020" t="s">
        <v>6</v>
      </c>
      <c r="D1020">
        <v>61</v>
      </c>
      <c r="E1020" t="s">
        <v>703</v>
      </c>
      <c r="F1020">
        <v>1475</v>
      </c>
      <c r="G1020" t="s">
        <v>909</v>
      </c>
      <c r="I1020">
        <v>10002255</v>
      </c>
      <c r="J1020" t="s">
        <v>2418</v>
      </c>
      <c r="K1020">
        <v>800157</v>
      </c>
      <c r="L1020">
        <v>1</v>
      </c>
      <c r="M1020" t="s">
        <v>1587</v>
      </c>
      <c r="N1020" t="s">
        <v>259</v>
      </c>
      <c r="O1020">
        <v>796800</v>
      </c>
    </row>
    <row r="1021" spans="1:15" x14ac:dyDescent="0.4">
      <c r="A1021" t="s">
        <v>290</v>
      </c>
      <c r="B1021">
        <v>70</v>
      </c>
      <c r="C1021" t="s">
        <v>2</v>
      </c>
      <c r="D1021">
        <v>41</v>
      </c>
      <c r="E1021" t="s">
        <v>306</v>
      </c>
      <c r="F1021">
        <v>1552</v>
      </c>
      <c r="G1021" t="s">
        <v>929</v>
      </c>
      <c r="I1021">
        <v>10002338</v>
      </c>
      <c r="J1021" t="s">
        <v>336</v>
      </c>
      <c r="K1021">
        <v>800157</v>
      </c>
      <c r="L1021">
        <v>1</v>
      </c>
      <c r="M1021" t="s">
        <v>250</v>
      </c>
      <c r="N1021" t="s">
        <v>253</v>
      </c>
      <c r="O1021">
        <v>475200</v>
      </c>
    </row>
    <row r="1022" spans="1:15" x14ac:dyDescent="0.4">
      <c r="A1022" t="s">
        <v>1548</v>
      </c>
      <c r="B1022">
        <v>75</v>
      </c>
      <c r="C1022" t="s">
        <v>5</v>
      </c>
      <c r="D1022">
        <v>51</v>
      </c>
      <c r="E1022" t="s">
        <v>657</v>
      </c>
      <c r="F1022">
        <v>1435</v>
      </c>
      <c r="G1022" t="s">
        <v>860</v>
      </c>
      <c r="I1022">
        <v>10002266</v>
      </c>
      <c r="J1022" t="s">
        <v>2419</v>
      </c>
      <c r="K1022">
        <v>800157</v>
      </c>
      <c r="L1022">
        <v>1</v>
      </c>
      <c r="M1022" t="s">
        <v>1586</v>
      </c>
      <c r="N1022" t="s">
        <v>222</v>
      </c>
      <c r="O1022">
        <v>841600</v>
      </c>
    </row>
    <row r="1023" spans="1:15" x14ac:dyDescent="0.4">
      <c r="A1023" t="s">
        <v>250</v>
      </c>
      <c r="B1023">
        <v>70</v>
      </c>
      <c r="C1023" t="s">
        <v>2</v>
      </c>
      <c r="D1023">
        <v>41</v>
      </c>
      <c r="E1023" t="s">
        <v>306</v>
      </c>
      <c r="F1023">
        <v>1552</v>
      </c>
      <c r="G1023" t="s">
        <v>929</v>
      </c>
      <c r="I1023">
        <v>10002275</v>
      </c>
      <c r="J1023" t="s">
        <v>2420</v>
      </c>
      <c r="K1023">
        <v>800159</v>
      </c>
      <c r="L1023">
        <v>1</v>
      </c>
      <c r="M1023" t="s">
        <v>196</v>
      </c>
      <c r="N1023" t="s">
        <v>215</v>
      </c>
      <c r="O1023">
        <v>1325400</v>
      </c>
    </row>
    <row r="1024" spans="1:15" x14ac:dyDescent="0.4">
      <c r="A1024" t="s">
        <v>258</v>
      </c>
      <c r="B1024">
        <v>80</v>
      </c>
      <c r="C1024" t="s">
        <v>4</v>
      </c>
      <c r="D1024">
        <v>81</v>
      </c>
      <c r="E1024" t="s">
        <v>550</v>
      </c>
      <c r="F1024">
        <v>1436</v>
      </c>
      <c r="G1024" t="s">
        <v>918</v>
      </c>
      <c r="I1024">
        <v>10002323</v>
      </c>
      <c r="J1024" t="s">
        <v>2421</v>
      </c>
      <c r="K1024">
        <v>800159</v>
      </c>
      <c r="L1024">
        <v>1</v>
      </c>
      <c r="M1024" t="s">
        <v>221</v>
      </c>
      <c r="N1024" t="s">
        <v>331</v>
      </c>
      <c r="O1024">
        <v>1284000</v>
      </c>
    </row>
    <row r="1025" spans="1:15" x14ac:dyDescent="0.4">
      <c r="A1025" t="s">
        <v>1594</v>
      </c>
      <c r="B1025">
        <v>80</v>
      </c>
      <c r="C1025" t="s">
        <v>4</v>
      </c>
      <c r="D1025">
        <v>81</v>
      </c>
      <c r="E1025" t="s">
        <v>550</v>
      </c>
      <c r="F1025">
        <v>1322</v>
      </c>
      <c r="G1025" t="s">
        <v>961</v>
      </c>
      <c r="I1025">
        <v>20008266</v>
      </c>
      <c r="J1025" t="s">
        <v>2422</v>
      </c>
      <c r="K1025">
        <v>800159</v>
      </c>
      <c r="L1025">
        <v>1</v>
      </c>
      <c r="M1025" t="s">
        <v>1596</v>
      </c>
      <c r="N1025" t="s">
        <v>254</v>
      </c>
      <c r="O1025">
        <v>1417200</v>
      </c>
    </row>
    <row r="1026" spans="1:15" x14ac:dyDescent="0.4">
      <c r="A1026" t="s">
        <v>363</v>
      </c>
      <c r="B1026">
        <v>70</v>
      </c>
      <c r="C1026" t="s">
        <v>2</v>
      </c>
      <c r="D1026">
        <v>41</v>
      </c>
      <c r="E1026" t="s">
        <v>306</v>
      </c>
      <c r="F1026">
        <v>1298</v>
      </c>
      <c r="G1026" t="s">
        <v>1277</v>
      </c>
      <c r="I1026">
        <v>10053742</v>
      </c>
      <c r="J1026" t="s">
        <v>2423</v>
      </c>
      <c r="K1026">
        <v>800157</v>
      </c>
      <c r="L1026">
        <v>1</v>
      </c>
      <c r="M1026" t="s">
        <v>376</v>
      </c>
      <c r="N1026" t="s">
        <v>260</v>
      </c>
      <c r="O1026">
        <v>705600</v>
      </c>
    </row>
    <row r="1027" spans="1:15" x14ac:dyDescent="0.4">
      <c r="A1027" t="s">
        <v>363</v>
      </c>
      <c r="B1027">
        <v>70</v>
      </c>
      <c r="C1027" t="s">
        <v>2</v>
      </c>
      <c r="D1027">
        <v>41</v>
      </c>
      <c r="E1027" t="s">
        <v>306</v>
      </c>
      <c r="F1027">
        <v>1552</v>
      </c>
      <c r="G1027" t="s">
        <v>929</v>
      </c>
      <c r="I1027">
        <v>10002333</v>
      </c>
      <c r="J1027" t="s">
        <v>336</v>
      </c>
      <c r="K1027">
        <v>800157</v>
      </c>
      <c r="L1027">
        <v>1</v>
      </c>
      <c r="M1027" t="s">
        <v>376</v>
      </c>
      <c r="N1027" t="s">
        <v>260</v>
      </c>
      <c r="O1027">
        <v>796800</v>
      </c>
    </row>
    <row r="1028" spans="1:15" x14ac:dyDescent="0.4">
      <c r="A1028" t="s">
        <v>1596</v>
      </c>
      <c r="B1028">
        <v>50</v>
      </c>
      <c r="C1028" t="s">
        <v>1</v>
      </c>
      <c r="D1028">
        <v>21</v>
      </c>
      <c r="E1028" t="s">
        <v>182</v>
      </c>
      <c r="F1028">
        <v>1166</v>
      </c>
      <c r="G1028" t="s">
        <v>1082</v>
      </c>
      <c r="I1028">
        <v>10002046</v>
      </c>
      <c r="J1028" t="s">
        <v>2424</v>
      </c>
      <c r="K1028">
        <v>800159</v>
      </c>
      <c r="L1028">
        <v>1</v>
      </c>
      <c r="M1028" t="s">
        <v>268</v>
      </c>
      <c r="N1028" t="s">
        <v>214</v>
      </c>
      <c r="O1028">
        <v>1320000</v>
      </c>
    </row>
    <row r="1029" spans="1:15" x14ac:dyDescent="0.4">
      <c r="A1029" t="s">
        <v>1470</v>
      </c>
      <c r="B1029">
        <v>50</v>
      </c>
      <c r="C1029" t="s">
        <v>1</v>
      </c>
      <c r="D1029">
        <v>11</v>
      </c>
      <c r="E1029" t="s">
        <v>192</v>
      </c>
      <c r="F1029">
        <v>1353</v>
      </c>
      <c r="G1029" t="s">
        <v>1017</v>
      </c>
      <c r="I1029">
        <v>10002394</v>
      </c>
      <c r="J1029" t="s">
        <v>2425</v>
      </c>
      <c r="K1029">
        <v>800157</v>
      </c>
      <c r="L1029">
        <v>1</v>
      </c>
      <c r="M1029" t="s">
        <v>1469</v>
      </c>
      <c r="N1029" t="s">
        <v>197</v>
      </c>
      <c r="O1029">
        <v>933000</v>
      </c>
    </row>
    <row r="1030" spans="1:15" x14ac:dyDescent="0.4">
      <c r="A1030" t="s">
        <v>311</v>
      </c>
      <c r="B1030">
        <v>50</v>
      </c>
      <c r="C1030" t="s">
        <v>1</v>
      </c>
      <c r="D1030">
        <v>21</v>
      </c>
      <c r="E1030" t="s">
        <v>182</v>
      </c>
      <c r="F1030">
        <v>1166</v>
      </c>
      <c r="G1030" t="s">
        <v>1082</v>
      </c>
      <c r="I1030">
        <v>10002402</v>
      </c>
      <c r="J1030" t="s">
        <v>2426</v>
      </c>
      <c r="K1030">
        <v>800159</v>
      </c>
      <c r="L1030">
        <v>1</v>
      </c>
      <c r="M1030" t="s">
        <v>258</v>
      </c>
      <c r="N1030" t="s">
        <v>263</v>
      </c>
      <c r="O1030">
        <v>774000</v>
      </c>
    </row>
    <row r="1031" spans="1:15" x14ac:dyDescent="0.4">
      <c r="A1031" t="s">
        <v>1548</v>
      </c>
      <c r="B1031">
        <v>70</v>
      </c>
      <c r="C1031" t="s">
        <v>2</v>
      </c>
      <c r="D1031">
        <v>41</v>
      </c>
      <c r="E1031" t="s">
        <v>306</v>
      </c>
      <c r="F1031">
        <v>1510</v>
      </c>
      <c r="G1031" t="s">
        <v>870</v>
      </c>
      <c r="I1031">
        <v>10002403</v>
      </c>
      <c r="J1031" t="s">
        <v>2427</v>
      </c>
      <c r="K1031">
        <v>800157</v>
      </c>
      <c r="L1031">
        <v>1</v>
      </c>
      <c r="M1031" t="s">
        <v>1586</v>
      </c>
      <c r="N1031" t="s">
        <v>222</v>
      </c>
      <c r="O1031">
        <v>612000</v>
      </c>
    </row>
    <row r="1032" spans="1:15" x14ac:dyDescent="0.4">
      <c r="A1032" t="s">
        <v>1596</v>
      </c>
      <c r="B1032">
        <v>50</v>
      </c>
      <c r="C1032" t="s">
        <v>1</v>
      </c>
      <c r="D1032">
        <v>21</v>
      </c>
      <c r="E1032" t="s">
        <v>182</v>
      </c>
      <c r="F1032">
        <v>1264</v>
      </c>
      <c r="G1032" t="s">
        <v>1023</v>
      </c>
      <c r="I1032">
        <v>10002413</v>
      </c>
      <c r="J1032" t="s">
        <v>2428</v>
      </c>
      <c r="K1032">
        <v>800159</v>
      </c>
      <c r="L1032">
        <v>1</v>
      </c>
      <c r="M1032" t="s">
        <v>268</v>
      </c>
      <c r="N1032" t="s">
        <v>214</v>
      </c>
      <c r="O1032">
        <v>1390200</v>
      </c>
    </row>
    <row r="1033" spans="1:15" x14ac:dyDescent="0.4">
      <c r="A1033" t="s">
        <v>242</v>
      </c>
      <c r="B1033">
        <v>50</v>
      </c>
      <c r="C1033" t="s">
        <v>1</v>
      </c>
      <c r="D1033">
        <v>21</v>
      </c>
      <c r="E1033" t="s">
        <v>182</v>
      </c>
      <c r="F1033">
        <v>1264</v>
      </c>
      <c r="G1033" t="s">
        <v>1023</v>
      </c>
      <c r="I1033">
        <v>10002422</v>
      </c>
      <c r="J1033" t="s">
        <v>1827</v>
      </c>
      <c r="K1033">
        <v>800159</v>
      </c>
      <c r="L1033">
        <v>1</v>
      </c>
      <c r="M1033" t="s">
        <v>311</v>
      </c>
      <c r="N1033" t="s">
        <v>316</v>
      </c>
      <c r="O1033">
        <v>810000</v>
      </c>
    </row>
    <row r="1034" spans="1:15" x14ac:dyDescent="0.4">
      <c r="A1034" t="s">
        <v>1586</v>
      </c>
      <c r="B1034">
        <v>50</v>
      </c>
      <c r="C1034" t="s">
        <v>1</v>
      </c>
      <c r="D1034">
        <v>21</v>
      </c>
      <c r="E1034" t="s">
        <v>182</v>
      </c>
      <c r="F1034">
        <v>1264</v>
      </c>
      <c r="G1034" t="s">
        <v>1023</v>
      </c>
      <c r="I1034">
        <v>10002426</v>
      </c>
      <c r="J1034" t="s">
        <v>2429</v>
      </c>
      <c r="K1034">
        <v>800157</v>
      </c>
      <c r="L1034">
        <v>1</v>
      </c>
      <c r="M1034" t="s">
        <v>1589</v>
      </c>
      <c r="N1034" t="s">
        <v>205</v>
      </c>
      <c r="O1034">
        <v>766800</v>
      </c>
    </row>
    <row r="1035" spans="1:15" x14ac:dyDescent="0.4">
      <c r="A1035" t="s">
        <v>1587</v>
      </c>
      <c r="B1035">
        <v>70</v>
      </c>
      <c r="C1035" t="s">
        <v>2</v>
      </c>
      <c r="D1035">
        <v>41</v>
      </c>
      <c r="E1035" t="s">
        <v>306</v>
      </c>
      <c r="F1035">
        <v>1445</v>
      </c>
      <c r="G1035" t="s">
        <v>886</v>
      </c>
      <c r="I1035">
        <v>10000455</v>
      </c>
      <c r="J1035" t="s">
        <v>2430</v>
      </c>
      <c r="K1035">
        <v>800157</v>
      </c>
      <c r="L1035">
        <v>1</v>
      </c>
      <c r="M1035" t="s">
        <v>1548</v>
      </c>
      <c r="N1035" t="s">
        <v>327</v>
      </c>
      <c r="O1035">
        <v>790400</v>
      </c>
    </row>
    <row r="1036" spans="1:15" x14ac:dyDescent="0.4">
      <c r="A1036" t="s">
        <v>363</v>
      </c>
      <c r="B1036">
        <v>80</v>
      </c>
      <c r="C1036" t="s">
        <v>4</v>
      </c>
      <c r="D1036">
        <v>81</v>
      </c>
      <c r="E1036" t="s">
        <v>550</v>
      </c>
      <c r="F1036">
        <v>1322</v>
      </c>
      <c r="G1036" t="s">
        <v>961</v>
      </c>
      <c r="I1036">
        <v>10000457</v>
      </c>
      <c r="J1036" t="s">
        <v>2431</v>
      </c>
      <c r="K1036">
        <v>800159</v>
      </c>
      <c r="L1036">
        <v>1</v>
      </c>
      <c r="M1036" t="s">
        <v>376</v>
      </c>
      <c r="N1036" t="s">
        <v>262</v>
      </c>
      <c r="O1036">
        <v>1330800</v>
      </c>
    </row>
    <row r="1037" spans="1:15" x14ac:dyDescent="0.4">
      <c r="A1037" t="s">
        <v>1523</v>
      </c>
      <c r="B1037">
        <v>76</v>
      </c>
      <c r="C1037" t="s">
        <v>6</v>
      </c>
      <c r="D1037">
        <v>61</v>
      </c>
      <c r="E1037" t="s">
        <v>703</v>
      </c>
      <c r="F1037">
        <v>1389</v>
      </c>
      <c r="G1037" t="s">
        <v>1197</v>
      </c>
      <c r="I1037">
        <v>10000464</v>
      </c>
      <c r="J1037" t="s">
        <v>2432</v>
      </c>
      <c r="K1037">
        <v>800157</v>
      </c>
      <c r="L1037">
        <v>1</v>
      </c>
      <c r="M1037" t="s">
        <v>1587</v>
      </c>
      <c r="N1037" t="s">
        <v>259</v>
      </c>
      <c r="O1037">
        <v>784000</v>
      </c>
    </row>
    <row r="1038" spans="1:15" x14ac:dyDescent="0.4">
      <c r="A1038" t="s">
        <v>1594</v>
      </c>
      <c r="B1038">
        <v>50</v>
      </c>
      <c r="C1038" t="s">
        <v>1</v>
      </c>
      <c r="D1038">
        <v>21</v>
      </c>
      <c r="E1038" t="s">
        <v>182</v>
      </c>
      <c r="F1038">
        <v>1166</v>
      </c>
      <c r="G1038" t="s">
        <v>1082</v>
      </c>
      <c r="I1038">
        <v>10000474</v>
      </c>
      <c r="J1038" t="s">
        <v>2433</v>
      </c>
      <c r="K1038">
        <v>800159</v>
      </c>
      <c r="L1038">
        <v>1</v>
      </c>
      <c r="M1038" t="s">
        <v>1596</v>
      </c>
      <c r="N1038" t="s">
        <v>254</v>
      </c>
      <c r="O1038">
        <v>1379400</v>
      </c>
    </row>
    <row r="1039" spans="1:15" x14ac:dyDescent="0.4">
      <c r="A1039" t="s">
        <v>311</v>
      </c>
      <c r="B1039">
        <v>80</v>
      </c>
      <c r="C1039" t="s">
        <v>4</v>
      </c>
      <c r="D1039">
        <v>81</v>
      </c>
      <c r="E1039" t="s">
        <v>550</v>
      </c>
      <c r="F1039">
        <v>1322</v>
      </c>
      <c r="G1039" t="s">
        <v>961</v>
      </c>
      <c r="I1039">
        <v>10000481</v>
      </c>
      <c r="J1039" t="s">
        <v>2434</v>
      </c>
      <c r="K1039">
        <v>800157</v>
      </c>
      <c r="L1039">
        <v>1</v>
      </c>
      <c r="M1039" t="s">
        <v>258</v>
      </c>
      <c r="N1039" t="s">
        <v>261</v>
      </c>
      <c r="O1039">
        <v>601200</v>
      </c>
    </row>
    <row r="1040" spans="1:15" x14ac:dyDescent="0.4">
      <c r="A1040" t="s">
        <v>1548</v>
      </c>
      <c r="B1040">
        <v>76</v>
      </c>
      <c r="C1040" t="s">
        <v>6</v>
      </c>
      <c r="D1040">
        <v>61</v>
      </c>
      <c r="E1040" t="s">
        <v>703</v>
      </c>
      <c r="F1040">
        <v>1472</v>
      </c>
      <c r="G1040" t="s">
        <v>998</v>
      </c>
      <c r="I1040">
        <v>10000483</v>
      </c>
      <c r="J1040" t="s">
        <v>2435</v>
      </c>
      <c r="K1040">
        <v>800159</v>
      </c>
      <c r="L1040">
        <v>1</v>
      </c>
      <c r="M1040" t="s">
        <v>1586</v>
      </c>
      <c r="N1040" t="s">
        <v>224</v>
      </c>
      <c r="O1040">
        <v>1465800</v>
      </c>
    </row>
    <row r="1041" spans="1:15" x14ac:dyDescent="0.4">
      <c r="A1041" t="s">
        <v>275</v>
      </c>
      <c r="B1041">
        <v>76</v>
      </c>
      <c r="C1041" t="s">
        <v>6</v>
      </c>
      <c r="D1041">
        <v>61</v>
      </c>
      <c r="E1041" t="s">
        <v>703</v>
      </c>
      <c r="F1041">
        <v>1389</v>
      </c>
      <c r="G1041" t="s">
        <v>1197</v>
      </c>
      <c r="I1041">
        <v>10000484</v>
      </c>
      <c r="J1041" t="s">
        <v>2436</v>
      </c>
      <c r="K1041">
        <v>800159</v>
      </c>
      <c r="L1041">
        <v>1</v>
      </c>
      <c r="M1041" t="s">
        <v>281</v>
      </c>
      <c r="N1041" t="s">
        <v>246</v>
      </c>
      <c r="O1041">
        <v>1428000</v>
      </c>
    </row>
    <row r="1042" spans="1:15" x14ac:dyDescent="0.4">
      <c r="A1042" t="s">
        <v>1479</v>
      </c>
      <c r="B1042">
        <v>75</v>
      </c>
      <c r="C1042" t="s">
        <v>5</v>
      </c>
      <c r="D1042">
        <v>51</v>
      </c>
      <c r="E1042" t="s">
        <v>657</v>
      </c>
      <c r="F1042">
        <v>1365</v>
      </c>
      <c r="G1042" t="s">
        <v>1148</v>
      </c>
      <c r="I1042">
        <v>10001572</v>
      </c>
      <c r="J1042" t="s">
        <v>662</v>
      </c>
      <c r="K1042">
        <v>800157</v>
      </c>
      <c r="L1042">
        <v>1</v>
      </c>
      <c r="M1042" t="s">
        <v>1487</v>
      </c>
      <c r="N1042" t="s">
        <v>243</v>
      </c>
      <c r="O1042">
        <v>848000</v>
      </c>
    </row>
    <row r="1043" spans="1:15" x14ac:dyDescent="0.4">
      <c r="A1043" t="s">
        <v>195</v>
      </c>
      <c r="B1043">
        <v>80</v>
      </c>
      <c r="C1043" t="s">
        <v>4</v>
      </c>
      <c r="D1043">
        <v>81</v>
      </c>
      <c r="E1043" t="s">
        <v>550</v>
      </c>
      <c r="F1043">
        <v>1154</v>
      </c>
      <c r="G1043" t="s">
        <v>1044</v>
      </c>
      <c r="I1043">
        <v>10059429</v>
      </c>
      <c r="J1043" t="s">
        <v>2437</v>
      </c>
      <c r="K1043">
        <v>800159</v>
      </c>
      <c r="L1043">
        <v>1</v>
      </c>
      <c r="M1043" t="s">
        <v>185</v>
      </c>
      <c r="N1043" t="s">
        <v>190</v>
      </c>
      <c r="O1043">
        <v>1320000</v>
      </c>
    </row>
    <row r="1044" spans="1:15" x14ac:dyDescent="0.4">
      <c r="A1044" t="s">
        <v>242</v>
      </c>
      <c r="B1044">
        <v>60</v>
      </c>
      <c r="C1044" t="s">
        <v>3</v>
      </c>
      <c r="D1044">
        <v>31</v>
      </c>
      <c r="E1044" t="s">
        <v>447</v>
      </c>
      <c r="F1044">
        <v>1367</v>
      </c>
      <c r="G1044" t="s">
        <v>977</v>
      </c>
      <c r="I1044">
        <v>10001578</v>
      </c>
      <c r="J1044" t="s">
        <v>2438</v>
      </c>
      <c r="K1044">
        <v>800159</v>
      </c>
      <c r="L1044">
        <v>1</v>
      </c>
      <c r="M1044" t="s">
        <v>311</v>
      </c>
      <c r="N1044" t="s">
        <v>316</v>
      </c>
      <c r="O1044">
        <v>1326000</v>
      </c>
    </row>
    <row r="1045" spans="1:15" x14ac:dyDescent="0.4">
      <c r="A1045" t="s">
        <v>1596</v>
      </c>
      <c r="B1045">
        <v>60</v>
      </c>
      <c r="C1045" t="s">
        <v>3</v>
      </c>
      <c r="D1045">
        <v>31</v>
      </c>
      <c r="E1045" t="s">
        <v>447</v>
      </c>
      <c r="F1045">
        <v>1367</v>
      </c>
      <c r="G1045" t="s">
        <v>977</v>
      </c>
      <c r="I1045">
        <v>10001585</v>
      </c>
      <c r="J1045" t="s">
        <v>2439</v>
      </c>
      <c r="K1045">
        <v>800159</v>
      </c>
      <c r="L1045">
        <v>1</v>
      </c>
      <c r="M1045" t="s">
        <v>268</v>
      </c>
      <c r="N1045" t="s">
        <v>214</v>
      </c>
      <c r="O1045">
        <v>1326000</v>
      </c>
    </row>
    <row r="1046" spans="1:15" x14ac:dyDescent="0.4">
      <c r="A1046" t="s">
        <v>220</v>
      </c>
      <c r="B1046">
        <v>50</v>
      </c>
      <c r="C1046" t="s">
        <v>1</v>
      </c>
      <c r="D1046">
        <v>21</v>
      </c>
      <c r="E1046" t="s">
        <v>182</v>
      </c>
      <c r="F1046">
        <v>1166</v>
      </c>
      <c r="G1046" t="s">
        <v>1082</v>
      </c>
      <c r="I1046">
        <v>10051180</v>
      </c>
      <c r="J1046" t="s">
        <v>2440</v>
      </c>
      <c r="K1046">
        <v>800157</v>
      </c>
      <c r="L1046">
        <v>1</v>
      </c>
      <c r="M1046" t="s">
        <v>203</v>
      </c>
      <c r="N1046" t="s">
        <v>206</v>
      </c>
      <c r="O1046">
        <v>784000</v>
      </c>
    </row>
    <row r="1047" spans="1:15" x14ac:dyDescent="0.4">
      <c r="A1047" t="s">
        <v>203</v>
      </c>
      <c r="B1047">
        <v>75</v>
      </c>
      <c r="C1047" t="s">
        <v>5</v>
      </c>
      <c r="D1047">
        <v>51</v>
      </c>
      <c r="E1047" t="s">
        <v>657</v>
      </c>
      <c r="F1047">
        <v>1365</v>
      </c>
      <c r="G1047" t="s">
        <v>1148</v>
      </c>
      <c r="I1047">
        <v>20008889</v>
      </c>
      <c r="J1047" t="s">
        <v>2441</v>
      </c>
      <c r="K1047">
        <v>800159</v>
      </c>
      <c r="L1047">
        <v>1</v>
      </c>
      <c r="M1047" t="s">
        <v>290</v>
      </c>
      <c r="N1047" t="s">
        <v>295</v>
      </c>
      <c r="O1047">
        <v>1320000</v>
      </c>
    </row>
    <row r="1048" spans="1:15" x14ac:dyDescent="0.4">
      <c r="A1048" t="s">
        <v>195</v>
      </c>
      <c r="B1048">
        <v>76</v>
      </c>
      <c r="C1048" t="s">
        <v>6</v>
      </c>
      <c r="D1048">
        <v>61</v>
      </c>
      <c r="E1048" t="s">
        <v>703</v>
      </c>
      <c r="F1048">
        <v>1389</v>
      </c>
      <c r="G1048" t="s">
        <v>1197</v>
      </c>
      <c r="I1048">
        <v>10001643</v>
      </c>
      <c r="J1048" t="s">
        <v>2442</v>
      </c>
      <c r="K1048">
        <v>800159</v>
      </c>
      <c r="L1048">
        <v>1</v>
      </c>
      <c r="M1048" t="s">
        <v>185</v>
      </c>
      <c r="N1048" t="s">
        <v>190</v>
      </c>
      <c r="O1048">
        <v>1325400</v>
      </c>
    </row>
    <row r="1049" spans="1:15" x14ac:dyDescent="0.4">
      <c r="A1049" t="s">
        <v>1594</v>
      </c>
      <c r="B1049">
        <v>60</v>
      </c>
      <c r="C1049" t="s">
        <v>3</v>
      </c>
      <c r="D1049">
        <v>33</v>
      </c>
      <c r="E1049" t="s">
        <v>451</v>
      </c>
      <c r="F1049">
        <v>1273</v>
      </c>
      <c r="G1049" t="s">
        <v>1084</v>
      </c>
      <c r="I1049">
        <v>10001658</v>
      </c>
      <c r="J1049" t="s">
        <v>2443</v>
      </c>
      <c r="K1049">
        <v>800159</v>
      </c>
      <c r="L1049">
        <v>1</v>
      </c>
      <c r="M1049" t="s">
        <v>1596</v>
      </c>
      <c r="N1049" t="s">
        <v>254</v>
      </c>
      <c r="O1049">
        <v>1374000</v>
      </c>
    </row>
    <row r="1050" spans="1:15" x14ac:dyDescent="0.4">
      <c r="A1050" t="s">
        <v>1548</v>
      </c>
      <c r="B1050">
        <v>75</v>
      </c>
      <c r="C1050" t="s">
        <v>5</v>
      </c>
      <c r="D1050">
        <v>51</v>
      </c>
      <c r="E1050" t="s">
        <v>657</v>
      </c>
      <c r="F1050">
        <v>1435</v>
      </c>
      <c r="G1050" t="s">
        <v>860</v>
      </c>
      <c r="I1050">
        <v>10001666</v>
      </c>
      <c r="J1050" t="s">
        <v>2444</v>
      </c>
      <c r="K1050">
        <v>800159</v>
      </c>
      <c r="L1050">
        <v>1</v>
      </c>
      <c r="M1050" t="s">
        <v>1586</v>
      </c>
      <c r="N1050" t="s">
        <v>224</v>
      </c>
      <c r="O1050">
        <v>1379400</v>
      </c>
    </row>
    <row r="1051" spans="1:15" x14ac:dyDescent="0.4">
      <c r="A1051" t="s">
        <v>258</v>
      </c>
      <c r="B1051">
        <v>70</v>
      </c>
      <c r="C1051" t="s">
        <v>2</v>
      </c>
      <c r="D1051">
        <v>41</v>
      </c>
      <c r="E1051" t="s">
        <v>306</v>
      </c>
      <c r="F1051">
        <v>1118</v>
      </c>
      <c r="G1051" t="s">
        <v>1471</v>
      </c>
      <c r="I1051">
        <v>10001711</v>
      </c>
      <c r="J1051" t="s">
        <v>2445</v>
      </c>
      <c r="K1051">
        <v>800159</v>
      </c>
      <c r="L1051">
        <v>1</v>
      </c>
      <c r="M1051" t="s">
        <v>221</v>
      </c>
      <c r="N1051" t="s">
        <v>331</v>
      </c>
      <c r="O1051">
        <v>1320000</v>
      </c>
    </row>
    <row r="1052" spans="1:15" x14ac:dyDescent="0.4">
      <c r="A1052" t="s">
        <v>196</v>
      </c>
      <c r="B1052">
        <v>60</v>
      </c>
      <c r="C1052" t="s">
        <v>3</v>
      </c>
      <c r="D1052">
        <v>31</v>
      </c>
      <c r="E1052" t="s">
        <v>447</v>
      </c>
      <c r="F1052">
        <v>1543</v>
      </c>
      <c r="G1052" t="s">
        <v>1183</v>
      </c>
      <c r="I1052">
        <v>10001718</v>
      </c>
      <c r="J1052" t="s">
        <v>2446</v>
      </c>
      <c r="K1052">
        <v>800159</v>
      </c>
      <c r="L1052">
        <v>1</v>
      </c>
      <c r="M1052" t="s">
        <v>186</v>
      </c>
      <c r="N1052" t="s">
        <v>302</v>
      </c>
      <c r="O1052">
        <v>1552200</v>
      </c>
    </row>
    <row r="1053" spans="1:15" x14ac:dyDescent="0.4">
      <c r="A1053" t="s">
        <v>1589</v>
      </c>
      <c r="B1053">
        <v>50</v>
      </c>
      <c r="C1053" t="s">
        <v>1</v>
      </c>
      <c r="D1053">
        <v>21</v>
      </c>
      <c r="E1053" t="s">
        <v>182</v>
      </c>
      <c r="F1053">
        <v>1264</v>
      </c>
      <c r="G1053" t="s">
        <v>1023</v>
      </c>
      <c r="I1053">
        <v>10001729</v>
      </c>
      <c r="J1053" t="s">
        <v>2447</v>
      </c>
      <c r="K1053">
        <v>800159</v>
      </c>
      <c r="L1053">
        <v>1</v>
      </c>
      <c r="M1053" t="s">
        <v>1594</v>
      </c>
      <c r="N1053" t="s">
        <v>294</v>
      </c>
      <c r="O1053">
        <v>1363200</v>
      </c>
    </row>
    <row r="1054" spans="1:15" x14ac:dyDescent="0.4">
      <c r="A1054" t="s">
        <v>221</v>
      </c>
      <c r="B1054">
        <v>70</v>
      </c>
      <c r="C1054" t="s">
        <v>2</v>
      </c>
      <c r="D1054">
        <v>41</v>
      </c>
      <c r="E1054" t="s">
        <v>306</v>
      </c>
      <c r="F1054">
        <v>1298</v>
      </c>
      <c r="G1054" t="s">
        <v>1277</v>
      </c>
      <c r="I1054">
        <v>10001739</v>
      </c>
      <c r="J1054" t="s">
        <v>399</v>
      </c>
      <c r="K1054">
        <v>800157</v>
      </c>
      <c r="L1054">
        <v>1</v>
      </c>
      <c r="M1054" t="s">
        <v>204</v>
      </c>
      <c r="O1054">
        <v>787200</v>
      </c>
    </row>
    <row r="1055" spans="1:15" x14ac:dyDescent="0.4">
      <c r="A1055" t="s">
        <v>1523</v>
      </c>
      <c r="B1055">
        <v>50</v>
      </c>
      <c r="C1055" t="s">
        <v>1</v>
      </c>
      <c r="D1055">
        <v>11</v>
      </c>
      <c r="E1055" t="s">
        <v>192</v>
      </c>
      <c r="F1055">
        <v>1353</v>
      </c>
      <c r="G1055" t="s">
        <v>1017</v>
      </c>
      <c r="I1055">
        <v>10001784</v>
      </c>
      <c r="J1055" t="s">
        <v>2448</v>
      </c>
      <c r="K1055">
        <v>800159</v>
      </c>
      <c r="L1055">
        <v>1</v>
      </c>
      <c r="M1055" t="s">
        <v>1587</v>
      </c>
      <c r="N1055" t="s">
        <v>261</v>
      </c>
      <c r="O1055">
        <v>1325400</v>
      </c>
    </row>
    <row r="1056" spans="1:15" x14ac:dyDescent="0.4">
      <c r="A1056" t="s">
        <v>311</v>
      </c>
      <c r="B1056">
        <v>60</v>
      </c>
      <c r="C1056" t="s">
        <v>3</v>
      </c>
      <c r="D1056">
        <v>33</v>
      </c>
      <c r="E1056" t="s">
        <v>451</v>
      </c>
      <c r="F1056">
        <v>1505</v>
      </c>
      <c r="G1056" t="s">
        <v>900</v>
      </c>
      <c r="I1056">
        <v>20004722</v>
      </c>
      <c r="J1056" t="s">
        <v>728</v>
      </c>
      <c r="K1056">
        <v>800157</v>
      </c>
      <c r="L1056">
        <v>1</v>
      </c>
      <c r="M1056" t="s">
        <v>258</v>
      </c>
      <c r="N1056" t="s">
        <v>261</v>
      </c>
      <c r="O1056">
        <v>960000</v>
      </c>
    </row>
    <row r="1057" spans="1:15" x14ac:dyDescent="0.4">
      <c r="A1057" t="s">
        <v>281</v>
      </c>
      <c r="B1057">
        <v>50</v>
      </c>
      <c r="C1057" t="s">
        <v>1</v>
      </c>
      <c r="D1057">
        <v>21</v>
      </c>
      <c r="E1057" t="s">
        <v>182</v>
      </c>
      <c r="F1057">
        <v>1166</v>
      </c>
      <c r="G1057" t="s">
        <v>1082</v>
      </c>
      <c r="I1057">
        <v>20003571</v>
      </c>
      <c r="J1057" t="s">
        <v>1982</v>
      </c>
      <c r="K1057">
        <v>800159</v>
      </c>
      <c r="L1057">
        <v>1</v>
      </c>
      <c r="M1057" t="s">
        <v>363</v>
      </c>
      <c r="N1057" t="s">
        <v>315</v>
      </c>
      <c r="O1057">
        <v>1320000</v>
      </c>
    </row>
    <row r="1058" spans="1:15" x14ac:dyDescent="0.4">
      <c r="A1058" t="s">
        <v>1479</v>
      </c>
      <c r="B1058">
        <v>75</v>
      </c>
      <c r="C1058" t="s">
        <v>5</v>
      </c>
      <c r="D1058">
        <v>52</v>
      </c>
      <c r="E1058" t="s">
        <v>665</v>
      </c>
      <c r="F1058">
        <v>1403</v>
      </c>
      <c r="G1058" t="s">
        <v>925</v>
      </c>
      <c r="I1058">
        <v>10001806</v>
      </c>
      <c r="J1058" t="s">
        <v>2449</v>
      </c>
      <c r="K1058">
        <v>800157</v>
      </c>
      <c r="L1058">
        <v>1</v>
      </c>
      <c r="M1058" t="s">
        <v>1487</v>
      </c>
      <c r="N1058" t="s">
        <v>243</v>
      </c>
      <c r="O1058">
        <v>892800</v>
      </c>
    </row>
    <row r="1059" spans="1:15" x14ac:dyDescent="0.4">
      <c r="A1059" t="s">
        <v>238</v>
      </c>
      <c r="B1059">
        <v>75</v>
      </c>
      <c r="C1059" t="s">
        <v>5</v>
      </c>
      <c r="D1059">
        <v>51</v>
      </c>
      <c r="E1059" t="s">
        <v>657</v>
      </c>
      <c r="F1059">
        <v>1365</v>
      </c>
      <c r="G1059" t="s">
        <v>1148</v>
      </c>
      <c r="I1059">
        <v>10064448</v>
      </c>
      <c r="J1059" t="s">
        <v>2450</v>
      </c>
      <c r="K1059">
        <v>800159</v>
      </c>
      <c r="L1059">
        <v>1</v>
      </c>
      <c r="M1059" t="s">
        <v>230</v>
      </c>
      <c r="N1059" t="s">
        <v>235</v>
      </c>
      <c r="O1059">
        <v>1320000</v>
      </c>
    </row>
    <row r="1060" spans="1:15" x14ac:dyDescent="0.4">
      <c r="A1060" t="s">
        <v>268</v>
      </c>
      <c r="B1060">
        <v>60</v>
      </c>
      <c r="C1060" t="s">
        <v>3</v>
      </c>
      <c r="D1060">
        <v>33</v>
      </c>
      <c r="E1060" t="s">
        <v>451</v>
      </c>
      <c r="F1060">
        <v>1220</v>
      </c>
      <c r="G1060" t="s">
        <v>1343</v>
      </c>
      <c r="I1060">
        <v>10001855</v>
      </c>
      <c r="J1060" t="s">
        <v>1558</v>
      </c>
      <c r="K1060">
        <v>800159</v>
      </c>
      <c r="L1060">
        <v>1</v>
      </c>
      <c r="M1060" t="s">
        <v>195</v>
      </c>
      <c r="N1060" t="s">
        <v>200</v>
      </c>
      <c r="O1060">
        <v>1302000</v>
      </c>
    </row>
    <row r="1061" spans="1:15" x14ac:dyDescent="0.4">
      <c r="A1061" t="s">
        <v>1548</v>
      </c>
      <c r="B1061">
        <v>75</v>
      </c>
      <c r="C1061" t="s">
        <v>5</v>
      </c>
      <c r="D1061">
        <v>51</v>
      </c>
      <c r="E1061" t="s">
        <v>657</v>
      </c>
      <c r="F1061">
        <v>1365</v>
      </c>
      <c r="G1061" t="s">
        <v>1148</v>
      </c>
      <c r="I1061">
        <v>10001859</v>
      </c>
      <c r="J1061" t="s">
        <v>2451</v>
      </c>
      <c r="K1061">
        <v>800157</v>
      </c>
      <c r="L1061">
        <v>1</v>
      </c>
      <c r="M1061" t="s">
        <v>1586</v>
      </c>
      <c r="N1061" t="s">
        <v>222</v>
      </c>
      <c r="O1061">
        <v>854400</v>
      </c>
    </row>
    <row r="1062" spans="1:15" x14ac:dyDescent="0.4">
      <c r="A1062" t="s">
        <v>311</v>
      </c>
      <c r="B1062">
        <v>76</v>
      </c>
      <c r="C1062" t="s">
        <v>6</v>
      </c>
      <c r="D1062">
        <v>61</v>
      </c>
      <c r="E1062" t="s">
        <v>703</v>
      </c>
      <c r="F1062">
        <v>1472</v>
      </c>
      <c r="G1062" t="s">
        <v>998</v>
      </c>
      <c r="I1062">
        <v>10001868</v>
      </c>
      <c r="J1062" t="s">
        <v>2452</v>
      </c>
      <c r="K1062">
        <v>800157</v>
      </c>
      <c r="L1062">
        <v>1</v>
      </c>
      <c r="M1062" t="s">
        <v>258</v>
      </c>
      <c r="N1062" t="s">
        <v>261</v>
      </c>
      <c r="O1062">
        <v>784000</v>
      </c>
    </row>
    <row r="1063" spans="1:15" x14ac:dyDescent="0.4">
      <c r="A1063" t="s">
        <v>1470</v>
      </c>
      <c r="B1063">
        <v>60</v>
      </c>
      <c r="C1063" t="s">
        <v>3</v>
      </c>
      <c r="D1063">
        <v>33</v>
      </c>
      <c r="E1063" t="s">
        <v>451</v>
      </c>
      <c r="F1063">
        <v>1372</v>
      </c>
      <c r="G1063" t="s">
        <v>992</v>
      </c>
      <c r="I1063">
        <v>10090701</v>
      </c>
      <c r="J1063" t="s">
        <v>2453</v>
      </c>
      <c r="K1063">
        <v>800157</v>
      </c>
      <c r="L1063">
        <v>1</v>
      </c>
      <c r="M1063" t="s">
        <v>1469</v>
      </c>
      <c r="N1063" t="s">
        <v>197</v>
      </c>
      <c r="O1063">
        <v>796800</v>
      </c>
    </row>
    <row r="1064" spans="1:15" x14ac:dyDescent="0.4">
      <c r="A1064" t="s">
        <v>1469</v>
      </c>
      <c r="B1064">
        <v>50</v>
      </c>
      <c r="C1064" t="s">
        <v>1</v>
      </c>
      <c r="D1064">
        <v>21</v>
      </c>
      <c r="E1064" t="s">
        <v>182</v>
      </c>
      <c r="F1064">
        <v>1345</v>
      </c>
      <c r="G1064" t="s">
        <v>874</v>
      </c>
      <c r="I1064">
        <v>10001873</v>
      </c>
      <c r="J1064" t="s">
        <v>2454</v>
      </c>
      <c r="K1064">
        <v>800155</v>
      </c>
      <c r="L1064">
        <v>1</v>
      </c>
      <c r="M1064" t="s">
        <v>1475</v>
      </c>
      <c r="N1064" t="s">
        <v>195</v>
      </c>
      <c r="O1064">
        <v>253200</v>
      </c>
    </row>
    <row r="1065" spans="1:15" x14ac:dyDescent="0.4">
      <c r="A1065" t="s">
        <v>185</v>
      </c>
      <c r="B1065">
        <v>60</v>
      </c>
      <c r="C1065" t="s">
        <v>3</v>
      </c>
      <c r="D1065">
        <v>33</v>
      </c>
      <c r="E1065" t="s">
        <v>451</v>
      </c>
      <c r="F1065">
        <v>1372</v>
      </c>
      <c r="G1065" t="s">
        <v>992</v>
      </c>
      <c r="I1065">
        <v>10001881</v>
      </c>
      <c r="J1065" t="s">
        <v>2455</v>
      </c>
      <c r="K1065">
        <v>800157</v>
      </c>
      <c r="L1065">
        <v>1</v>
      </c>
      <c r="M1065" t="s">
        <v>275</v>
      </c>
      <c r="N1065" t="s">
        <v>232</v>
      </c>
      <c r="O1065">
        <v>723600</v>
      </c>
    </row>
    <row r="1066" spans="1:15" x14ac:dyDescent="0.4">
      <c r="A1066" t="s">
        <v>311</v>
      </c>
      <c r="B1066">
        <v>60</v>
      </c>
      <c r="C1066" t="s">
        <v>3</v>
      </c>
      <c r="D1066">
        <v>33</v>
      </c>
      <c r="E1066" t="s">
        <v>451</v>
      </c>
      <c r="F1066">
        <v>1372</v>
      </c>
      <c r="G1066" t="s">
        <v>992</v>
      </c>
      <c r="I1066">
        <v>10057760</v>
      </c>
      <c r="J1066" t="s">
        <v>2456</v>
      </c>
      <c r="K1066">
        <v>800157</v>
      </c>
      <c r="L1066">
        <v>1</v>
      </c>
      <c r="M1066" t="s">
        <v>258</v>
      </c>
      <c r="N1066" t="s">
        <v>261</v>
      </c>
      <c r="O1066">
        <v>819200</v>
      </c>
    </row>
    <row r="1067" spans="1:15" x14ac:dyDescent="0.4">
      <c r="A1067" t="s">
        <v>268</v>
      </c>
      <c r="B1067">
        <v>75</v>
      </c>
      <c r="C1067" t="s">
        <v>5</v>
      </c>
      <c r="D1067">
        <v>51</v>
      </c>
      <c r="E1067" t="s">
        <v>657</v>
      </c>
      <c r="F1067">
        <v>1435</v>
      </c>
      <c r="G1067" t="s">
        <v>860</v>
      </c>
      <c r="I1067">
        <v>10069508</v>
      </c>
      <c r="J1067" t="s">
        <v>2457</v>
      </c>
      <c r="K1067">
        <v>800159</v>
      </c>
      <c r="L1067">
        <v>1</v>
      </c>
      <c r="M1067" t="s">
        <v>195</v>
      </c>
      <c r="N1067" t="s">
        <v>200</v>
      </c>
      <c r="O1067">
        <v>1330800</v>
      </c>
    </row>
    <row r="1068" spans="1:15" x14ac:dyDescent="0.4">
      <c r="A1068" t="s">
        <v>250</v>
      </c>
      <c r="B1068">
        <v>50</v>
      </c>
      <c r="C1068" t="s">
        <v>1</v>
      </c>
      <c r="D1068">
        <v>21</v>
      </c>
      <c r="E1068" t="s">
        <v>182</v>
      </c>
      <c r="F1068">
        <v>1264</v>
      </c>
      <c r="G1068" t="s">
        <v>1023</v>
      </c>
      <c r="I1068">
        <v>10001932</v>
      </c>
      <c r="J1068" t="s">
        <v>2458</v>
      </c>
      <c r="K1068">
        <v>800159</v>
      </c>
      <c r="L1068">
        <v>1</v>
      </c>
      <c r="M1068" t="s">
        <v>196</v>
      </c>
      <c r="N1068" t="s">
        <v>215</v>
      </c>
      <c r="O1068">
        <v>1320000</v>
      </c>
    </row>
    <row r="1069" spans="1:15" x14ac:dyDescent="0.4">
      <c r="A1069" t="s">
        <v>250</v>
      </c>
      <c r="B1069">
        <v>76</v>
      </c>
      <c r="C1069" t="s">
        <v>6</v>
      </c>
      <c r="D1069">
        <v>61</v>
      </c>
      <c r="E1069" t="s">
        <v>703</v>
      </c>
      <c r="F1069">
        <v>1472</v>
      </c>
      <c r="G1069" t="s">
        <v>998</v>
      </c>
      <c r="I1069">
        <v>10001934</v>
      </c>
      <c r="J1069" t="s">
        <v>2459</v>
      </c>
      <c r="K1069">
        <v>800157</v>
      </c>
      <c r="L1069">
        <v>1</v>
      </c>
      <c r="M1069" t="s">
        <v>196</v>
      </c>
      <c r="N1069" t="s">
        <v>213</v>
      </c>
      <c r="O1069">
        <v>784000</v>
      </c>
    </row>
    <row r="1070" spans="1:15" x14ac:dyDescent="0.4">
      <c r="A1070" t="s">
        <v>1589</v>
      </c>
      <c r="B1070">
        <v>60</v>
      </c>
      <c r="C1070" t="s">
        <v>3</v>
      </c>
      <c r="D1070">
        <v>31</v>
      </c>
      <c r="E1070" t="s">
        <v>447</v>
      </c>
      <c r="F1070">
        <v>1299</v>
      </c>
      <c r="G1070" t="s">
        <v>947</v>
      </c>
      <c r="I1070">
        <v>10045842</v>
      </c>
      <c r="J1070" t="s">
        <v>2460</v>
      </c>
      <c r="K1070">
        <v>800159</v>
      </c>
      <c r="L1070">
        <v>1</v>
      </c>
      <c r="M1070" t="s">
        <v>1594</v>
      </c>
      <c r="N1070" t="s">
        <v>294</v>
      </c>
      <c r="O1070">
        <v>1122000</v>
      </c>
    </row>
    <row r="1071" spans="1:15" x14ac:dyDescent="0.4">
      <c r="A1071" t="s">
        <v>1475</v>
      </c>
      <c r="B1071">
        <v>50</v>
      </c>
      <c r="C1071" t="s">
        <v>1</v>
      </c>
      <c r="D1071">
        <v>21</v>
      </c>
      <c r="E1071" t="s">
        <v>182</v>
      </c>
      <c r="F1071">
        <v>1345</v>
      </c>
      <c r="G1071" t="s">
        <v>874</v>
      </c>
      <c r="I1071">
        <v>10001942</v>
      </c>
      <c r="J1071" t="s">
        <v>2461</v>
      </c>
      <c r="K1071">
        <v>800157</v>
      </c>
      <c r="L1071">
        <v>1</v>
      </c>
      <c r="M1071" t="s">
        <v>1479</v>
      </c>
      <c r="N1071" t="s">
        <v>231</v>
      </c>
      <c r="O1071">
        <v>518400</v>
      </c>
    </row>
    <row r="1072" spans="1:15" x14ac:dyDescent="0.4">
      <c r="A1072" t="s">
        <v>258</v>
      </c>
      <c r="B1072">
        <v>60</v>
      </c>
      <c r="C1072" t="s">
        <v>3</v>
      </c>
      <c r="D1072">
        <v>31</v>
      </c>
      <c r="E1072" t="s">
        <v>447</v>
      </c>
      <c r="F1072">
        <v>1612</v>
      </c>
      <c r="G1072" t="s">
        <v>1720</v>
      </c>
      <c r="I1072">
        <v>10001945</v>
      </c>
      <c r="J1072" t="s">
        <v>2462</v>
      </c>
      <c r="K1072">
        <v>800159</v>
      </c>
      <c r="L1072">
        <v>1</v>
      </c>
      <c r="M1072" t="s">
        <v>221</v>
      </c>
      <c r="N1072" t="s">
        <v>331</v>
      </c>
      <c r="O1072">
        <v>858000</v>
      </c>
    </row>
    <row r="1073" spans="1:15" x14ac:dyDescent="0.4">
      <c r="A1073" t="s">
        <v>196</v>
      </c>
      <c r="B1073">
        <v>70</v>
      </c>
      <c r="C1073" t="s">
        <v>2</v>
      </c>
      <c r="D1073">
        <v>41</v>
      </c>
      <c r="E1073" t="s">
        <v>306</v>
      </c>
      <c r="F1073">
        <v>1118</v>
      </c>
      <c r="G1073" t="s">
        <v>1471</v>
      </c>
      <c r="I1073">
        <v>20010070</v>
      </c>
      <c r="J1073" t="s">
        <v>2463</v>
      </c>
      <c r="K1073">
        <v>800159</v>
      </c>
      <c r="L1073">
        <v>1</v>
      </c>
      <c r="M1073" t="s">
        <v>186</v>
      </c>
      <c r="N1073" t="s">
        <v>302</v>
      </c>
      <c r="O1073">
        <v>1330800</v>
      </c>
    </row>
    <row r="1074" spans="1:15" x14ac:dyDescent="0.4">
      <c r="A1074" t="s">
        <v>1589</v>
      </c>
      <c r="B1074">
        <v>50</v>
      </c>
      <c r="C1074" t="s">
        <v>1</v>
      </c>
      <c r="D1074">
        <v>11</v>
      </c>
      <c r="E1074" t="s">
        <v>192</v>
      </c>
      <c r="F1074">
        <v>1085</v>
      </c>
      <c r="G1074" t="s">
        <v>854</v>
      </c>
      <c r="I1074">
        <v>10001992</v>
      </c>
      <c r="J1074" t="s">
        <v>2464</v>
      </c>
      <c r="K1074">
        <v>800159</v>
      </c>
      <c r="L1074">
        <v>1</v>
      </c>
      <c r="M1074" t="s">
        <v>1594</v>
      </c>
      <c r="N1074" t="s">
        <v>294</v>
      </c>
      <c r="O1074">
        <v>756000</v>
      </c>
    </row>
    <row r="1075" spans="1:15" x14ac:dyDescent="0.4">
      <c r="A1075" t="s">
        <v>1589</v>
      </c>
      <c r="B1075">
        <v>50</v>
      </c>
      <c r="C1075" t="s">
        <v>1</v>
      </c>
      <c r="D1075">
        <v>11</v>
      </c>
      <c r="E1075" t="s">
        <v>192</v>
      </c>
      <c r="F1075">
        <v>1085</v>
      </c>
      <c r="G1075" t="s">
        <v>854</v>
      </c>
      <c r="I1075">
        <v>10001993</v>
      </c>
      <c r="J1075" t="s">
        <v>2465</v>
      </c>
      <c r="K1075">
        <v>800159</v>
      </c>
      <c r="L1075">
        <v>1</v>
      </c>
      <c r="M1075" t="s">
        <v>1594</v>
      </c>
      <c r="N1075" t="s">
        <v>294</v>
      </c>
      <c r="O1075">
        <v>798000</v>
      </c>
    </row>
    <row r="1076" spans="1:15" x14ac:dyDescent="0.4">
      <c r="A1076" t="s">
        <v>186</v>
      </c>
      <c r="B1076">
        <v>80</v>
      </c>
      <c r="C1076" t="s">
        <v>4</v>
      </c>
      <c r="D1076">
        <v>81</v>
      </c>
      <c r="E1076" t="s">
        <v>550</v>
      </c>
      <c r="F1076">
        <v>1154</v>
      </c>
      <c r="G1076" t="s">
        <v>1044</v>
      </c>
      <c r="I1076">
        <v>10001994</v>
      </c>
      <c r="J1076" t="s">
        <v>2466</v>
      </c>
      <c r="K1076">
        <v>800159</v>
      </c>
      <c r="L1076">
        <v>1</v>
      </c>
      <c r="M1076" t="s">
        <v>238</v>
      </c>
      <c r="N1076" t="s">
        <v>239</v>
      </c>
      <c r="O1076">
        <v>948000</v>
      </c>
    </row>
    <row r="1077" spans="1:15" x14ac:dyDescent="0.4">
      <c r="A1077" t="s">
        <v>238</v>
      </c>
      <c r="B1077">
        <v>60</v>
      </c>
      <c r="C1077" t="s">
        <v>3</v>
      </c>
      <c r="D1077">
        <v>33</v>
      </c>
      <c r="E1077" t="s">
        <v>451</v>
      </c>
      <c r="F1077">
        <v>1372</v>
      </c>
      <c r="G1077" t="s">
        <v>992</v>
      </c>
      <c r="I1077">
        <v>10002017</v>
      </c>
      <c r="J1077" t="s">
        <v>2467</v>
      </c>
      <c r="K1077">
        <v>800159</v>
      </c>
      <c r="L1077">
        <v>1</v>
      </c>
      <c r="M1077" t="s">
        <v>230</v>
      </c>
      <c r="N1077" t="s">
        <v>235</v>
      </c>
      <c r="O1077">
        <v>1368600</v>
      </c>
    </row>
    <row r="1078" spans="1:15" x14ac:dyDescent="0.4">
      <c r="A1078" t="s">
        <v>1586</v>
      </c>
      <c r="B1078">
        <v>76</v>
      </c>
      <c r="C1078" t="s">
        <v>6</v>
      </c>
      <c r="D1078">
        <v>61</v>
      </c>
      <c r="E1078" t="s">
        <v>703</v>
      </c>
      <c r="F1078">
        <v>1475</v>
      </c>
      <c r="G1078" t="s">
        <v>909</v>
      </c>
      <c r="I1078">
        <v>10002022</v>
      </c>
      <c r="J1078" t="s">
        <v>1610</v>
      </c>
      <c r="K1078">
        <v>800159</v>
      </c>
      <c r="L1078">
        <v>1</v>
      </c>
      <c r="M1078" t="s">
        <v>1589</v>
      </c>
      <c r="N1078" t="s">
        <v>207</v>
      </c>
      <c r="O1078">
        <v>1302000</v>
      </c>
    </row>
    <row r="1079" spans="1:15" x14ac:dyDescent="0.4">
      <c r="A1079" t="s">
        <v>1586</v>
      </c>
      <c r="B1079">
        <v>76</v>
      </c>
      <c r="C1079" t="s">
        <v>6</v>
      </c>
      <c r="D1079">
        <v>61</v>
      </c>
      <c r="E1079" t="s">
        <v>703</v>
      </c>
      <c r="F1079">
        <v>1563</v>
      </c>
      <c r="G1079" t="s">
        <v>942</v>
      </c>
      <c r="I1079">
        <v>10000339</v>
      </c>
      <c r="J1079" t="s">
        <v>2468</v>
      </c>
      <c r="K1079">
        <v>800157</v>
      </c>
      <c r="L1079">
        <v>1</v>
      </c>
      <c r="M1079" t="s">
        <v>1589</v>
      </c>
      <c r="N1079" t="s">
        <v>205</v>
      </c>
      <c r="O1079">
        <v>784000</v>
      </c>
    </row>
    <row r="1080" spans="1:15" x14ac:dyDescent="0.4">
      <c r="A1080" t="s">
        <v>242</v>
      </c>
      <c r="B1080">
        <v>50</v>
      </c>
      <c r="C1080" t="s">
        <v>1</v>
      </c>
      <c r="D1080">
        <v>11</v>
      </c>
      <c r="E1080" t="s">
        <v>192</v>
      </c>
      <c r="F1080">
        <v>1353</v>
      </c>
      <c r="G1080" t="s">
        <v>1017</v>
      </c>
      <c r="I1080">
        <v>10000341</v>
      </c>
      <c r="J1080" t="s">
        <v>2469</v>
      </c>
      <c r="K1080">
        <v>800159</v>
      </c>
      <c r="L1080">
        <v>1</v>
      </c>
      <c r="M1080" t="s">
        <v>311</v>
      </c>
      <c r="N1080" t="s">
        <v>316</v>
      </c>
      <c r="O1080">
        <v>858000</v>
      </c>
    </row>
    <row r="1081" spans="1:15" x14ac:dyDescent="0.4">
      <c r="A1081" t="s">
        <v>186</v>
      </c>
      <c r="B1081">
        <v>75</v>
      </c>
      <c r="C1081" t="s">
        <v>5</v>
      </c>
      <c r="D1081">
        <v>51</v>
      </c>
      <c r="E1081" t="s">
        <v>657</v>
      </c>
      <c r="F1081">
        <v>1435</v>
      </c>
      <c r="G1081" t="s">
        <v>860</v>
      </c>
      <c r="I1081">
        <v>10000349</v>
      </c>
      <c r="J1081" t="s">
        <v>2470</v>
      </c>
      <c r="K1081">
        <v>800159</v>
      </c>
      <c r="L1081">
        <v>1</v>
      </c>
      <c r="M1081" t="s">
        <v>238</v>
      </c>
      <c r="N1081" t="s">
        <v>239</v>
      </c>
      <c r="O1081">
        <v>1320000</v>
      </c>
    </row>
    <row r="1082" spans="1:15" x14ac:dyDescent="0.4">
      <c r="A1082" t="s">
        <v>195</v>
      </c>
      <c r="B1082">
        <v>75</v>
      </c>
      <c r="C1082" t="s">
        <v>5</v>
      </c>
      <c r="D1082">
        <v>52</v>
      </c>
      <c r="E1082" t="s">
        <v>665</v>
      </c>
      <c r="F1082">
        <v>1403</v>
      </c>
      <c r="G1082" t="s">
        <v>925</v>
      </c>
      <c r="I1082">
        <v>10000350</v>
      </c>
      <c r="J1082" t="s">
        <v>2471</v>
      </c>
      <c r="K1082">
        <v>800157</v>
      </c>
      <c r="L1082">
        <v>1</v>
      </c>
      <c r="M1082" t="s">
        <v>185</v>
      </c>
      <c r="N1082" t="s">
        <v>188</v>
      </c>
      <c r="O1082">
        <v>787200</v>
      </c>
    </row>
    <row r="1083" spans="1:15" x14ac:dyDescent="0.4">
      <c r="A1083" t="s">
        <v>185</v>
      </c>
      <c r="B1083">
        <v>76</v>
      </c>
      <c r="C1083" t="s">
        <v>6</v>
      </c>
      <c r="D1083">
        <v>61</v>
      </c>
      <c r="E1083" t="s">
        <v>703</v>
      </c>
      <c r="F1083">
        <v>1563</v>
      </c>
      <c r="G1083" t="s">
        <v>942</v>
      </c>
      <c r="I1083">
        <v>10000355</v>
      </c>
      <c r="J1083" t="s">
        <v>2472</v>
      </c>
      <c r="K1083">
        <v>800159</v>
      </c>
      <c r="L1083">
        <v>1</v>
      </c>
      <c r="M1083" t="s">
        <v>275</v>
      </c>
      <c r="N1083" t="s">
        <v>234</v>
      </c>
      <c r="O1083">
        <v>1395600</v>
      </c>
    </row>
    <row r="1084" spans="1:15" x14ac:dyDescent="0.4">
      <c r="A1084" t="s">
        <v>1487</v>
      </c>
      <c r="B1084">
        <v>50</v>
      </c>
      <c r="C1084" t="s">
        <v>1</v>
      </c>
      <c r="D1084">
        <v>21</v>
      </c>
      <c r="E1084" t="s">
        <v>182</v>
      </c>
      <c r="F1084">
        <v>1345</v>
      </c>
      <c r="G1084" t="s">
        <v>874</v>
      </c>
      <c r="I1084">
        <v>10001456</v>
      </c>
      <c r="J1084" t="s">
        <v>2473</v>
      </c>
      <c r="K1084">
        <v>800159</v>
      </c>
      <c r="L1084">
        <v>1</v>
      </c>
      <c r="M1084" t="s">
        <v>1523</v>
      </c>
      <c r="N1084" t="s">
        <v>314</v>
      </c>
      <c r="O1084">
        <v>1320000</v>
      </c>
    </row>
    <row r="1085" spans="1:15" x14ac:dyDescent="0.4">
      <c r="A1085" t="s">
        <v>1475</v>
      </c>
      <c r="B1085">
        <v>80</v>
      </c>
      <c r="C1085" t="s">
        <v>4</v>
      </c>
      <c r="D1085">
        <v>71</v>
      </c>
      <c r="E1085" t="s">
        <v>556</v>
      </c>
      <c r="F1085">
        <v>1296</v>
      </c>
      <c r="G1085" t="s">
        <v>964</v>
      </c>
      <c r="I1085">
        <v>10001460</v>
      </c>
      <c r="J1085" t="s">
        <v>2474</v>
      </c>
      <c r="K1085">
        <v>800157</v>
      </c>
      <c r="L1085">
        <v>1</v>
      </c>
      <c r="M1085" t="s">
        <v>1479</v>
      </c>
      <c r="N1085" t="s">
        <v>231</v>
      </c>
      <c r="O1085">
        <v>787200</v>
      </c>
    </row>
    <row r="1086" spans="1:15" x14ac:dyDescent="0.4">
      <c r="A1086" t="s">
        <v>1589</v>
      </c>
      <c r="B1086">
        <v>80</v>
      </c>
      <c r="C1086" t="s">
        <v>4</v>
      </c>
      <c r="D1086">
        <v>81</v>
      </c>
      <c r="E1086" t="s">
        <v>550</v>
      </c>
      <c r="F1086">
        <v>1322</v>
      </c>
      <c r="G1086" t="s">
        <v>961</v>
      </c>
      <c r="I1086">
        <v>10001465</v>
      </c>
      <c r="J1086" t="s">
        <v>2475</v>
      </c>
      <c r="K1086">
        <v>800159</v>
      </c>
      <c r="L1086">
        <v>1</v>
      </c>
      <c r="M1086" t="s">
        <v>1594</v>
      </c>
      <c r="N1086" t="s">
        <v>294</v>
      </c>
      <c r="O1086">
        <v>1266000</v>
      </c>
    </row>
    <row r="1087" spans="1:15" x14ac:dyDescent="0.4">
      <c r="A1087" t="s">
        <v>220</v>
      </c>
      <c r="B1087">
        <v>60</v>
      </c>
      <c r="C1087" t="s">
        <v>3</v>
      </c>
      <c r="D1087">
        <v>31</v>
      </c>
      <c r="E1087" t="s">
        <v>447</v>
      </c>
      <c r="F1087">
        <v>1299</v>
      </c>
      <c r="G1087" t="s">
        <v>947</v>
      </c>
      <c r="I1087">
        <v>10001471</v>
      </c>
      <c r="J1087" t="s">
        <v>2476</v>
      </c>
      <c r="K1087">
        <v>800159</v>
      </c>
      <c r="L1087">
        <v>1</v>
      </c>
      <c r="M1087" t="s">
        <v>203</v>
      </c>
      <c r="N1087" t="s">
        <v>208</v>
      </c>
      <c r="O1087">
        <v>906000</v>
      </c>
    </row>
    <row r="1088" spans="1:15" x14ac:dyDescent="0.4">
      <c r="A1088" t="s">
        <v>1479</v>
      </c>
      <c r="B1088">
        <v>76</v>
      </c>
      <c r="C1088" t="s">
        <v>6</v>
      </c>
      <c r="D1088">
        <v>61</v>
      </c>
      <c r="E1088" t="s">
        <v>703</v>
      </c>
      <c r="F1088">
        <v>1475</v>
      </c>
      <c r="G1088" t="s">
        <v>909</v>
      </c>
      <c r="I1088">
        <v>20008594</v>
      </c>
      <c r="J1088" t="s">
        <v>2477</v>
      </c>
      <c r="K1088">
        <v>800157</v>
      </c>
      <c r="L1088">
        <v>1</v>
      </c>
      <c r="M1088" t="s">
        <v>1487</v>
      </c>
      <c r="N1088" t="s">
        <v>243</v>
      </c>
      <c r="O1088">
        <v>835200</v>
      </c>
    </row>
    <row r="1089" spans="1:15" x14ac:dyDescent="0.4">
      <c r="A1089" t="s">
        <v>230</v>
      </c>
      <c r="B1089">
        <v>80</v>
      </c>
      <c r="C1089" t="s">
        <v>4</v>
      </c>
      <c r="D1089">
        <v>81</v>
      </c>
      <c r="E1089" t="s">
        <v>550</v>
      </c>
      <c r="F1089">
        <v>1154</v>
      </c>
      <c r="G1089" t="s">
        <v>1044</v>
      </c>
      <c r="I1089">
        <v>10001484</v>
      </c>
      <c r="J1089" t="s">
        <v>2478</v>
      </c>
      <c r="K1089">
        <v>800159</v>
      </c>
      <c r="L1089">
        <v>1</v>
      </c>
      <c r="M1089" t="s">
        <v>242</v>
      </c>
      <c r="N1089" t="s">
        <v>247</v>
      </c>
      <c r="O1089">
        <v>1320000</v>
      </c>
    </row>
    <row r="1090" spans="1:15" x14ac:dyDescent="0.4">
      <c r="A1090" t="s">
        <v>1587</v>
      </c>
      <c r="B1090">
        <v>80</v>
      </c>
      <c r="C1090" t="s">
        <v>4</v>
      </c>
      <c r="D1090">
        <v>81</v>
      </c>
      <c r="E1090" t="s">
        <v>550</v>
      </c>
      <c r="F1090">
        <v>1436</v>
      </c>
      <c r="G1090" t="s">
        <v>918</v>
      </c>
      <c r="I1090">
        <v>10001525</v>
      </c>
      <c r="J1090" t="s">
        <v>2479</v>
      </c>
      <c r="K1090">
        <v>800159</v>
      </c>
      <c r="L1090">
        <v>1</v>
      </c>
      <c r="M1090" t="s">
        <v>1548</v>
      </c>
      <c r="N1090" t="s">
        <v>329</v>
      </c>
      <c r="O1090">
        <v>1368600</v>
      </c>
    </row>
    <row r="1091" spans="1:15" x14ac:dyDescent="0.4">
      <c r="A1091" t="s">
        <v>268</v>
      </c>
      <c r="B1091">
        <v>76</v>
      </c>
      <c r="C1091" t="s">
        <v>6</v>
      </c>
      <c r="D1091">
        <v>61</v>
      </c>
      <c r="E1091" t="s">
        <v>703</v>
      </c>
      <c r="F1091">
        <v>1475</v>
      </c>
      <c r="G1091" t="s">
        <v>909</v>
      </c>
      <c r="I1091">
        <v>10001539</v>
      </c>
      <c r="J1091" t="s">
        <v>2480</v>
      </c>
      <c r="K1091">
        <v>800159</v>
      </c>
      <c r="L1091">
        <v>1</v>
      </c>
      <c r="M1091" t="s">
        <v>195</v>
      </c>
      <c r="N1091" t="s">
        <v>200</v>
      </c>
      <c r="O1091">
        <v>1320000</v>
      </c>
    </row>
    <row r="1092" spans="1:15" x14ac:dyDescent="0.4">
      <c r="A1092" t="s">
        <v>1596</v>
      </c>
      <c r="B1092">
        <v>50</v>
      </c>
      <c r="C1092" t="s">
        <v>1</v>
      </c>
      <c r="D1092">
        <v>21</v>
      </c>
      <c r="E1092" t="s">
        <v>182</v>
      </c>
      <c r="F1092">
        <v>1345</v>
      </c>
      <c r="G1092" t="s">
        <v>874</v>
      </c>
      <c r="I1092">
        <v>10001540</v>
      </c>
      <c r="J1092" t="s">
        <v>2481</v>
      </c>
      <c r="K1092">
        <v>800157</v>
      </c>
      <c r="L1092">
        <v>1</v>
      </c>
      <c r="M1092" t="s">
        <v>268</v>
      </c>
      <c r="N1092" t="s">
        <v>212</v>
      </c>
      <c r="O1092">
        <v>873600</v>
      </c>
    </row>
    <row r="1093" spans="1:15" x14ac:dyDescent="0.4">
      <c r="A1093" t="s">
        <v>220</v>
      </c>
      <c r="B1093">
        <v>50</v>
      </c>
      <c r="C1093" t="s">
        <v>1</v>
      </c>
      <c r="D1093">
        <v>21</v>
      </c>
      <c r="E1093" t="s">
        <v>182</v>
      </c>
      <c r="F1093">
        <v>1345</v>
      </c>
      <c r="G1093" t="s">
        <v>874</v>
      </c>
      <c r="I1093">
        <v>10001543</v>
      </c>
      <c r="J1093" t="s">
        <v>2482</v>
      </c>
      <c r="K1093">
        <v>800159</v>
      </c>
      <c r="L1093">
        <v>1</v>
      </c>
      <c r="M1093" t="s">
        <v>203</v>
      </c>
      <c r="N1093" t="s">
        <v>208</v>
      </c>
      <c r="O1093">
        <v>1278000</v>
      </c>
    </row>
    <row r="1094" spans="1:15" x14ac:dyDescent="0.4">
      <c r="A1094" t="s">
        <v>275</v>
      </c>
      <c r="B1094">
        <v>80</v>
      </c>
      <c r="C1094" t="s">
        <v>4</v>
      </c>
      <c r="D1094">
        <v>81</v>
      </c>
      <c r="E1094" t="s">
        <v>550</v>
      </c>
      <c r="F1094">
        <v>1322</v>
      </c>
      <c r="G1094" t="s">
        <v>961</v>
      </c>
      <c r="I1094">
        <v>10001549</v>
      </c>
      <c r="J1094" t="s">
        <v>2096</v>
      </c>
      <c r="K1094">
        <v>800159</v>
      </c>
      <c r="L1094">
        <v>1</v>
      </c>
      <c r="M1094" t="s">
        <v>281</v>
      </c>
      <c r="N1094" t="s">
        <v>246</v>
      </c>
      <c r="O1094">
        <v>1320000</v>
      </c>
    </row>
    <row r="1095" spans="1:15" x14ac:dyDescent="0.4">
      <c r="A1095" t="s">
        <v>1487</v>
      </c>
      <c r="B1095">
        <v>60</v>
      </c>
      <c r="C1095" t="s">
        <v>3</v>
      </c>
      <c r="D1095">
        <v>33</v>
      </c>
      <c r="E1095" t="s">
        <v>451</v>
      </c>
      <c r="F1095">
        <v>1220</v>
      </c>
      <c r="G1095" t="s">
        <v>1343</v>
      </c>
      <c r="I1095">
        <v>10001553</v>
      </c>
      <c r="J1095" t="s">
        <v>2096</v>
      </c>
      <c r="K1095">
        <v>800159</v>
      </c>
      <c r="L1095">
        <v>1</v>
      </c>
      <c r="M1095" t="s">
        <v>1523</v>
      </c>
      <c r="N1095" t="s">
        <v>314</v>
      </c>
      <c r="O1095">
        <v>894000</v>
      </c>
    </row>
    <row r="1096" spans="1:15" x14ac:dyDescent="0.4">
      <c r="A1096" t="s">
        <v>195</v>
      </c>
      <c r="B1096">
        <v>76</v>
      </c>
      <c r="C1096" t="s">
        <v>6</v>
      </c>
      <c r="D1096">
        <v>61</v>
      </c>
      <c r="E1096" t="s">
        <v>703</v>
      </c>
      <c r="F1096">
        <v>1389</v>
      </c>
      <c r="G1096" t="s">
        <v>1197</v>
      </c>
      <c r="I1096">
        <v>10001558</v>
      </c>
      <c r="J1096" t="s">
        <v>2096</v>
      </c>
      <c r="K1096">
        <v>800157</v>
      </c>
      <c r="L1096">
        <v>1</v>
      </c>
      <c r="M1096" t="s">
        <v>185</v>
      </c>
      <c r="N1096" t="s">
        <v>188</v>
      </c>
      <c r="O1096">
        <v>784000</v>
      </c>
    </row>
    <row r="1097" spans="1:15" x14ac:dyDescent="0.4">
      <c r="A1097" t="s">
        <v>290</v>
      </c>
      <c r="B1097">
        <v>60</v>
      </c>
      <c r="C1097" t="s">
        <v>3</v>
      </c>
      <c r="D1097">
        <v>33</v>
      </c>
      <c r="E1097" t="s">
        <v>451</v>
      </c>
      <c r="F1097">
        <v>1273</v>
      </c>
      <c r="G1097" t="s">
        <v>1084</v>
      </c>
      <c r="I1097">
        <v>10001606</v>
      </c>
      <c r="J1097" t="s">
        <v>1815</v>
      </c>
      <c r="K1097">
        <v>800155</v>
      </c>
      <c r="L1097">
        <v>1</v>
      </c>
      <c r="M1097" t="s">
        <v>250</v>
      </c>
      <c r="N1097" t="s">
        <v>251</v>
      </c>
      <c r="O1097">
        <v>282000</v>
      </c>
    </row>
    <row r="1098" spans="1:15" x14ac:dyDescent="0.4">
      <c r="A1098" t="s">
        <v>220</v>
      </c>
      <c r="B1098">
        <v>75</v>
      </c>
      <c r="C1098" t="s">
        <v>5</v>
      </c>
      <c r="D1098">
        <v>51</v>
      </c>
      <c r="E1098" t="s">
        <v>657</v>
      </c>
      <c r="F1098">
        <v>1435</v>
      </c>
      <c r="G1098" t="s">
        <v>860</v>
      </c>
      <c r="I1098">
        <v>10001613</v>
      </c>
      <c r="J1098" t="s">
        <v>2483</v>
      </c>
      <c r="K1098">
        <v>800159</v>
      </c>
      <c r="L1098">
        <v>1</v>
      </c>
      <c r="M1098" t="s">
        <v>203</v>
      </c>
      <c r="N1098" t="s">
        <v>208</v>
      </c>
      <c r="O1098">
        <v>1320000</v>
      </c>
    </row>
    <row r="1099" spans="1:15" x14ac:dyDescent="0.4">
      <c r="A1099" t="s">
        <v>221</v>
      </c>
      <c r="B1099">
        <v>50</v>
      </c>
      <c r="C1099" t="s">
        <v>1</v>
      </c>
      <c r="D1099">
        <v>11</v>
      </c>
      <c r="E1099" t="s">
        <v>192</v>
      </c>
      <c r="F1099">
        <v>1085</v>
      </c>
      <c r="G1099" t="s">
        <v>854</v>
      </c>
      <c r="I1099">
        <v>10062111</v>
      </c>
      <c r="J1099" t="s">
        <v>2484</v>
      </c>
      <c r="K1099">
        <v>800159</v>
      </c>
      <c r="L1099">
        <v>1</v>
      </c>
      <c r="M1099" t="s">
        <v>204</v>
      </c>
      <c r="O1099">
        <v>798000</v>
      </c>
    </row>
    <row r="1100" spans="1:15" x14ac:dyDescent="0.4">
      <c r="A1100" t="s">
        <v>275</v>
      </c>
      <c r="B1100">
        <v>80</v>
      </c>
      <c r="C1100" t="s">
        <v>4</v>
      </c>
      <c r="D1100">
        <v>81</v>
      </c>
      <c r="E1100" t="s">
        <v>550</v>
      </c>
      <c r="F1100">
        <v>1378</v>
      </c>
      <c r="G1100" t="s">
        <v>881</v>
      </c>
      <c r="I1100">
        <v>10001620</v>
      </c>
      <c r="J1100" t="s">
        <v>2485</v>
      </c>
      <c r="K1100">
        <v>800159</v>
      </c>
      <c r="L1100">
        <v>1</v>
      </c>
      <c r="M1100" t="s">
        <v>281</v>
      </c>
      <c r="N1100" t="s">
        <v>246</v>
      </c>
      <c r="O1100">
        <v>1320000</v>
      </c>
    </row>
    <row r="1101" spans="1:15" x14ac:dyDescent="0.4">
      <c r="A1101" t="s">
        <v>238</v>
      </c>
      <c r="B1101">
        <v>80</v>
      </c>
      <c r="C1101" t="s">
        <v>4</v>
      </c>
      <c r="D1101">
        <v>81</v>
      </c>
      <c r="E1101" t="s">
        <v>550</v>
      </c>
      <c r="F1101">
        <v>1154</v>
      </c>
      <c r="G1101" t="s">
        <v>1044</v>
      </c>
      <c r="I1101">
        <v>10001624</v>
      </c>
      <c r="J1101" t="s">
        <v>2486</v>
      </c>
      <c r="K1101">
        <v>800159</v>
      </c>
      <c r="L1101">
        <v>1</v>
      </c>
      <c r="M1101" t="s">
        <v>230</v>
      </c>
      <c r="N1101" t="s">
        <v>235</v>
      </c>
      <c r="O1101">
        <v>1411800</v>
      </c>
    </row>
    <row r="1102" spans="1:15" x14ac:dyDescent="0.4">
      <c r="A1102" t="s">
        <v>250</v>
      </c>
      <c r="B1102">
        <v>76</v>
      </c>
      <c r="C1102" t="s">
        <v>6</v>
      </c>
      <c r="D1102">
        <v>61</v>
      </c>
      <c r="E1102" t="s">
        <v>703</v>
      </c>
      <c r="F1102">
        <v>1602</v>
      </c>
      <c r="G1102" t="s">
        <v>1013</v>
      </c>
      <c r="I1102">
        <v>20009032</v>
      </c>
      <c r="J1102" t="s">
        <v>2487</v>
      </c>
      <c r="K1102">
        <v>800159</v>
      </c>
      <c r="L1102">
        <v>1</v>
      </c>
      <c r="M1102" t="s">
        <v>196</v>
      </c>
      <c r="N1102" t="s">
        <v>215</v>
      </c>
      <c r="O1102">
        <v>1422600</v>
      </c>
    </row>
    <row r="1103" spans="1:15" x14ac:dyDescent="0.4">
      <c r="A1103" t="s">
        <v>1589</v>
      </c>
      <c r="B1103">
        <v>76</v>
      </c>
      <c r="C1103" t="s">
        <v>6</v>
      </c>
      <c r="D1103">
        <v>61</v>
      </c>
      <c r="E1103" t="s">
        <v>703</v>
      </c>
      <c r="F1103">
        <v>1468</v>
      </c>
      <c r="G1103" t="s">
        <v>914</v>
      </c>
      <c r="I1103">
        <v>10058387</v>
      </c>
      <c r="J1103" t="s">
        <v>2488</v>
      </c>
      <c r="K1103">
        <v>800159</v>
      </c>
      <c r="L1103">
        <v>1</v>
      </c>
      <c r="M1103" t="s">
        <v>1594</v>
      </c>
      <c r="N1103" t="s">
        <v>294</v>
      </c>
      <c r="O1103">
        <v>1320000</v>
      </c>
    </row>
    <row r="1104" spans="1:15" x14ac:dyDescent="0.4">
      <c r="A1104" t="s">
        <v>1523</v>
      </c>
      <c r="B1104">
        <v>80</v>
      </c>
      <c r="C1104" t="s">
        <v>4</v>
      </c>
      <c r="D1104">
        <v>81</v>
      </c>
      <c r="E1104" t="s">
        <v>550</v>
      </c>
      <c r="F1104">
        <v>1154</v>
      </c>
      <c r="G1104" t="s">
        <v>1044</v>
      </c>
      <c r="I1104">
        <v>10001669</v>
      </c>
      <c r="J1104" t="s">
        <v>2060</v>
      </c>
      <c r="K1104">
        <v>800157</v>
      </c>
      <c r="L1104">
        <v>1</v>
      </c>
      <c r="M1104" t="s">
        <v>1587</v>
      </c>
      <c r="N1104" t="s">
        <v>259</v>
      </c>
      <c r="O1104">
        <v>790400</v>
      </c>
    </row>
    <row r="1105" spans="1:15" x14ac:dyDescent="0.4">
      <c r="A1105" t="s">
        <v>363</v>
      </c>
      <c r="B1105">
        <v>75</v>
      </c>
      <c r="C1105" t="s">
        <v>5</v>
      </c>
      <c r="D1105">
        <v>51</v>
      </c>
      <c r="E1105" t="s">
        <v>657</v>
      </c>
      <c r="F1105">
        <v>1365</v>
      </c>
      <c r="G1105" t="s">
        <v>1148</v>
      </c>
      <c r="I1105">
        <v>10051445</v>
      </c>
      <c r="J1105" t="s">
        <v>2489</v>
      </c>
      <c r="K1105">
        <v>800159</v>
      </c>
      <c r="L1105">
        <v>1</v>
      </c>
      <c r="M1105" t="s">
        <v>376</v>
      </c>
      <c r="N1105" t="s">
        <v>262</v>
      </c>
      <c r="O1105">
        <v>1320000</v>
      </c>
    </row>
    <row r="1106" spans="1:15" x14ac:dyDescent="0.4">
      <c r="A1106" t="s">
        <v>1594</v>
      </c>
      <c r="B1106">
        <v>50</v>
      </c>
      <c r="C1106" t="s">
        <v>1</v>
      </c>
      <c r="D1106">
        <v>21</v>
      </c>
      <c r="E1106" t="s">
        <v>182</v>
      </c>
      <c r="F1106">
        <v>1264</v>
      </c>
      <c r="G1106" t="s">
        <v>1023</v>
      </c>
      <c r="I1106">
        <v>10001672</v>
      </c>
      <c r="J1106" t="s">
        <v>2060</v>
      </c>
      <c r="K1106">
        <v>800159</v>
      </c>
      <c r="L1106">
        <v>1</v>
      </c>
      <c r="M1106" t="s">
        <v>1596</v>
      </c>
      <c r="N1106" t="s">
        <v>254</v>
      </c>
      <c r="O1106">
        <v>1325400</v>
      </c>
    </row>
    <row r="1107" spans="1:15" x14ac:dyDescent="0.4">
      <c r="A1107" t="s">
        <v>353</v>
      </c>
      <c r="B1107">
        <v>60</v>
      </c>
      <c r="C1107" t="s">
        <v>3</v>
      </c>
      <c r="D1107">
        <v>31</v>
      </c>
      <c r="E1107" t="s">
        <v>447</v>
      </c>
      <c r="F1107">
        <v>1299</v>
      </c>
      <c r="G1107" t="s">
        <v>947</v>
      </c>
      <c r="I1107">
        <v>10001680</v>
      </c>
      <c r="J1107" t="s">
        <v>2490</v>
      </c>
      <c r="K1107">
        <v>800159</v>
      </c>
      <c r="L1107">
        <v>1</v>
      </c>
      <c r="M1107" t="s">
        <v>220</v>
      </c>
      <c r="N1107" t="s">
        <v>225</v>
      </c>
      <c r="O1107">
        <v>780000</v>
      </c>
    </row>
    <row r="1108" spans="1:15" x14ac:dyDescent="0.4">
      <c r="A1108" t="s">
        <v>230</v>
      </c>
      <c r="B1108">
        <v>80</v>
      </c>
      <c r="C1108" t="s">
        <v>4</v>
      </c>
      <c r="D1108">
        <v>81</v>
      </c>
      <c r="E1108" t="s">
        <v>550</v>
      </c>
      <c r="F1108">
        <v>1154</v>
      </c>
      <c r="G1108" t="s">
        <v>1044</v>
      </c>
      <c r="I1108">
        <v>10001683</v>
      </c>
      <c r="J1108" t="s">
        <v>2491</v>
      </c>
      <c r="K1108">
        <v>800159</v>
      </c>
      <c r="L1108">
        <v>1</v>
      </c>
      <c r="M1108" t="s">
        <v>242</v>
      </c>
      <c r="N1108" t="s">
        <v>247</v>
      </c>
      <c r="O1108">
        <v>1552200</v>
      </c>
    </row>
    <row r="1109" spans="1:15" x14ac:dyDescent="0.4">
      <c r="A1109" t="s">
        <v>281</v>
      </c>
      <c r="B1109">
        <v>76</v>
      </c>
      <c r="C1109" t="s">
        <v>6</v>
      </c>
      <c r="D1109">
        <v>61</v>
      </c>
      <c r="E1109" t="s">
        <v>703</v>
      </c>
      <c r="F1109">
        <v>1389</v>
      </c>
      <c r="G1109" t="s">
        <v>1197</v>
      </c>
      <c r="I1109">
        <v>10001691</v>
      </c>
      <c r="J1109" t="s">
        <v>1485</v>
      </c>
      <c r="K1109">
        <v>800159</v>
      </c>
      <c r="L1109">
        <v>1</v>
      </c>
      <c r="M1109" t="s">
        <v>363</v>
      </c>
      <c r="N1109" t="s">
        <v>315</v>
      </c>
      <c r="O1109">
        <v>1590000</v>
      </c>
    </row>
    <row r="1110" spans="1:15" x14ac:dyDescent="0.4">
      <c r="A1110" t="s">
        <v>281</v>
      </c>
      <c r="B1110">
        <v>50</v>
      </c>
      <c r="C1110" t="s">
        <v>1</v>
      </c>
      <c r="D1110">
        <v>21</v>
      </c>
      <c r="E1110" t="s">
        <v>182</v>
      </c>
      <c r="F1110">
        <v>1345</v>
      </c>
      <c r="G1110" t="s">
        <v>874</v>
      </c>
      <c r="I1110">
        <v>10001694</v>
      </c>
      <c r="J1110" t="s">
        <v>2492</v>
      </c>
      <c r="K1110">
        <v>800159</v>
      </c>
      <c r="L1110">
        <v>1</v>
      </c>
      <c r="M1110" t="s">
        <v>363</v>
      </c>
      <c r="N1110" t="s">
        <v>315</v>
      </c>
      <c r="O1110">
        <v>1330800</v>
      </c>
    </row>
    <row r="1111" spans="1:15" x14ac:dyDescent="0.4">
      <c r="A1111" t="s">
        <v>281</v>
      </c>
      <c r="B1111">
        <v>60</v>
      </c>
      <c r="C1111" t="s">
        <v>3</v>
      </c>
      <c r="D1111">
        <v>33</v>
      </c>
      <c r="E1111" t="s">
        <v>451</v>
      </c>
      <c r="F1111">
        <v>1273</v>
      </c>
      <c r="G1111" t="s">
        <v>1084</v>
      </c>
      <c r="I1111">
        <v>10001699</v>
      </c>
      <c r="J1111" t="s">
        <v>2493</v>
      </c>
      <c r="K1111">
        <v>800159</v>
      </c>
      <c r="L1111">
        <v>1</v>
      </c>
      <c r="M1111" t="s">
        <v>363</v>
      </c>
      <c r="N1111" t="s">
        <v>315</v>
      </c>
      <c r="O1111">
        <v>1320000</v>
      </c>
    </row>
    <row r="1112" spans="1:15" x14ac:dyDescent="0.4">
      <c r="A1112" t="s">
        <v>376</v>
      </c>
      <c r="B1112">
        <v>50</v>
      </c>
      <c r="C1112" t="s">
        <v>1</v>
      </c>
      <c r="D1112">
        <v>21</v>
      </c>
      <c r="E1112" t="s">
        <v>182</v>
      </c>
      <c r="F1112">
        <v>1264</v>
      </c>
      <c r="G1112" t="s">
        <v>1023</v>
      </c>
      <c r="I1112">
        <v>10001748</v>
      </c>
      <c r="J1112" t="s">
        <v>2494</v>
      </c>
      <c r="K1112">
        <v>800157</v>
      </c>
      <c r="L1112">
        <v>1</v>
      </c>
      <c r="M1112" t="s">
        <v>353</v>
      </c>
      <c r="N1112" t="s">
        <v>328</v>
      </c>
      <c r="O1112">
        <v>867200</v>
      </c>
    </row>
    <row r="1113" spans="1:15" x14ac:dyDescent="0.4">
      <c r="A1113" t="s">
        <v>195</v>
      </c>
      <c r="B1113">
        <v>76</v>
      </c>
      <c r="C1113" t="s">
        <v>6</v>
      </c>
      <c r="D1113">
        <v>61</v>
      </c>
      <c r="E1113" t="s">
        <v>703</v>
      </c>
      <c r="F1113">
        <v>1563</v>
      </c>
      <c r="G1113" t="s">
        <v>942</v>
      </c>
      <c r="I1113">
        <v>10001770</v>
      </c>
      <c r="J1113" t="s">
        <v>1485</v>
      </c>
      <c r="K1113">
        <v>800159</v>
      </c>
      <c r="L1113">
        <v>1</v>
      </c>
      <c r="M1113" t="s">
        <v>185</v>
      </c>
      <c r="N1113" t="s">
        <v>190</v>
      </c>
      <c r="O1113">
        <v>1320000</v>
      </c>
    </row>
    <row r="1114" spans="1:15" x14ac:dyDescent="0.4">
      <c r="A1114" t="s">
        <v>363</v>
      </c>
      <c r="B1114">
        <v>50</v>
      </c>
      <c r="C1114" t="s">
        <v>1</v>
      </c>
      <c r="D1114">
        <v>21</v>
      </c>
      <c r="E1114" t="s">
        <v>182</v>
      </c>
      <c r="F1114">
        <v>1345</v>
      </c>
      <c r="G1114" t="s">
        <v>874</v>
      </c>
      <c r="I1114">
        <v>20004968</v>
      </c>
      <c r="J1114" t="s">
        <v>2495</v>
      </c>
      <c r="K1114">
        <v>800159</v>
      </c>
      <c r="L1114">
        <v>1</v>
      </c>
      <c r="M1114" t="s">
        <v>376</v>
      </c>
      <c r="N1114" t="s">
        <v>262</v>
      </c>
      <c r="O1114">
        <v>1352400</v>
      </c>
    </row>
    <row r="1115" spans="1:15" x14ac:dyDescent="0.4">
      <c r="A1115" t="s">
        <v>1596</v>
      </c>
      <c r="B1115">
        <v>60</v>
      </c>
      <c r="C1115" t="s">
        <v>3</v>
      </c>
      <c r="D1115">
        <v>31</v>
      </c>
      <c r="E1115" t="s">
        <v>447</v>
      </c>
      <c r="F1115">
        <v>1543</v>
      </c>
      <c r="G1115" t="s">
        <v>1183</v>
      </c>
      <c r="I1115">
        <v>10012624</v>
      </c>
      <c r="J1115" t="s">
        <v>2430</v>
      </c>
      <c r="K1115">
        <v>800157</v>
      </c>
      <c r="L1115">
        <v>1</v>
      </c>
      <c r="M1115" t="s">
        <v>268</v>
      </c>
      <c r="N1115" t="s">
        <v>212</v>
      </c>
      <c r="O1115">
        <v>902400</v>
      </c>
    </row>
    <row r="1116" spans="1:15" x14ac:dyDescent="0.4">
      <c r="A1116" t="s">
        <v>196</v>
      </c>
      <c r="B1116">
        <v>70</v>
      </c>
      <c r="C1116" t="s">
        <v>2</v>
      </c>
      <c r="D1116">
        <v>41</v>
      </c>
      <c r="E1116" t="s">
        <v>306</v>
      </c>
      <c r="F1116">
        <v>1383</v>
      </c>
      <c r="G1116" t="s">
        <v>957</v>
      </c>
      <c r="I1116">
        <v>10001836</v>
      </c>
      <c r="J1116" t="s">
        <v>2496</v>
      </c>
      <c r="K1116">
        <v>800159</v>
      </c>
      <c r="L1116">
        <v>1</v>
      </c>
      <c r="M1116" t="s">
        <v>186</v>
      </c>
      <c r="N1116" t="s">
        <v>302</v>
      </c>
      <c r="O1116">
        <v>1401000</v>
      </c>
    </row>
    <row r="1117" spans="1:15" x14ac:dyDescent="0.4">
      <c r="A1117" t="s">
        <v>275</v>
      </c>
      <c r="B1117">
        <v>76</v>
      </c>
      <c r="C1117" t="s">
        <v>6</v>
      </c>
      <c r="D1117">
        <v>61</v>
      </c>
      <c r="E1117" t="s">
        <v>703</v>
      </c>
      <c r="F1117">
        <v>1389</v>
      </c>
      <c r="G1117" t="s">
        <v>1197</v>
      </c>
      <c r="I1117">
        <v>10001886</v>
      </c>
      <c r="J1117" t="s">
        <v>2497</v>
      </c>
      <c r="K1117">
        <v>800159</v>
      </c>
      <c r="L1117">
        <v>1</v>
      </c>
      <c r="M1117" t="s">
        <v>281</v>
      </c>
      <c r="N1117" t="s">
        <v>246</v>
      </c>
      <c r="O1117">
        <v>1455000</v>
      </c>
    </row>
    <row r="1118" spans="1:15" x14ac:dyDescent="0.4">
      <c r="A1118" t="s">
        <v>290</v>
      </c>
      <c r="B1118">
        <v>50</v>
      </c>
      <c r="C1118" t="s">
        <v>1</v>
      </c>
      <c r="D1118">
        <v>11</v>
      </c>
      <c r="E1118" t="s">
        <v>192</v>
      </c>
      <c r="F1118">
        <v>1085</v>
      </c>
      <c r="G1118" t="s">
        <v>854</v>
      </c>
      <c r="I1118">
        <v>10001896</v>
      </c>
      <c r="J1118" t="s">
        <v>2498</v>
      </c>
      <c r="K1118">
        <v>800159</v>
      </c>
      <c r="L1118">
        <v>1</v>
      </c>
      <c r="M1118" t="s">
        <v>250</v>
      </c>
      <c r="N1118" t="s">
        <v>255</v>
      </c>
      <c r="O1118">
        <v>840000</v>
      </c>
    </row>
    <row r="1119" spans="1:15" x14ac:dyDescent="0.4">
      <c r="A1119" t="s">
        <v>1487</v>
      </c>
      <c r="B1119">
        <v>50</v>
      </c>
      <c r="C1119" t="s">
        <v>1</v>
      </c>
      <c r="D1119">
        <v>11</v>
      </c>
      <c r="E1119" t="s">
        <v>192</v>
      </c>
      <c r="F1119">
        <v>1353</v>
      </c>
      <c r="G1119" t="s">
        <v>1017</v>
      </c>
      <c r="I1119">
        <v>10001913</v>
      </c>
      <c r="J1119" t="s">
        <v>2499</v>
      </c>
      <c r="K1119">
        <v>800159</v>
      </c>
      <c r="L1119">
        <v>1</v>
      </c>
      <c r="M1119" t="s">
        <v>1523</v>
      </c>
      <c r="N1119" t="s">
        <v>314</v>
      </c>
      <c r="O1119">
        <v>1341600</v>
      </c>
    </row>
    <row r="1120" spans="1:15" x14ac:dyDescent="0.4">
      <c r="A1120" t="s">
        <v>185</v>
      </c>
      <c r="B1120">
        <v>60</v>
      </c>
      <c r="C1120" t="s">
        <v>3</v>
      </c>
      <c r="D1120">
        <v>31</v>
      </c>
      <c r="E1120" t="s">
        <v>447</v>
      </c>
      <c r="F1120">
        <v>1299</v>
      </c>
      <c r="G1120" t="s">
        <v>947</v>
      </c>
      <c r="I1120">
        <v>10029369</v>
      </c>
      <c r="J1120" t="s">
        <v>2490</v>
      </c>
      <c r="K1120">
        <v>800159</v>
      </c>
      <c r="L1120">
        <v>1</v>
      </c>
      <c r="M1120" t="s">
        <v>275</v>
      </c>
      <c r="N1120" t="s">
        <v>234</v>
      </c>
      <c r="O1120">
        <v>1050000</v>
      </c>
    </row>
    <row r="1121" spans="1:15" x14ac:dyDescent="0.4">
      <c r="A1121" t="s">
        <v>250</v>
      </c>
      <c r="B1121">
        <v>50</v>
      </c>
      <c r="C1121" t="s">
        <v>1</v>
      </c>
      <c r="D1121">
        <v>11</v>
      </c>
      <c r="E1121" t="s">
        <v>192</v>
      </c>
      <c r="F1121">
        <v>1085</v>
      </c>
      <c r="G1121" t="s">
        <v>854</v>
      </c>
      <c r="I1121">
        <v>10050581</v>
      </c>
      <c r="J1121" t="s">
        <v>2500</v>
      </c>
      <c r="K1121">
        <v>800159</v>
      </c>
      <c r="L1121">
        <v>1</v>
      </c>
      <c r="M1121" t="s">
        <v>196</v>
      </c>
      <c r="N1121" t="s">
        <v>215</v>
      </c>
      <c r="O1121">
        <v>1330800</v>
      </c>
    </row>
    <row r="1122" spans="1:15" x14ac:dyDescent="0.4">
      <c r="A1122" t="s">
        <v>1487</v>
      </c>
      <c r="B1122">
        <v>76</v>
      </c>
      <c r="C1122" t="s">
        <v>6</v>
      </c>
      <c r="D1122">
        <v>61</v>
      </c>
      <c r="E1122" t="s">
        <v>703</v>
      </c>
      <c r="F1122">
        <v>1468</v>
      </c>
      <c r="G1122" t="s">
        <v>914</v>
      </c>
      <c r="I1122">
        <v>20005442</v>
      </c>
      <c r="J1122" t="s">
        <v>2501</v>
      </c>
      <c r="K1122">
        <v>800157</v>
      </c>
      <c r="L1122">
        <v>1</v>
      </c>
      <c r="M1122" t="s">
        <v>1523</v>
      </c>
      <c r="N1122" t="s">
        <v>312</v>
      </c>
      <c r="O1122">
        <v>953600</v>
      </c>
    </row>
    <row r="1123" spans="1:15" x14ac:dyDescent="0.4">
      <c r="A1123" t="s">
        <v>230</v>
      </c>
      <c r="B1123">
        <v>70</v>
      </c>
      <c r="C1123" t="s">
        <v>2</v>
      </c>
      <c r="D1123">
        <v>41</v>
      </c>
      <c r="E1123" t="s">
        <v>306</v>
      </c>
      <c r="F1123">
        <v>1118</v>
      </c>
      <c r="G1123" t="s">
        <v>1471</v>
      </c>
      <c r="I1123">
        <v>10000381</v>
      </c>
      <c r="J1123" t="s">
        <v>1501</v>
      </c>
      <c r="K1123">
        <v>800157</v>
      </c>
      <c r="L1123">
        <v>1</v>
      </c>
      <c r="M1123" t="s">
        <v>242</v>
      </c>
      <c r="N1123" t="s">
        <v>245</v>
      </c>
      <c r="O1123">
        <v>784000</v>
      </c>
    </row>
    <row r="1124" spans="1:15" x14ac:dyDescent="0.4">
      <c r="A1124" t="s">
        <v>186</v>
      </c>
      <c r="B1124">
        <v>60</v>
      </c>
      <c r="C1124" t="s">
        <v>3</v>
      </c>
      <c r="D1124">
        <v>31</v>
      </c>
      <c r="E1124" t="s">
        <v>447</v>
      </c>
      <c r="F1124">
        <v>1616</v>
      </c>
      <c r="G1124" t="s">
        <v>1659</v>
      </c>
      <c r="I1124">
        <v>10000386</v>
      </c>
      <c r="J1124" t="s">
        <v>1501</v>
      </c>
      <c r="K1124">
        <v>800159</v>
      </c>
      <c r="L1124">
        <v>1</v>
      </c>
      <c r="M1124" t="s">
        <v>238</v>
      </c>
      <c r="N1124" t="s">
        <v>239</v>
      </c>
      <c r="O1124">
        <v>1320000</v>
      </c>
    </row>
    <row r="1125" spans="1:15" x14ac:dyDescent="0.4">
      <c r="A1125" t="s">
        <v>1479</v>
      </c>
      <c r="B1125">
        <v>75</v>
      </c>
      <c r="C1125" t="s">
        <v>5</v>
      </c>
      <c r="D1125">
        <v>51</v>
      </c>
      <c r="E1125" t="s">
        <v>657</v>
      </c>
      <c r="F1125">
        <v>1415</v>
      </c>
      <c r="G1125" t="s">
        <v>1038</v>
      </c>
      <c r="I1125">
        <v>10000389</v>
      </c>
      <c r="J1125" t="s">
        <v>1501</v>
      </c>
      <c r="K1125">
        <v>800157</v>
      </c>
      <c r="L1125">
        <v>1</v>
      </c>
      <c r="M1125" t="s">
        <v>1487</v>
      </c>
      <c r="N1125" t="s">
        <v>243</v>
      </c>
      <c r="O1125">
        <v>817200</v>
      </c>
    </row>
    <row r="1126" spans="1:15" x14ac:dyDescent="0.4">
      <c r="A1126" t="s">
        <v>1548</v>
      </c>
      <c r="B1126">
        <v>60</v>
      </c>
      <c r="C1126" t="s">
        <v>3</v>
      </c>
      <c r="D1126">
        <v>31</v>
      </c>
      <c r="E1126" t="s">
        <v>447</v>
      </c>
      <c r="F1126">
        <v>1299</v>
      </c>
      <c r="G1126" t="s">
        <v>947</v>
      </c>
      <c r="I1126">
        <v>10007733</v>
      </c>
      <c r="J1126" t="s">
        <v>2502</v>
      </c>
      <c r="K1126">
        <v>800159</v>
      </c>
      <c r="L1126">
        <v>1</v>
      </c>
      <c r="M1126" t="s">
        <v>1586</v>
      </c>
      <c r="N1126" t="s">
        <v>224</v>
      </c>
      <c r="O1126">
        <v>1386000</v>
      </c>
    </row>
    <row r="1127" spans="1:15" x14ac:dyDescent="0.4">
      <c r="A1127" t="s">
        <v>311</v>
      </c>
      <c r="B1127">
        <v>70</v>
      </c>
      <c r="C1127" t="s">
        <v>2</v>
      </c>
      <c r="D1127">
        <v>41</v>
      </c>
      <c r="E1127" t="s">
        <v>306</v>
      </c>
      <c r="F1127">
        <v>1118</v>
      </c>
      <c r="G1127" t="s">
        <v>1471</v>
      </c>
      <c r="I1127">
        <v>10001066</v>
      </c>
      <c r="J1127" t="s">
        <v>2503</v>
      </c>
      <c r="K1127">
        <v>800159</v>
      </c>
      <c r="L1127">
        <v>1</v>
      </c>
      <c r="M1127" t="s">
        <v>258</v>
      </c>
      <c r="N1127" t="s">
        <v>263</v>
      </c>
      <c r="O1127">
        <v>1320000</v>
      </c>
    </row>
    <row r="1128" spans="1:15" x14ac:dyDescent="0.4">
      <c r="A1128" t="s">
        <v>230</v>
      </c>
      <c r="B1128">
        <v>60</v>
      </c>
      <c r="C1128" t="s">
        <v>3</v>
      </c>
      <c r="D1128">
        <v>31</v>
      </c>
      <c r="E1128" t="s">
        <v>447</v>
      </c>
      <c r="F1128">
        <v>1367</v>
      </c>
      <c r="G1128" t="s">
        <v>977</v>
      </c>
      <c r="I1128">
        <v>10001070</v>
      </c>
      <c r="J1128" t="s">
        <v>2504</v>
      </c>
      <c r="K1128">
        <v>800159</v>
      </c>
      <c r="L1128">
        <v>1</v>
      </c>
      <c r="M1128" t="s">
        <v>242</v>
      </c>
      <c r="N1128" t="s">
        <v>247</v>
      </c>
      <c r="O1128">
        <v>1347000</v>
      </c>
    </row>
    <row r="1129" spans="1:15" x14ac:dyDescent="0.4">
      <c r="A1129" t="s">
        <v>258</v>
      </c>
      <c r="B1129">
        <v>50</v>
      </c>
      <c r="C1129" t="s">
        <v>1</v>
      </c>
      <c r="D1129">
        <v>21</v>
      </c>
      <c r="E1129" t="s">
        <v>182</v>
      </c>
      <c r="F1129">
        <v>1345</v>
      </c>
      <c r="G1129" t="s">
        <v>874</v>
      </c>
      <c r="I1129">
        <v>10001126</v>
      </c>
      <c r="J1129" t="s">
        <v>2505</v>
      </c>
      <c r="K1129">
        <v>800159</v>
      </c>
      <c r="L1129">
        <v>1</v>
      </c>
      <c r="M1129" t="s">
        <v>221</v>
      </c>
      <c r="N1129" t="s">
        <v>331</v>
      </c>
      <c r="O1129">
        <v>864000</v>
      </c>
    </row>
    <row r="1130" spans="1:15" x14ac:dyDescent="0.4">
      <c r="A1130" t="s">
        <v>1586</v>
      </c>
      <c r="B1130">
        <v>60</v>
      </c>
      <c r="C1130" t="s">
        <v>3</v>
      </c>
      <c r="D1130">
        <v>31</v>
      </c>
      <c r="E1130" t="s">
        <v>447</v>
      </c>
      <c r="F1130">
        <v>1116</v>
      </c>
      <c r="G1130" t="s">
        <v>1075</v>
      </c>
      <c r="I1130">
        <v>10001136</v>
      </c>
      <c r="J1130" t="s">
        <v>2506</v>
      </c>
      <c r="K1130">
        <v>800157</v>
      </c>
      <c r="L1130">
        <v>1</v>
      </c>
      <c r="M1130" t="s">
        <v>1589</v>
      </c>
      <c r="N1130" t="s">
        <v>205</v>
      </c>
      <c r="O1130">
        <v>867200</v>
      </c>
    </row>
    <row r="1131" spans="1:15" x14ac:dyDescent="0.4">
      <c r="A1131" t="s">
        <v>196</v>
      </c>
      <c r="B1131">
        <v>50</v>
      </c>
      <c r="C1131" t="s">
        <v>1</v>
      </c>
      <c r="D1131">
        <v>21</v>
      </c>
      <c r="E1131" t="s">
        <v>182</v>
      </c>
      <c r="F1131">
        <v>1345</v>
      </c>
      <c r="G1131" t="s">
        <v>874</v>
      </c>
      <c r="I1131">
        <v>10001152</v>
      </c>
      <c r="J1131" t="s">
        <v>2507</v>
      </c>
      <c r="K1131">
        <v>800159</v>
      </c>
      <c r="L1131">
        <v>1</v>
      </c>
      <c r="M1131" t="s">
        <v>186</v>
      </c>
      <c r="N1131" t="s">
        <v>302</v>
      </c>
      <c r="O1131">
        <v>1330800</v>
      </c>
    </row>
    <row r="1132" spans="1:15" x14ac:dyDescent="0.4">
      <c r="A1132" t="s">
        <v>238</v>
      </c>
      <c r="B1132">
        <v>60</v>
      </c>
      <c r="C1132" t="s">
        <v>3</v>
      </c>
      <c r="D1132">
        <v>31</v>
      </c>
      <c r="E1132" t="s">
        <v>447</v>
      </c>
      <c r="F1132">
        <v>1612</v>
      </c>
      <c r="G1132" t="s">
        <v>1720</v>
      </c>
      <c r="I1132">
        <v>10001154</v>
      </c>
      <c r="J1132" t="s">
        <v>2508</v>
      </c>
      <c r="K1132">
        <v>800159</v>
      </c>
      <c r="L1132">
        <v>1</v>
      </c>
      <c r="M1132" t="s">
        <v>230</v>
      </c>
      <c r="N1132" t="s">
        <v>235</v>
      </c>
      <c r="O1132">
        <v>1444200</v>
      </c>
    </row>
    <row r="1133" spans="1:15" x14ac:dyDescent="0.4">
      <c r="A1133" t="s">
        <v>1469</v>
      </c>
      <c r="B1133">
        <v>75</v>
      </c>
      <c r="C1133" t="s">
        <v>5</v>
      </c>
      <c r="D1133">
        <v>51</v>
      </c>
      <c r="E1133" t="s">
        <v>657</v>
      </c>
      <c r="F1133">
        <v>1435</v>
      </c>
      <c r="G1133" t="s">
        <v>860</v>
      </c>
      <c r="I1133">
        <v>10001202</v>
      </c>
      <c r="J1133" t="s">
        <v>2509</v>
      </c>
      <c r="K1133">
        <v>800157</v>
      </c>
      <c r="L1133">
        <v>1</v>
      </c>
      <c r="M1133" t="s">
        <v>1475</v>
      </c>
      <c r="N1133" t="s">
        <v>187</v>
      </c>
      <c r="O1133">
        <v>787200</v>
      </c>
    </row>
    <row r="1134" spans="1:15" x14ac:dyDescent="0.4">
      <c r="A1134" t="s">
        <v>196</v>
      </c>
      <c r="B1134">
        <v>60</v>
      </c>
      <c r="C1134" t="s">
        <v>3</v>
      </c>
      <c r="D1134">
        <v>33</v>
      </c>
      <c r="E1134" t="s">
        <v>451</v>
      </c>
      <c r="F1134">
        <v>1372</v>
      </c>
      <c r="G1134" t="s">
        <v>992</v>
      </c>
      <c r="I1134">
        <v>10001207</v>
      </c>
      <c r="J1134" t="s">
        <v>2510</v>
      </c>
      <c r="K1134">
        <v>800159</v>
      </c>
      <c r="L1134">
        <v>1</v>
      </c>
      <c r="M1134" t="s">
        <v>186</v>
      </c>
      <c r="N1134" t="s">
        <v>302</v>
      </c>
      <c r="O1134">
        <v>1622400</v>
      </c>
    </row>
    <row r="1135" spans="1:15" x14ac:dyDescent="0.4">
      <c r="A1135" t="s">
        <v>195</v>
      </c>
      <c r="B1135">
        <v>70</v>
      </c>
      <c r="C1135" t="s">
        <v>2</v>
      </c>
      <c r="D1135">
        <v>41</v>
      </c>
      <c r="E1135" t="s">
        <v>306</v>
      </c>
      <c r="F1135">
        <v>1561</v>
      </c>
      <c r="G1135" t="s">
        <v>1070</v>
      </c>
      <c r="I1135">
        <v>20008744</v>
      </c>
      <c r="J1135" t="s">
        <v>2042</v>
      </c>
      <c r="K1135">
        <v>800157</v>
      </c>
      <c r="L1135">
        <v>1</v>
      </c>
      <c r="M1135" t="s">
        <v>185</v>
      </c>
      <c r="N1135" t="s">
        <v>188</v>
      </c>
      <c r="O1135">
        <v>931200</v>
      </c>
    </row>
    <row r="1136" spans="1:15" x14ac:dyDescent="0.4">
      <c r="A1136" t="s">
        <v>238</v>
      </c>
      <c r="B1136">
        <v>76</v>
      </c>
      <c r="C1136" t="s">
        <v>6</v>
      </c>
      <c r="D1136">
        <v>61</v>
      </c>
      <c r="E1136" t="s">
        <v>703</v>
      </c>
      <c r="F1136">
        <v>1563</v>
      </c>
      <c r="G1136" t="s">
        <v>942</v>
      </c>
      <c r="I1136">
        <v>10001214</v>
      </c>
      <c r="J1136" t="s">
        <v>2011</v>
      </c>
      <c r="K1136">
        <v>800159</v>
      </c>
      <c r="L1136">
        <v>1</v>
      </c>
      <c r="M1136" t="s">
        <v>230</v>
      </c>
      <c r="N1136" t="s">
        <v>235</v>
      </c>
      <c r="O1136">
        <v>1325400</v>
      </c>
    </row>
    <row r="1137" spans="1:15" x14ac:dyDescent="0.4">
      <c r="A1137" t="s">
        <v>186</v>
      </c>
      <c r="B1137">
        <v>80</v>
      </c>
      <c r="C1137" t="s">
        <v>4</v>
      </c>
      <c r="D1137">
        <v>81</v>
      </c>
      <c r="E1137" t="s">
        <v>550</v>
      </c>
      <c r="F1137">
        <v>1378</v>
      </c>
      <c r="G1137" t="s">
        <v>881</v>
      </c>
      <c r="I1137">
        <v>10001219</v>
      </c>
      <c r="J1137" t="s">
        <v>2511</v>
      </c>
      <c r="K1137">
        <v>800159</v>
      </c>
      <c r="L1137">
        <v>1</v>
      </c>
      <c r="M1137" t="s">
        <v>238</v>
      </c>
      <c r="N1137" t="s">
        <v>239</v>
      </c>
      <c r="O1137">
        <v>1374000</v>
      </c>
    </row>
    <row r="1138" spans="1:15" x14ac:dyDescent="0.4">
      <c r="A1138" t="s">
        <v>186</v>
      </c>
      <c r="B1138">
        <v>50</v>
      </c>
      <c r="C1138" t="s">
        <v>1</v>
      </c>
      <c r="D1138">
        <v>11</v>
      </c>
      <c r="E1138" t="s">
        <v>192</v>
      </c>
      <c r="F1138">
        <v>1085</v>
      </c>
      <c r="G1138" t="s">
        <v>854</v>
      </c>
      <c r="I1138">
        <v>10001277</v>
      </c>
      <c r="J1138" t="s">
        <v>2512</v>
      </c>
      <c r="K1138">
        <v>800159</v>
      </c>
      <c r="L1138">
        <v>1</v>
      </c>
      <c r="M1138" t="s">
        <v>238</v>
      </c>
      <c r="N1138" t="s">
        <v>239</v>
      </c>
      <c r="O1138">
        <v>1164000</v>
      </c>
    </row>
    <row r="1139" spans="1:15" x14ac:dyDescent="0.4">
      <c r="A1139" t="s">
        <v>290</v>
      </c>
      <c r="B1139">
        <v>60</v>
      </c>
      <c r="C1139" t="s">
        <v>3</v>
      </c>
      <c r="D1139">
        <v>31</v>
      </c>
      <c r="E1139" t="s">
        <v>447</v>
      </c>
      <c r="F1139">
        <v>1616</v>
      </c>
      <c r="G1139" t="s">
        <v>1659</v>
      </c>
      <c r="I1139">
        <v>10001282</v>
      </c>
      <c r="J1139" t="s">
        <v>1563</v>
      </c>
      <c r="K1139">
        <v>800159</v>
      </c>
      <c r="L1139">
        <v>1</v>
      </c>
      <c r="M1139" t="s">
        <v>250</v>
      </c>
      <c r="N1139" t="s">
        <v>255</v>
      </c>
      <c r="O1139">
        <v>1363200</v>
      </c>
    </row>
    <row r="1140" spans="1:15" x14ac:dyDescent="0.4">
      <c r="A1140" t="s">
        <v>1589</v>
      </c>
      <c r="B1140">
        <v>60</v>
      </c>
      <c r="C1140" t="s">
        <v>3</v>
      </c>
      <c r="D1140">
        <v>33</v>
      </c>
      <c r="E1140" t="s">
        <v>451</v>
      </c>
      <c r="F1140">
        <v>1372</v>
      </c>
      <c r="G1140" t="s">
        <v>992</v>
      </c>
      <c r="I1140">
        <v>10001283</v>
      </c>
      <c r="J1140" t="s">
        <v>2513</v>
      </c>
      <c r="K1140">
        <v>800159</v>
      </c>
      <c r="L1140">
        <v>1</v>
      </c>
      <c r="M1140" t="s">
        <v>1594</v>
      </c>
      <c r="N1140" t="s">
        <v>294</v>
      </c>
      <c r="O1140">
        <v>1320000</v>
      </c>
    </row>
    <row r="1141" spans="1:15" x14ac:dyDescent="0.4">
      <c r="A1141" t="s">
        <v>186</v>
      </c>
      <c r="B1141">
        <v>60</v>
      </c>
      <c r="C1141" t="s">
        <v>3</v>
      </c>
      <c r="D1141">
        <v>33</v>
      </c>
      <c r="E1141" t="s">
        <v>451</v>
      </c>
      <c r="F1141">
        <v>1372</v>
      </c>
      <c r="G1141" t="s">
        <v>992</v>
      </c>
      <c r="I1141">
        <v>10001284</v>
      </c>
      <c r="J1141" t="s">
        <v>2513</v>
      </c>
      <c r="K1141">
        <v>800157</v>
      </c>
      <c r="L1141">
        <v>1</v>
      </c>
      <c r="M1141" t="s">
        <v>238</v>
      </c>
      <c r="N1141" t="s">
        <v>189</v>
      </c>
      <c r="O1141">
        <v>896000</v>
      </c>
    </row>
    <row r="1142" spans="1:15" x14ac:dyDescent="0.4">
      <c r="A1142" t="s">
        <v>1596</v>
      </c>
      <c r="B1142">
        <v>60</v>
      </c>
      <c r="C1142" t="s">
        <v>3</v>
      </c>
      <c r="D1142">
        <v>33</v>
      </c>
      <c r="E1142" t="s">
        <v>451</v>
      </c>
      <c r="F1142">
        <v>1505</v>
      </c>
      <c r="G1142" t="s">
        <v>900</v>
      </c>
      <c r="I1142">
        <v>20004087</v>
      </c>
      <c r="J1142" t="s">
        <v>2514</v>
      </c>
      <c r="K1142">
        <v>800159</v>
      </c>
      <c r="L1142">
        <v>1</v>
      </c>
      <c r="M1142" t="s">
        <v>268</v>
      </c>
      <c r="N1142" t="s">
        <v>214</v>
      </c>
      <c r="O1142">
        <v>1325400</v>
      </c>
    </row>
    <row r="1143" spans="1:15" x14ac:dyDescent="0.4">
      <c r="A1143" t="s">
        <v>186</v>
      </c>
      <c r="B1143">
        <v>70</v>
      </c>
      <c r="C1143" t="s">
        <v>2</v>
      </c>
      <c r="D1143">
        <v>41</v>
      </c>
      <c r="E1143" t="s">
        <v>306</v>
      </c>
      <c r="F1143">
        <v>1445</v>
      </c>
      <c r="G1143" t="s">
        <v>886</v>
      </c>
      <c r="I1143">
        <v>10001299</v>
      </c>
      <c r="J1143" t="s">
        <v>2515</v>
      </c>
      <c r="K1143">
        <v>800157</v>
      </c>
      <c r="L1143">
        <v>1</v>
      </c>
      <c r="M1143" t="s">
        <v>238</v>
      </c>
      <c r="N1143" t="s">
        <v>189</v>
      </c>
      <c r="O1143">
        <v>787200</v>
      </c>
    </row>
    <row r="1144" spans="1:15" x14ac:dyDescent="0.4">
      <c r="A1144" t="s">
        <v>1596</v>
      </c>
      <c r="B1144">
        <v>80</v>
      </c>
      <c r="C1144" t="s">
        <v>4</v>
      </c>
      <c r="D1144">
        <v>81</v>
      </c>
      <c r="E1144" t="s">
        <v>550</v>
      </c>
      <c r="F1144">
        <v>1378</v>
      </c>
      <c r="G1144" t="s">
        <v>881</v>
      </c>
      <c r="I1144">
        <v>10024821</v>
      </c>
      <c r="J1144" t="s">
        <v>2516</v>
      </c>
      <c r="K1144">
        <v>800159</v>
      </c>
      <c r="L1144">
        <v>1</v>
      </c>
      <c r="M1144" t="s">
        <v>268</v>
      </c>
      <c r="N1144" t="s">
        <v>214</v>
      </c>
      <c r="O1144">
        <v>1390200</v>
      </c>
    </row>
    <row r="1145" spans="1:15" x14ac:dyDescent="0.4">
      <c r="A1145" t="s">
        <v>186</v>
      </c>
      <c r="B1145">
        <v>60</v>
      </c>
      <c r="C1145" t="s">
        <v>3</v>
      </c>
      <c r="D1145">
        <v>33</v>
      </c>
      <c r="E1145" t="s">
        <v>451</v>
      </c>
      <c r="F1145">
        <v>1505</v>
      </c>
      <c r="G1145" t="s">
        <v>900</v>
      </c>
      <c r="I1145">
        <v>10001347</v>
      </c>
      <c r="J1145" t="s">
        <v>2517</v>
      </c>
      <c r="K1145">
        <v>800155</v>
      </c>
      <c r="L1145">
        <v>1</v>
      </c>
      <c r="M1145" t="s">
        <v>238</v>
      </c>
      <c r="N1145" t="s">
        <v>187</v>
      </c>
      <c r="O1145">
        <v>157200</v>
      </c>
    </row>
    <row r="1146" spans="1:15" x14ac:dyDescent="0.4">
      <c r="A1146" t="s">
        <v>353</v>
      </c>
      <c r="B1146">
        <v>60</v>
      </c>
      <c r="C1146" t="s">
        <v>3</v>
      </c>
      <c r="D1146">
        <v>31</v>
      </c>
      <c r="E1146" t="s">
        <v>447</v>
      </c>
      <c r="F1146">
        <v>1299</v>
      </c>
      <c r="G1146" t="s">
        <v>947</v>
      </c>
      <c r="I1146">
        <v>10001356</v>
      </c>
      <c r="J1146" t="s">
        <v>2518</v>
      </c>
      <c r="K1146">
        <v>800159</v>
      </c>
      <c r="L1146">
        <v>1</v>
      </c>
      <c r="M1146" t="s">
        <v>220</v>
      </c>
      <c r="N1146" t="s">
        <v>225</v>
      </c>
      <c r="O1146">
        <v>1320000</v>
      </c>
    </row>
    <row r="1147" spans="1:15" x14ac:dyDescent="0.4">
      <c r="A1147" t="s">
        <v>1523</v>
      </c>
      <c r="B1147">
        <v>60</v>
      </c>
      <c r="C1147" t="s">
        <v>3</v>
      </c>
      <c r="D1147">
        <v>31</v>
      </c>
      <c r="E1147" t="s">
        <v>447</v>
      </c>
      <c r="F1147">
        <v>1612</v>
      </c>
      <c r="G1147" t="s">
        <v>1720</v>
      </c>
      <c r="I1147">
        <v>10001367</v>
      </c>
      <c r="J1147" t="s">
        <v>2519</v>
      </c>
      <c r="K1147">
        <v>800157</v>
      </c>
      <c r="L1147">
        <v>1</v>
      </c>
      <c r="M1147" t="s">
        <v>1587</v>
      </c>
      <c r="N1147" t="s">
        <v>259</v>
      </c>
      <c r="O1147">
        <v>856800</v>
      </c>
    </row>
    <row r="1148" spans="1:15" x14ac:dyDescent="0.4">
      <c r="A1148" t="s">
        <v>1586</v>
      </c>
      <c r="B1148">
        <v>80</v>
      </c>
      <c r="C1148" t="s">
        <v>4</v>
      </c>
      <c r="D1148">
        <v>81</v>
      </c>
      <c r="E1148" t="s">
        <v>550</v>
      </c>
      <c r="F1148">
        <v>1154</v>
      </c>
      <c r="G1148" t="s">
        <v>1044</v>
      </c>
      <c r="I1148">
        <v>10001417</v>
      </c>
      <c r="J1148" t="s">
        <v>2520</v>
      </c>
      <c r="K1148">
        <v>800159</v>
      </c>
      <c r="L1148">
        <v>1</v>
      </c>
      <c r="M1148" t="s">
        <v>1589</v>
      </c>
      <c r="N1148" t="s">
        <v>207</v>
      </c>
      <c r="O1148">
        <v>1826000</v>
      </c>
    </row>
    <row r="1149" spans="1:15" x14ac:dyDescent="0.4">
      <c r="A1149" t="s">
        <v>1586</v>
      </c>
      <c r="B1149">
        <v>50</v>
      </c>
      <c r="C1149" t="s">
        <v>1</v>
      </c>
      <c r="D1149">
        <v>11</v>
      </c>
      <c r="E1149" t="s">
        <v>192</v>
      </c>
      <c r="F1149">
        <v>1085</v>
      </c>
      <c r="G1149" t="s">
        <v>854</v>
      </c>
      <c r="I1149">
        <v>10001418</v>
      </c>
      <c r="J1149" t="s">
        <v>2521</v>
      </c>
      <c r="K1149">
        <v>800159</v>
      </c>
      <c r="L1149">
        <v>1</v>
      </c>
      <c r="M1149" t="s">
        <v>1589</v>
      </c>
      <c r="N1149" t="s">
        <v>207</v>
      </c>
      <c r="O1149">
        <v>828000</v>
      </c>
    </row>
    <row r="1150" spans="1:15" x14ac:dyDescent="0.4">
      <c r="A1150" t="s">
        <v>1589</v>
      </c>
      <c r="B1150">
        <v>75</v>
      </c>
      <c r="C1150" t="s">
        <v>5</v>
      </c>
      <c r="D1150">
        <v>51</v>
      </c>
      <c r="E1150" t="s">
        <v>657</v>
      </c>
      <c r="F1150">
        <v>1365</v>
      </c>
      <c r="G1150" t="s">
        <v>1148</v>
      </c>
      <c r="I1150">
        <v>10001444</v>
      </c>
      <c r="J1150" t="s">
        <v>2522</v>
      </c>
      <c r="K1150">
        <v>800159</v>
      </c>
      <c r="L1150">
        <v>1</v>
      </c>
      <c r="M1150" t="s">
        <v>1594</v>
      </c>
      <c r="N1150" t="s">
        <v>294</v>
      </c>
      <c r="O1150">
        <v>1266000</v>
      </c>
    </row>
    <row r="1151" spans="1:15" x14ac:dyDescent="0.4">
      <c r="A1151" t="s">
        <v>1589</v>
      </c>
      <c r="B1151">
        <v>76</v>
      </c>
      <c r="C1151" t="s">
        <v>6</v>
      </c>
      <c r="D1151">
        <v>61</v>
      </c>
      <c r="E1151" t="s">
        <v>703</v>
      </c>
      <c r="F1151">
        <v>1468</v>
      </c>
      <c r="G1151" t="s">
        <v>914</v>
      </c>
      <c r="I1151">
        <v>20003533</v>
      </c>
      <c r="J1151" t="s">
        <v>2523</v>
      </c>
      <c r="K1151">
        <v>800159</v>
      </c>
      <c r="L1151">
        <v>1</v>
      </c>
      <c r="M1151" t="s">
        <v>1594</v>
      </c>
      <c r="N1151" t="s">
        <v>294</v>
      </c>
      <c r="O1151">
        <v>1568400</v>
      </c>
    </row>
    <row r="1152" spans="1:15" x14ac:dyDescent="0.4">
      <c r="A1152" t="s">
        <v>353</v>
      </c>
      <c r="B1152">
        <v>70</v>
      </c>
      <c r="C1152" t="s">
        <v>2</v>
      </c>
      <c r="D1152">
        <v>41</v>
      </c>
      <c r="E1152" t="s">
        <v>306</v>
      </c>
      <c r="F1152">
        <v>1118</v>
      </c>
      <c r="G1152" t="s">
        <v>1471</v>
      </c>
      <c r="I1152">
        <v>10001489</v>
      </c>
      <c r="J1152" t="s">
        <v>2524</v>
      </c>
      <c r="K1152">
        <v>800155</v>
      </c>
      <c r="L1152">
        <v>1</v>
      </c>
      <c r="M1152" t="s">
        <v>220</v>
      </c>
      <c r="N1152" t="s">
        <v>221</v>
      </c>
      <c r="O1152">
        <v>212400</v>
      </c>
    </row>
    <row r="1153" spans="1:15" x14ac:dyDescent="0.4">
      <c r="A1153" t="s">
        <v>290</v>
      </c>
      <c r="B1153">
        <v>60</v>
      </c>
      <c r="C1153" t="s">
        <v>3</v>
      </c>
      <c r="D1153">
        <v>33</v>
      </c>
      <c r="E1153" t="s">
        <v>451</v>
      </c>
      <c r="F1153">
        <v>1273</v>
      </c>
      <c r="G1153" t="s">
        <v>1084</v>
      </c>
      <c r="I1153">
        <v>10001492</v>
      </c>
      <c r="J1153" t="s">
        <v>2525</v>
      </c>
      <c r="K1153">
        <v>800159</v>
      </c>
      <c r="L1153">
        <v>1</v>
      </c>
      <c r="M1153" t="s">
        <v>250</v>
      </c>
      <c r="N1153" t="s">
        <v>255</v>
      </c>
      <c r="O1153">
        <v>1320000</v>
      </c>
    </row>
    <row r="1154" spans="1:15" x14ac:dyDescent="0.4">
      <c r="A1154" t="s">
        <v>290</v>
      </c>
      <c r="B1154">
        <v>75</v>
      </c>
      <c r="C1154" t="s">
        <v>5</v>
      </c>
      <c r="D1154">
        <v>51</v>
      </c>
      <c r="E1154" t="s">
        <v>657</v>
      </c>
      <c r="F1154">
        <v>1415</v>
      </c>
      <c r="G1154" t="s">
        <v>1038</v>
      </c>
      <c r="I1154">
        <v>20010012</v>
      </c>
      <c r="J1154" t="s">
        <v>2526</v>
      </c>
      <c r="K1154">
        <v>800157</v>
      </c>
      <c r="L1154">
        <v>1</v>
      </c>
      <c r="M1154" t="s">
        <v>250</v>
      </c>
      <c r="N1154" t="s">
        <v>253</v>
      </c>
      <c r="O1154">
        <v>784000</v>
      </c>
    </row>
    <row r="1155" spans="1:15" x14ac:dyDescent="0.4">
      <c r="A1155" t="s">
        <v>1596</v>
      </c>
      <c r="B1155">
        <v>70</v>
      </c>
      <c r="C1155" t="s">
        <v>2</v>
      </c>
      <c r="D1155">
        <v>41</v>
      </c>
      <c r="E1155" t="s">
        <v>306</v>
      </c>
      <c r="F1155">
        <v>1561</v>
      </c>
      <c r="G1155" t="s">
        <v>1070</v>
      </c>
      <c r="I1155">
        <v>10001503</v>
      </c>
      <c r="J1155" t="s">
        <v>2527</v>
      </c>
      <c r="K1155">
        <v>800157</v>
      </c>
      <c r="L1155">
        <v>1</v>
      </c>
      <c r="M1155" t="s">
        <v>268</v>
      </c>
      <c r="N1155" t="s">
        <v>212</v>
      </c>
      <c r="O1155">
        <v>784000</v>
      </c>
    </row>
    <row r="1156" spans="1:15" x14ac:dyDescent="0.4">
      <c r="A1156" t="s">
        <v>1586</v>
      </c>
      <c r="B1156">
        <v>76</v>
      </c>
      <c r="C1156" t="s">
        <v>6</v>
      </c>
      <c r="D1156">
        <v>61</v>
      </c>
      <c r="E1156" t="s">
        <v>703</v>
      </c>
      <c r="F1156">
        <v>1563</v>
      </c>
      <c r="G1156" t="s">
        <v>942</v>
      </c>
      <c r="I1156">
        <v>10001506</v>
      </c>
      <c r="J1156" t="s">
        <v>2528</v>
      </c>
      <c r="K1156">
        <v>800159</v>
      </c>
      <c r="L1156">
        <v>1</v>
      </c>
      <c r="M1156" t="s">
        <v>1589</v>
      </c>
      <c r="N1156" t="s">
        <v>207</v>
      </c>
      <c r="O1156">
        <v>1465800</v>
      </c>
    </row>
    <row r="1157" spans="1:15" x14ac:dyDescent="0.4">
      <c r="A1157" t="s">
        <v>376</v>
      </c>
      <c r="B1157">
        <v>80</v>
      </c>
      <c r="C1157" t="s">
        <v>4</v>
      </c>
      <c r="D1157">
        <v>81</v>
      </c>
      <c r="E1157" t="s">
        <v>550</v>
      </c>
      <c r="F1157">
        <v>1154</v>
      </c>
      <c r="G1157" t="s">
        <v>1044</v>
      </c>
      <c r="I1157">
        <v>10015750</v>
      </c>
      <c r="J1157" t="s">
        <v>2529</v>
      </c>
      <c r="K1157">
        <v>800157</v>
      </c>
      <c r="L1157">
        <v>1</v>
      </c>
      <c r="M1157" t="s">
        <v>353</v>
      </c>
      <c r="N1157" t="s">
        <v>328</v>
      </c>
      <c r="O1157">
        <v>784000</v>
      </c>
    </row>
    <row r="1158" spans="1:15" x14ac:dyDescent="0.4">
      <c r="A1158" t="s">
        <v>196</v>
      </c>
      <c r="B1158">
        <v>60</v>
      </c>
      <c r="C1158" t="s">
        <v>3</v>
      </c>
      <c r="D1158">
        <v>31</v>
      </c>
      <c r="E1158" t="s">
        <v>447</v>
      </c>
      <c r="F1158">
        <v>1543</v>
      </c>
      <c r="G1158" t="s">
        <v>1183</v>
      </c>
      <c r="I1158">
        <v>20003593</v>
      </c>
      <c r="J1158" t="s">
        <v>2530</v>
      </c>
      <c r="K1158">
        <v>800159</v>
      </c>
      <c r="L1158">
        <v>1</v>
      </c>
      <c r="M1158" t="s">
        <v>186</v>
      </c>
      <c r="N1158" t="s">
        <v>302</v>
      </c>
      <c r="O1158">
        <v>1320000</v>
      </c>
    </row>
    <row r="1159" spans="1:15" x14ac:dyDescent="0.4">
      <c r="A1159" t="s">
        <v>1548</v>
      </c>
      <c r="B1159">
        <v>60</v>
      </c>
      <c r="C1159" t="s">
        <v>3</v>
      </c>
      <c r="D1159">
        <v>33</v>
      </c>
      <c r="E1159" t="s">
        <v>451</v>
      </c>
      <c r="F1159">
        <v>1220</v>
      </c>
      <c r="G1159" t="s">
        <v>1343</v>
      </c>
      <c r="I1159">
        <v>10000406</v>
      </c>
      <c r="J1159" t="s">
        <v>2531</v>
      </c>
      <c r="K1159">
        <v>800159</v>
      </c>
      <c r="L1159">
        <v>1</v>
      </c>
      <c r="M1159" t="s">
        <v>1586</v>
      </c>
      <c r="N1159" t="s">
        <v>224</v>
      </c>
      <c r="O1159">
        <v>1128000</v>
      </c>
    </row>
    <row r="1160" spans="1:15" x14ac:dyDescent="0.4">
      <c r="A1160" t="s">
        <v>1589</v>
      </c>
      <c r="B1160">
        <v>75</v>
      </c>
      <c r="C1160" t="s">
        <v>5</v>
      </c>
      <c r="D1160">
        <v>51</v>
      </c>
      <c r="E1160" t="s">
        <v>657</v>
      </c>
      <c r="F1160">
        <v>1435</v>
      </c>
      <c r="G1160" t="s">
        <v>860</v>
      </c>
      <c r="I1160">
        <v>20008076</v>
      </c>
      <c r="J1160" t="s">
        <v>2532</v>
      </c>
      <c r="K1160">
        <v>800157</v>
      </c>
      <c r="L1160">
        <v>1</v>
      </c>
      <c r="M1160" t="s">
        <v>1594</v>
      </c>
      <c r="N1160" t="s">
        <v>292</v>
      </c>
      <c r="O1160">
        <v>784000</v>
      </c>
    </row>
    <row r="1161" spans="1:15" x14ac:dyDescent="0.4">
      <c r="A1161" t="s">
        <v>1475</v>
      </c>
      <c r="B1161">
        <v>80</v>
      </c>
      <c r="C1161" t="s">
        <v>4</v>
      </c>
      <c r="D1161">
        <v>81</v>
      </c>
      <c r="E1161" t="s">
        <v>550</v>
      </c>
      <c r="F1161">
        <v>1436</v>
      </c>
      <c r="G1161" t="s">
        <v>918</v>
      </c>
      <c r="I1161">
        <v>20004979</v>
      </c>
      <c r="J1161" t="s">
        <v>1514</v>
      </c>
      <c r="K1161">
        <v>800157</v>
      </c>
      <c r="L1161">
        <v>1</v>
      </c>
      <c r="M1161" t="s">
        <v>1479</v>
      </c>
      <c r="N1161" t="s">
        <v>231</v>
      </c>
      <c r="O1161">
        <v>880000</v>
      </c>
    </row>
    <row r="1162" spans="1:15" x14ac:dyDescent="0.4">
      <c r="A1162" t="s">
        <v>1586</v>
      </c>
      <c r="B1162">
        <v>80</v>
      </c>
      <c r="C1162" t="s">
        <v>4</v>
      </c>
      <c r="D1162">
        <v>81</v>
      </c>
      <c r="E1162" t="s">
        <v>550</v>
      </c>
      <c r="F1162">
        <v>1154</v>
      </c>
      <c r="G1162" t="s">
        <v>1044</v>
      </c>
      <c r="I1162">
        <v>10000423</v>
      </c>
      <c r="J1162" t="s">
        <v>2533</v>
      </c>
      <c r="K1162">
        <v>800157</v>
      </c>
      <c r="L1162">
        <v>1</v>
      </c>
      <c r="M1162" t="s">
        <v>1589</v>
      </c>
      <c r="N1162" t="s">
        <v>205</v>
      </c>
      <c r="O1162">
        <v>748800</v>
      </c>
    </row>
    <row r="1163" spans="1:15" x14ac:dyDescent="0.4">
      <c r="A1163" t="s">
        <v>1587</v>
      </c>
      <c r="B1163">
        <v>50</v>
      </c>
      <c r="C1163" t="s">
        <v>1</v>
      </c>
      <c r="D1163">
        <v>11</v>
      </c>
      <c r="E1163" t="s">
        <v>192</v>
      </c>
      <c r="F1163">
        <v>1085</v>
      </c>
      <c r="G1163" t="s">
        <v>854</v>
      </c>
      <c r="I1163">
        <v>10000426</v>
      </c>
      <c r="J1163" t="s">
        <v>2534</v>
      </c>
      <c r="K1163">
        <v>800159</v>
      </c>
      <c r="L1163">
        <v>1</v>
      </c>
      <c r="M1163" t="s">
        <v>1548</v>
      </c>
      <c r="N1163" t="s">
        <v>329</v>
      </c>
      <c r="O1163">
        <v>1536000</v>
      </c>
    </row>
    <row r="1164" spans="1:15" x14ac:dyDescent="0.4">
      <c r="A1164" t="s">
        <v>290</v>
      </c>
      <c r="B1164">
        <v>76</v>
      </c>
      <c r="C1164" t="s">
        <v>6</v>
      </c>
      <c r="D1164">
        <v>61</v>
      </c>
      <c r="E1164" t="s">
        <v>703</v>
      </c>
      <c r="F1164">
        <v>1472</v>
      </c>
      <c r="G1164" t="s">
        <v>998</v>
      </c>
      <c r="I1164">
        <v>10000918</v>
      </c>
      <c r="J1164" t="s">
        <v>2535</v>
      </c>
      <c r="K1164">
        <v>800157</v>
      </c>
      <c r="L1164">
        <v>1</v>
      </c>
      <c r="M1164" t="s">
        <v>250</v>
      </c>
      <c r="N1164" t="s">
        <v>253</v>
      </c>
      <c r="O1164">
        <v>784000</v>
      </c>
    </row>
    <row r="1165" spans="1:15" x14ac:dyDescent="0.4">
      <c r="A1165" t="s">
        <v>1596</v>
      </c>
      <c r="B1165">
        <v>70</v>
      </c>
      <c r="C1165" t="s">
        <v>2</v>
      </c>
      <c r="D1165">
        <v>41</v>
      </c>
      <c r="E1165" t="s">
        <v>306</v>
      </c>
      <c r="F1165">
        <v>1552</v>
      </c>
      <c r="G1165" t="s">
        <v>929</v>
      </c>
      <c r="I1165">
        <v>20009564</v>
      </c>
      <c r="J1165" t="s">
        <v>2536</v>
      </c>
      <c r="K1165">
        <v>800159</v>
      </c>
      <c r="L1165">
        <v>1</v>
      </c>
      <c r="M1165" t="s">
        <v>268</v>
      </c>
      <c r="N1165" t="s">
        <v>214</v>
      </c>
      <c r="O1165">
        <v>1428000</v>
      </c>
    </row>
    <row r="1166" spans="1:15" x14ac:dyDescent="0.4">
      <c r="A1166" t="s">
        <v>195</v>
      </c>
      <c r="B1166">
        <v>80</v>
      </c>
      <c r="C1166" t="s">
        <v>4</v>
      </c>
      <c r="D1166">
        <v>81</v>
      </c>
      <c r="E1166" t="s">
        <v>550</v>
      </c>
      <c r="F1166">
        <v>1154</v>
      </c>
      <c r="G1166" t="s">
        <v>1044</v>
      </c>
      <c r="I1166">
        <v>20009723</v>
      </c>
      <c r="J1166" t="s">
        <v>2537</v>
      </c>
      <c r="K1166">
        <v>800159</v>
      </c>
      <c r="L1166">
        <v>1</v>
      </c>
      <c r="M1166" t="s">
        <v>185</v>
      </c>
      <c r="N1166" t="s">
        <v>190</v>
      </c>
      <c r="O1166">
        <v>1395600</v>
      </c>
    </row>
    <row r="1167" spans="1:15" x14ac:dyDescent="0.4">
      <c r="A1167" t="s">
        <v>363</v>
      </c>
      <c r="B1167">
        <v>50</v>
      </c>
      <c r="C1167" t="s">
        <v>1</v>
      </c>
      <c r="D1167">
        <v>21</v>
      </c>
      <c r="E1167" t="s">
        <v>182</v>
      </c>
      <c r="F1167">
        <v>1264</v>
      </c>
      <c r="G1167" t="s">
        <v>1023</v>
      </c>
      <c r="I1167">
        <v>10000919</v>
      </c>
      <c r="J1167" t="s">
        <v>2538</v>
      </c>
      <c r="K1167">
        <v>800159</v>
      </c>
      <c r="L1167">
        <v>1</v>
      </c>
      <c r="M1167" t="s">
        <v>376</v>
      </c>
      <c r="N1167" t="s">
        <v>262</v>
      </c>
      <c r="O1167">
        <v>1541400</v>
      </c>
    </row>
    <row r="1168" spans="1:15" x14ac:dyDescent="0.4">
      <c r="A1168" t="s">
        <v>1487</v>
      </c>
      <c r="B1168">
        <v>76</v>
      </c>
      <c r="C1168" t="s">
        <v>6</v>
      </c>
      <c r="D1168">
        <v>61</v>
      </c>
      <c r="E1168" t="s">
        <v>703</v>
      </c>
      <c r="F1168">
        <v>1563</v>
      </c>
      <c r="G1168" t="s">
        <v>942</v>
      </c>
      <c r="I1168">
        <v>20007738</v>
      </c>
      <c r="J1168" t="s">
        <v>2539</v>
      </c>
      <c r="K1168">
        <v>800157</v>
      </c>
      <c r="L1168">
        <v>1</v>
      </c>
      <c r="M1168" t="s">
        <v>1523</v>
      </c>
      <c r="N1168" t="s">
        <v>312</v>
      </c>
      <c r="O1168">
        <v>892800</v>
      </c>
    </row>
    <row r="1169" spans="1:15" x14ac:dyDescent="0.4">
      <c r="A1169" t="s">
        <v>203</v>
      </c>
      <c r="B1169">
        <v>60</v>
      </c>
      <c r="C1169" t="s">
        <v>3</v>
      </c>
      <c r="D1169">
        <v>33</v>
      </c>
      <c r="E1169" t="s">
        <v>451</v>
      </c>
      <c r="F1169">
        <v>1273</v>
      </c>
      <c r="G1169" t="s">
        <v>1084</v>
      </c>
      <c r="I1169">
        <v>10000931</v>
      </c>
      <c r="J1169" t="s">
        <v>2540</v>
      </c>
      <c r="K1169">
        <v>800159</v>
      </c>
      <c r="L1169">
        <v>1</v>
      </c>
      <c r="M1169" t="s">
        <v>290</v>
      </c>
      <c r="N1169" t="s">
        <v>295</v>
      </c>
      <c r="O1169">
        <v>1290000</v>
      </c>
    </row>
    <row r="1170" spans="1:15" x14ac:dyDescent="0.4">
      <c r="A1170" t="s">
        <v>1587</v>
      </c>
      <c r="B1170">
        <v>50</v>
      </c>
      <c r="C1170" t="s">
        <v>1</v>
      </c>
      <c r="D1170">
        <v>11</v>
      </c>
      <c r="E1170" t="s">
        <v>192</v>
      </c>
      <c r="F1170">
        <v>1353</v>
      </c>
      <c r="G1170" t="s">
        <v>1017</v>
      </c>
      <c r="I1170">
        <v>10000951</v>
      </c>
      <c r="J1170" t="s">
        <v>2541</v>
      </c>
      <c r="K1170">
        <v>800159</v>
      </c>
      <c r="L1170">
        <v>1</v>
      </c>
      <c r="M1170" t="s">
        <v>1548</v>
      </c>
      <c r="N1170" t="s">
        <v>329</v>
      </c>
      <c r="O1170">
        <v>1320000</v>
      </c>
    </row>
    <row r="1171" spans="1:15" x14ac:dyDescent="0.4">
      <c r="A1171" t="s">
        <v>250</v>
      </c>
      <c r="B1171">
        <v>76</v>
      </c>
      <c r="C1171" t="s">
        <v>6</v>
      </c>
      <c r="D1171">
        <v>61</v>
      </c>
      <c r="E1171" t="s">
        <v>703</v>
      </c>
      <c r="F1171">
        <v>1563</v>
      </c>
      <c r="G1171" t="s">
        <v>942</v>
      </c>
      <c r="I1171">
        <v>10000952</v>
      </c>
      <c r="J1171" t="s">
        <v>2542</v>
      </c>
      <c r="K1171">
        <v>800157</v>
      </c>
      <c r="L1171">
        <v>1</v>
      </c>
      <c r="M1171" t="s">
        <v>196</v>
      </c>
      <c r="N1171" t="s">
        <v>213</v>
      </c>
      <c r="O1171">
        <v>784000</v>
      </c>
    </row>
    <row r="1172" spans="1:15" x14ac:dyDescent="0.4">
      <c r="A1172" t="s">
        <v>220</v>
      </c>
      <c r="B1172">
        <v>70</v>
      </c>
      <c r="C1172" t="s">
        <v>2</v>
      </c>
      <c r="D1172">
        <v>41</v>
      </c>
      <c r="E1172" t="s">
        <v>306</v>
      </c>
      <c r="F1172">
        <v>1118</v>
      </c>
      <c r="G1172" t="s">
        <v>1471</v>
      </c>
      <c r="I1172">
        <v>20008543</v>
      </c>
      <c r="J1172" t="s">
        <v>2543</v>
      </c>
      <c r="K1172">
        <v>800159</v>
      </c>
      <c r="L1172">
        <v>1</v>
      </c>
      <c r="M1172" t="s">
        <v>203</v>
      </c>
      <c r="N1172" t="s">
        <v>208</v>
      </c>
      <c r="O1172">
        <v>1623200</v>
      </c>
    </row>
    <row r="1173" spans="1:15" x14ac:dyDescent="0.4">
      <c r="A1173" t="s">
        <v>238</v>
      </c>
      <c r="B1173">
        <v>70</v>
      </c>
      <c r="C1173" t="s">
        <v>2</v>
      </c>
      <c r="D1173">
        <v>41</v>
      </c>
      <c r="E1173" t="s">
        <v>306</v>
      </c>
      <c r="F1173">
        <v>1118</v>
      </c>
      <c r="G1173" t="s">
        <v>1471</v>
      </c>
      <c r="I1173">
        <v>10001033</v>
      </c>
      <c r="J1173" t="s">
        <v>2544</v>
      </c>
      <c r="K1173">
        <v>800159</v>
      </c>
      <c r="L1173">
        <v>1</v>
      </c>
      <c r="M1173" t="s">
        <v>230</v>
      </c>
      <c r="N1173" t="s">
        <v>235</v>
      </c>
      <c r="O1173">
        <v>1455000</v>
      </c>
    </row>
    <row r="1174" spans="1:15" x14ac:dyDescent="0.4">
      <c r="A1174" t="s">
        <v>1587</v>
      </c>
      <c r="B1174">
        <v>60</v>
      </c>
      <c r="C1174" t="s">
        <v>3</v>
      </c>
      <c r="D1174">
        <v>33</v>
      </c>
      <c r="E1174" t="s">
        <v>451</v>
      </c>
      <c r="F1174">
        <v>1372</v>
      </c>
      <c r="G1174" t="s">
        <v>992</v>
      </c>
      <c r="I1174">
        <v>10001049</v>
      </c>
      <c r="J1174" t="s">
        <v>2545</v>
      </c>
      <c r="K1174">
        <v>800157</v>
      </c>
      <c r="L1174">
        <v>1</v>
      </c>
      <c r="M1174" t="s">
        <v>1548</v>
      </c>
      <c r="N1174" t="s">
        <v>327</v>
      </c>
      <c r="O1174">
        <v>784000</v>
      </c>
    </row>
    <row r="1175" spans="1:15" x14ac:dyDescent="0.4">
      <c r="A1175" t="s">
        <v>221</v>
      </c>
      <c r="B1175">
        <v>70</v>
      </c>
      <c r="C1175" t="s">
        <v>2</v>
      </c>
      <c r="D1175">
        <v>41</v>
      </c>
      <c r="E1175" t="s">
        <v>306</v>
      </c>
      <c r="F1175">
        <v>1383</v>
      </c>
      <c r="G1175" t="s">
        <v>957</v>
      </c>
      <c r="I1175">
        <v>10001094</v>
      </c>
      <c r="J1175" t="s">
        <v>2546</v>
      </c>
      <c r="K1175">
        <v>800159</v>
      </c>
      <c r="L1175">
        <v>1</v>
      </c>
      <c r="M1175" t="s">
        <v>204</v>
      </c>
      <c r="O1175">
        <v>1038000</v>
      </c>
    </row>
    <row r="1176" spans="1:15" x14ac:dyDescent="0.4">
      <c r="A1176" t="s">
        <v>311</v>
      </c>
      <c r="B1176">
        <v>60</v>
      </c>
      <c r="C1176" t="s">
        <v>3</v>
      </c>
      <c r="D1176">
        <v>31</v>
      </c>
      <c r="E1176" t="s">
        <v>447</v>
      </c>
      <c r="F1176">
        <v>1116</v>
      </c>
      <c r="G1176" t="s">
        <v>1075</v>
      </c>
      <c r="I1176">
        <v>10001095</v>
      </c>
      <c r="J1176" t="s">
        <v>2546</v>
      </c>
      <c r="K1176">
        <v>800159</v>
      </c>
      <c r="L1176">
        <v>1</v>
      </c>
      <c r="M1176" t="s">
        <v>258</v>
      </c>
      <c r="N1176" t="s">
        <v>263</v>
      </c>
      <c r="O1176">
        <v>858000</v>
      </c>
    </row>
    <row r="1177" spans="1:15" x14ac:dyDescent="0.4">
      <c r="A1177" t="s">
        <v>250</v>
      </c>
      <c r="B1177">
        <v>60</v>
      </c>
      <c r="C1177" t="s">
        <v>3</v>
      </c>
      <c r="D1177">
        <v>31</v>
      </c>
      <c r="E1177" t="s">
        <v>447</v>
      </c>
      <c r="F1177">
        <v>1299</v>
      </c>
      <c r="G1177" t="s">
        <v>947</v>
      </c>
      <c r="I1177">
        <v>10001098</v>
      </c>
      <c r="J1177" t="s">
        <v>2547</v>
      </c>
      <c r="K1177">
        <v>800159</v>
      </c>
      <c r="L1177">
        <v>1</v>
      </c>
      <c r="M1177" t="s">
        <v>196</v>
      </c>
      <c r="N1177" t="s">
        <v>215</v>
      </c>
      <c r="O1177">
        <v>1325400</v>
      </c>
    </row>
    <row r="1178" spans="1:15" x14ac:dyDescent="0.4">
      <c r="A1178" t="s">
        <v>185</v>
      </c>
      <c r="B1178">
        <v>60</v>
      </c>
      <c r="C1178" t="s">
        <v>3</v>
      </c>
      <c r="D1178">
        <v>33</v>
      </c>
      <c r="E1178" t="s">
        <v>451</v>
      </c>
      <c r="F1178">
        <v>1372</v>
      </c>
      <c r="G1178" t="s">
        <v>992</v>
      </c>
      <c r="I1178">
        <v>10001099</v>
      </c>
      <c r="J1178" t="s">
        <v>2548</v>
      </c>
      <c r="K1178">
        <v>800159</v>
      </c>
      <c r="L1178">
        <v>1</v>
      </c>
      <c r="M1178" t="s">
        <v>275</v>
      </c>
      <c r="N1178" t="s">
        <v>234</v>
      </c>
      <c r="O1178">
        <v>1308000</v>
      </c>
    </row>
    <row r="1179" spans="1:15" x14ac:dyDescent="0.4">
      <c r="A1179" t="s">
        <v>242</v>
      </c>
      <c r="B1179">
        <v>60</v>
      </c>
      <c r="C1179" t="s">
        <v>3</v>
      </c>
      <c r="D1179">
        <v>33</v>
      </c>
      <c r="E1179" t="s">
        <v>451</v>
      </c>
      <c r="F1179">
        <v>1220</v>
      </c>
      <c r="G1179" t="s">
        <v>1343</v>
      </c>
      <c r="I1179">
        <v>10053142</v>
      </c>
      <c r="J1179" t="s">
        <v>2174</v>
      </c>
      <c r="K1179">
        <v>800159</v>
      </c>
      <c r="L1179">
        <v>1</v>
      </c>
      <c r="M1179" t="s">
        <v>311</v>
      </c>
      <c r="N1179" t="s">
        <v>316</v>
      </c>
      <c r="O1179">
        <v>1536000</v>
      </c>
    </row>
    <row r="1180" spans="1:15" x14ac:dyDescent="0.4">
      <c r="A1180" t="s">
        <v>353</v>
      </c>
      <c r="B1180">
        <v>80</v>
      </c>
      <c r="C1180" t="s">
        <v>4</v>
      </c>
      <c r="D1180">
        <v>81</v>
      </c>
      <c r="E1180" t="s">
        <v>550</v>
      </c>
      <c r="F1180">
        <v>1154</v>
      </c>
      <c r="G1180" t="s">
        <v>1044</v>
      </c>
      <c r="I1180">
        <v>10001108</v>
      </c>
      <c r="J1180" t="s">
        <v>2549</v>
      </c>
      <c r="K1180">
        <v>800159</v>
      </c>
      <c r="L1180">
        <v>1</v>
      </c>
      <c r="M1180" t="s">
        <v>220</v>
      </c>
      <c r="N1180" t="s">
        <v>225</v>
      </c>
      <c r="O1180">
        <v>1514400</v>
      </c>
    </row>
    <row r="1181" spans="1:15" x14ac:dyDescent="0.4">
      <c r="A1181" t="s">
        <v>1596</v>
      </c>
      <c r="B1181">
        <v>60</v>
      </c>
      <c r="C1181" t="s">
        <v>3</v>
      </c>
      <c r="D1181">
        <v>33</v>
      </c>
      <c r="E1181" t="s">
        <v>451</v>
      </c>
      <c r="F1181">
        <v>1372</v>
      </c>
      <c r="G1181" t="s">
        <v>992</v>
      </c>
      <c r="I1181">
        <v>10001110</v>
      </c>
      <c r="J1181" t="s">
        <v>2550</v>
      </c>
      <c r="K1181">
        <v>800157</v>
      </c>
      <c r="L1181">
        <v>1</v>
      </c>
      <c r="M1181" t="s">
        <v>268</v>
      </c>
      <c r="N1181" t="s">
        <v>212</v>
      </c>
      <c r="O1181">
        <v>867200</v>
      </c>
    </row>
    <row r="1182" spans="1:15" x14ac:dyDescent="0.4">
      <c r="A1182" t="s">
        <v>230</v>
      </c>
      <c r="B1182">
        <v>76</v>
      </c>
      <c r="C1182" t="s">
        <v>6</v>
      </c>
      <c r="D1182">
        <v>61</v>
      </c>
      <c r="E1182" t="s">
        <v>703</v>
      </c>
      <c r="F1182">
        <v>1563</v>
      </c>
      <c r="G1182" t="s">
        <v>942</v>
      </c>
      <c r="I1182">
        <v>10001114</v>
      </c>
      <c r="J1182" t="s">
        <v>2551</v>
      </c>
      <c r="K1182">
        <v>800159</v>
      </c>
      <c r="L1182">
        <v>1</v>
      </c>
      <c r="M1182" t="s">
        <v>242</v>
      </c>
      <c r="N1182" t="s">
        <v>247</v>
      </c>
      <c r="O1182">
        <v>1320000</v>
      </c>
    </row>
    <row r="1183" spans="1:15" x14ac:dyDescent="0.4">
      <c r="A1183" t="s">
        <v>203</v>
      </c>
      <c r="B1183">
        <v>70</v>
      </c>
      <c r="C1183" t="s">
        <v>2</v>
      </c>
      <c r="D1183">
        <v>41</v>
      </c>
      <c r="E1183" t="s">
        <v>306</v>
      </c>
      <c r="F1183">
        <v>1552</v>
      </c>
      <c r="G1183" t="s">
        <v>929</v>
      </c>
      <c r="I1183">
        <v>10001115</v>
      </c>
      <c r="J1183" t="s">
        <v>2552</v>
      </c>
      <c r="K1183">
        <v>800155</v>
      </c>
      <c r="L1183">
        <v>1</v>
      </c>
      <c r="M1183" t="s">
        <v>290</v>
      </c>
      <c r="N1183" t="s">
        <v>291</v>
      </c>
      <c r="O1183">
        <v>241200</v>
      </c>
    </row>
    <row r="1184" spans="1:15" x14ac:dyDescent="0.4">
      <c r="A1184" t="s">
        <v>258</v>
      </c>
      <c r="B1184">
        <v>76</v>
      </c>
      <c r="C1184" t="s">
        <v>6</v>
      </c>
      <c r="D1184">
        <v>61</v>
      </c>
      <c r="E1184" t="s">
        <v>703</v>
      </c>
      <c r="F1184">
        <v>1468</v>
      </c>
      <c r="G1184" t="s">
        <v>914</v>
      </c>
      <c r="I1184">
        <v>10001118</v>
      </c>
      <c r="J1184" t="s">
        <v>2037</v>
      </c>
      <c r="K1184">
        <v>800157</v>
      </c>
      <c r="L1184">
        <v>1</v>
      </c>
      <c r="M1184" t="s">
        <v>221</v>
      </c>
      <c r="N1184" t="s">
        <v>329</v>
      </c>
      <c r="O1184">
        <v>924800</v>
      </c>
    </row>
    <row r="1185" spans="1:15" x14ac:dyDescent="0.4">
      <c r="A1185" t="s">
        <v>290</v>
      </c>
      <c r="B1185">
        <v>76</v>
      </c>
      <c r="C1185" t="s">
        <v>6</v>
      </c>
      <c r="D1185">
        <v>61</v>
      </c>
      <c r="E1185" t="s">
        <v>703</v>
      </c>
      <c r="F1185">
        <v>1472</v>
      </c>
      <c r="G1185" t="s">
        <v>998</v>
      </c>
      <c r="I1185">
        <v>10001122</v>
      </c>
      <c r="J1185" t="s">
        <v>2553</v>
      </c>
      <c r="K1185">
        <v>800157</v>
      </c>
      <c r="L1185">
        <v>1</v>
      </c>
      <c r="M1185" t="s">
        <v>250</v>
      </c>
      <c r="N1185" t="s">
        <v>253</v>
      </c>
      <c r="O1185">
        <v>784000</v>
      </c>
    </row>
    <row r="1186" spans="1:15" x14ac:dyDescent="0.4">
      <c r="A1186" t="s">
        <v>230</v>
      </c>
      <c r="B1186">
        <v>50</v>
      </c>
      <c r="C1186" t="s">
        <v>1</v>
      </c>
      <c r="D1186">
        <v>11</v>
      </c>
      <c r="E1186" t="s">
        <v>192</v>
      </c>
      <c r="F1186">
        <v>1085</v>
      </c>
      <c r="G1186" t="s">
        <v>854</v>
      </c>
      <c r="I1186">
        <v>10001173</v>
      </c>
      <c r="J1186" t="s">
        <v>2554</v>
      </c>
      <c r="K1186">
        <v>800157</v>
      </c>
      <c r="L1186">
        <v>1</v>
      </c>
      <c r="M1186" t="s">
        <v>242</v>
      </c>
      <c r="N1186" t="s">
        <v>245</v>
      </c>
      <c r="O1186">
        <v>626400</v>
      </c>
    </row>
    <row r="1187" spans="1:15" x14ac:dyDescent="0.4">
      <c r="A1187" t="s">
        <v>268</v>
      </c>
      <c r="B1187">
        <v>50</v>
      </c>
      <c r="C1187" t="s">
        <v>1</v>
      </c>
      <c r="D1187">
        <v>21</v>
      </c>
      <c r="E1187" t="s">
        <v>182</v>
      </c>
      <c r="F1187">
        <v>1166</v>
      </c>
      <c r="G1187" t="s">
        <v>1082</v>
      </c>
      <c r="I1187">
        <v>10001176</v>
      </c>
      <c r="J1187" t="s">
        <v>2555</v>
      </c>
      <c r="K1187">
        <v>800159</v>
      </c>
      <c r="L1187">
        <v>1</v>
      </c>
      <c r="M1187" t="s">
        <v>195</v>
      </c>
      <c r="N1187" t="s">
        <v>200</v>
      </c>
      <c r="O1187">
        <v>1325400</v>
      </c>
    </row>
    <row r="1188" spans="1:15" x14ac:dyDescent="0.4">
      <c r="A1188" t="s">
        <v>1589</v>
      </c>
      <c r="B1188">
        <v>60</v>
      </c>
      <c r="C1188" t="s">
        <v>3</v>
      </c>
      <c r="D1188">
        <v>33</v>
      </c>
      <c r="E1188" t="s">
        <v>451</v>
      </c>
      <c r="F1188">
        <v>1273</v>
      </c>
      <c r="G1188" t="s">
        <v>1084</v>
      </c>
      <c r="I1188">
        <v>10001234</v>
      </c>
      <c r="J1188" t="s">
        <v>2556</v>
      </c>
      <c r="K1188">
        <v>800159</v>
      </c>
      <c r="L1188">
        <v>1</v>
      </c>
      <c r="M1188" t="s">
        <v>1594</v>
      </c>
      <c r="N1188" t="s">
        <v>294</v>
      </c>
      <c r="O1188">
        <v>1284000</v>
      </c>
    </row>
    <row r="1189" spans="1:15" x14ac:dyDescent="0.4">
      <c r="A1189" t="s">
        <v>376</v>
      </c>
      <c r="B1189">
        <v>70</v>
      </c>
      <c r="C1189" t="s">
        <v>2</v>
      </c>
      <c r="D1189">
        <v>41</v>
      </c>
      <c r="E1189" t="s">
        <v>306</v>
      </c>
      <c r="F1189">
        <v>1445</v>
      </c>
      <c r="G1189" t="s">
        <v>886</v>
      </c>
      <c r="I1189">
        <v>10001248</v>
      </c>
      <c r="J1189" t="s">
        <v>2557</v>
      </c>
      <c r="K1189">
        <v>800157</v>
      </c>
      <c r="L1189">
        <v>1</v>
      </c>
      <c r="M1189" t="s">
        <v>353</v>
      </c>
      <c r="N1189" t="s">
        <v>328</v>
      </c>
      <c r="O1189">
        <v>912000</v>
      </c>
    </row>
    <row r="1190" spans="1:15" x14ac:dyDescent="0.4">
      <c r="A1190" t="s">
        <v>258</v>
      </c>
      <c r="B1190">
        <v>76</v>
      </c>
      <c r="C1190" t="s">
        <v>6</v>
      </c>
      <c r="D1190">
        <v>61</v>
      </c>
      <c r="E1190" t="s">
        <v>703</v>
      </c>
      <c r="F1190">
        <v>1563</v>
      </c>
      <c r="G1190" t="s">
        <v>942</v>
      </c>
      <c r="I1190">
        <v>10001249</v>
      </c>
      <c r="J1190" t="s">
        <v>2558</v>
      </c>
      <c r="K1190">
        <v>800157</v>
      </c>
      <c r="L1190">
        <v>1</v>
      </c>
      <c r="M1190" t="s">
        <v>221</v>
      </c>
      <c r="N1190" t="s">
        <v>329</v>
      </c>
      <c r="O1190">
        <v>784000</v>
      </c>
    </row>
    <row r="1191" spans="1:15" x14ac:dyDescent="0.4">
      <c r="A1191" t="s">
        <v>203</v>
      </c>
      <c r="B1191">
        <v>75</v>
      </c>
      <c r="C1191" t="s">
        <v>5</v>
      </c>
      <c r="D1191">
        <v>51</v>
      </c>
      <c r="E1191" t="s">
        <v>657</v>
      </c>
      <c r="F1191">
        <v>1365</v>
      </c>
      <c r="G1191" t="s">
        <v>1148</v>
      </c>
      <c r="I1191">
        <v>10001259</v>
      </c>
      <c r="J1191" t="s">
        <v>2559</v>
      </c>
      <c r="K1191">
        <v>800159</v>
      </c>
      <c r="L1191">
        <v>1</v>
      </c>
      <c r="M1191" t="s">
        <v>290</v>
      </c>
      <c r="N1191" t="s">
        <v>295</v>
      </c>
      <c r="O1191">
        <v>1374000</v>
      </c>
    </row>
    <row r="1192" spans="1:15" x14ac:dyDescent="0.4">
      <c r="A1192" t="s">
        <v>290</v>
      </c>
      <c r="B1192">
        <v>50</v>
      </c>
      <c r="C1192" t="s">
        <v>1</v>
      </c>
      <c r="D1192">
        <v>21</v>
      </c>
      <c r="E1192" t="s">
        <v>182</v>
      </c>
      <c r="F1192">
        <v>1166</v>
      </c>
      <c r="G1192" t="s">
        <v>1082</v>
      </c>
      <c r="I1192">
        <v>10001263</v>
      </c>
      <c r="J1192" t="s">
        <v>2560</v>
      </c>
      <c r="K1192">
        <v>800157</v>
      </c>
      <c r="L1192">
        <v>1</v>
      </c>
      <c r="M1192" t="s">
        <v>250</v>
      </c>
      <c r="N1192" t="s">
        <v>253</v>
      </c>
      <c r="O1192">
        <v>784000</v>
      </c>
    </row>
    <row r="1193" spans="1:15" x14ac:dyDescent="0.4">
      <c r="A1193" t="s">
        <v>1589</v>
      </c>
      <c r="B1193">
        <v>50</v>
      </c>
      <c r="C1193" t="s">
        <v>1</v>
      </c>
      <c r="D1193">
        <v>21</v>
      </c>
      <c r="E1193" t="s">
        <v>182</v>
      </c>
      <c r="F1193">
        <v>1264</v>
      </c>
      <c r="G1193" t="s">
        <v>1023</v>
      </c>
      <c r="I1193">
        <v>10001312</v>
      </c>
      <c r="J1193" t="s">
        <v>2561</v>
      </c>
      <c r="K1193">
        <v>800157</v>
      </c>
      <c r="L1193">
        <v>1</v>
      </c>
      <c r="M1193" t="s">
        <v>1594</v>
      </c>
      <c r="N1193" t="s">
        <v>292</v>
      </c>
      <c r="O1193">
        <v>918400</v>
      </c>
    </row>
    <row r="1194" spans="1:15" x14ac:dyDescent="0.4">
      <c r="A1194" t="s">
        <v>1548</v>
      </c>
      <c r="B1194">
        <v>80</v>
      </c>
      <c r="C1194" t="s">
        <v>4</v>
      </c>
      <c r="D1194">
        <v>81</v>
      </c>
      <c r="E1194" t="s">
        <v>550</v>
      </c>
      <c r="F1194">
        <v>1436</v>
      </c>
      <c r="G1194" t="s">
        <v>918</v>
      </c>
      <c r="I1194">
        <v>10001313</v>
      </c>
      <c r="J1194" t="s">
        <v>2562</v>
      </c>
      <c r="K1194">
        <v>800159</v>
      </c>
      <c r="L1194">
        <v>1</v>
      </c>
      <c r="M1194" t="s">
        <v>1586</v>
      </c>
      <c r="N1194" t="s">
        <v>224</v>
      </c>
      <c r="O1194">
        <v>1597200</v>
      </c>
    </row>
    <row r="1195" spans="1:15" x14ac:dyDescent="0.4">
      <c r="A1195" t="s">
        <v>250</v>
      </c>
      <c r="B1195">
        <v>60</v>
      </c>
      <c r="C1195" t="s">
        <v>3</v>
      </c>
      <c r="D1195">
        <v>31</v>
      </c>
      <c r="E1195" t="s">
        <v>447</v>
      </c>
      <c r="F1195">
        <v>1299</v>
      </c>
      <c r="G1195" t="s">
        <v>947</v>
      </c>
      <c r="I1195">
        <v>10001314</v>
      </c>
      <c r="J1195" t="s">
        <v>2563</v>
      </c>
      <c r="K1195">
        <v>800159</v>
      </c>
      <c r="L1195">
        <v>1</v>
      </c>
      <c r="M1195" t="s">
        <v>196</v>
      </c>
      <c r="N1195" t="s">
        <v>215</v>
      </c>
      <c r="O1195">
        <v>1278000</v>
      </c>
    </row>
    <row r="1196" spans="1:15" x14ac:dyDescent="0.4">
      <c r="A1196" t="s">
        <v>1594</v>
      </c>
      <c r="B1196">
        <v>80</v>
      </c>
      <c r="C1196" t="s">
        <v>4</v>
      </c>
      <c r="D1196">
        <v>81</v>
      </c>
      <c r="E1196" t="s">
        <v>550</v>
      </c>
      <c r="F1196">
        <v>1322</v>
      </c>
      <c r="G1196" t="s">
        <v>961</v>
      </c>
      <c r="I1196">
        <v>20004964</v>
      </c>
      <c r="J1196" t="s">
        <v>2564</v>
      </c>
      <c r="K1196">
        <v>800159</v>
      </c>
      <c r="L1196">
        <v>1</v>
      </c>
      <c r="M1196" t="s">
        <v>1596</v>
      </c>
      <c r="N1196" t="s">
        <v>254</v>
      </c>
      <c r="O1196">
        <v>1266000</v>
      </c>
    </row>
    <row r="1197" spans="1:15" x14ac:dyDescent="0.4">
      <c r="A1197" t="s">
        <v>268</v>
      </c>
      <c r="B1197">
        <v>75</v>
      </c>
      <c r="C1197" t="s">
        <v>5</v>
      </c>
      <c r="D1197">
        <v>51</v>
      </c>
      <c r="E1197" t="s">
        <v>657</v>
      </c>
      <c r="F1197">
        <v>1435</v>
      </c>
      <c r="G1197" t="s">
        <v>860</v>
      </c>
      <c r="I1197">
        <v>10001322</v>
      </c>
      <c r="J1197" t="s">
        <v>2565</v>
      </c>
      <c r="K1197">
        <v>800159</v>
      </c>
      <c r="L1197">
        <v>1</v>
      </c>
      <c r="M1197" t="s">
        <v>195</v>
      </c>
      <c r="N1197" t="s">
        <v>200</v>
      </c>
      <c r="O1197">
        <v>804000</v>
      </c>
    </row>
    <row r="1198" spans="1:15" x14ac:dyDescent="0.4">
      <c r="A1198" t="s">
        <v>1479</v>
      </c>
      <c r="B1198">
        <v>76</v>
      </c>
      <c r="C1198" t="s">
        <v>6</v>
      </c>
      <c r="D1198">
        <v>61</v>
      </c>
      <c r="E1198" t="s">
        <v>703</v>
      </c>
      <c r="F1198">
        <v>1472</v>
      </c>
      <c r="G1198" t="s">
        <v>998</v>
      </c>
      <c r="I1198">
        <v>10001325</v>
      </c>
      <c r="J1198" t="s">
        <v>2566</v>
      </c>
      <c r="K1198">
        <v>800157</v>
      </c>
      <c r="L1198">
        <v>1</v>
      </c>
      <c r="M1198" t="s">
        <v>1487</v>
      </c>
      <c r="N1198" t="s">
        <v>243</v>
      </c>
      <c r="O1198">
        <v>784000</v>
      </c>
    </row>
    <row r="1199" spans="1:15" x14ac:dyDescent="0.4">
      <c r="A1199" t="s">
        <v>1469</v>
      </c>
      <c r="B1199">
        <v>60</v>
      </c>
      <c r="C1199" t="s">
        <v>3</v>
      </c>
      <c r="D1199">
        <v>31</v>
      </c>
      <c r="E1199" t="s">
        <v>447</v>
      </c>
      <c r="F1199">
        <v>1299</v>
      </c>
      <c r="G1199" t="s">
        <v>947</v>
      </c>
      <c r="I1199">
        <v>10001341</v>
      </c>
      <c r="J1199" t="s">
        <v>1819</v>
      </c>
      <c r="K1199">
        <v>800157</v>
      </c>
      <c r="L1199">
        <v>1</v>
      </c>
      <c r="M1199" t="s">
        <v>1475</v>
      </c>
      <c r="N1199" t="s">
        <v>187</v>
      </c>
      <c r="O1199">
        <v>960000</v>
      </c>
    </row>
    <row r="1200" spans="1:15" x14ac:dyDescent="0.4">
      <c r="A1200" t="s">
        <v>1587</v>
      </c>
      <c r="B1200">
        <v>60</v>
      </c>
      <c r="C1200" t="s">
        <v>3</v>
      </c>
      <c r="D1200">
        <v>33</v>
      </c>
      <c r="E1200" t="s">
        <v>451</v>
      </c>
      <c r="F1200">
        <v>1220</v>
      </c>
      <c r="G1200" t="s">
        <v>1343</v>
      </c>
      <c r="I1200">
        <v>10001380</v>
      </c>
      <c r="J1200" t="s">
        <v>2567</v>
      </c>
      <c r="K1200">
        <v>800159</v>
      </c>
      <c r="L1200">
        <v>1</v>
      </c>
      <c r="M1200" t="s">
        <v>1548</v>
      </c>
      <c r="N1200" t="s">
        <v>329</v>
      </c>
      <c r="O1200">
        <v>1290000</v>
      </c>
    </row>
    <row r="1201" spans="1:15" x14ac:dyDescent="0.4">
      <c r="A1201" t="s">
        <v>1589</v>
      </c>
      <c r="B1201">
        <v>75</v>
      </c>
      <c r="C1201" t="s">
        <v>5</v>
      </c>
      <c r="D1201">
        <v>52</v>
      </c>
      <c r="E1201" t="s">
        <v>665</v>
      </c>
      <c r="F1201">
        <v>1403</v>
      </c>
      <c r="G1201" t="s">
        <v>925</v>
      </c>
      <c r="I1201">
        <v>10001386</v>
      </c>
      <c r="J1201" t="s">
        <v>2568</v>
      </c>
      <c r="K1201">
        <v>800157</v>
      </c>
      <c r="L1201">
        <v>1</v>
      </c>
      <c r="M1201" t="s">
        <v>1594</v>
      </c>
      <c r="N1201" t="s">
        <v>292</v>
      </c>
      <c r="O1201">
        <v>841600</v>
      </c>
    </row>
    <row r="1202" spans="1:15" x14ac:dyDescent="0.4">
      <c r="A1202" t="s">
        <v>1475</v>
      </c>
      <c r="B1202">
        <v>60</v>
      </c>
      <c r="C1202" t="s">
        <v>3</v>
      </c>
      <c r="D1202">
        <v>31</v>
      </c>
      <c r="E1202" t="s">
        <v>447</v>
      </c>
      <c r="F1202">
        <v>1299</v>
      </c>
      <c r="G1202" t="s">
        <v>947</v>
      </c>
      <c r="I1202">
        <v>10001387</v>
      </c>
      <c r="J1202" t="s">
        <v>2569</v>
      </c>
      <c r="K1202">
        <v>800157</v>
      </c>
      <c r="L1202">
        <v>1</v>
      </c>
      <c r="M1202" t="s">
        <v>1479</v>
      </c>
      <c r="N1202" t="s">
        <v>231</v>
      </c>
      <c r="O1202">
        <v>525600</v>
      </c>
    </row>
    <row r="1203" spans="1:15" x14ac:dyDescent="0.4">
      <c r="A1203" t="s">
        <v>195</v>
      </c>
      <c r="B1203">
        <v>75</v>
      </c>
      <c r="C1203" t="s">
        <v>5</v>
      </c>
      <c r="D1203">
        <v>51</v>
      </c>
      <c r="E1203" t="s">
        <v>657</v>
      </c>
      <c r="F1203">
        <v>1365</v>
      </c>
      <c r="G1203" t="s">
        <v>1148</v>
      </c>
      <c r="I1203">
        <v>10001388</v>
      </c>
      <c r="J1203" t="s">
        <v>2570</v>
      </c>
      <c r="K1203">
        <v>800159</v>
      </c>
      <c r="L1203">
        <v>1</v>
      </c>
      <c r="M1203" t="s">
        <v>185</v>
      </c>
      <c r="N1203" t="s">
        <v>190</v>
      </c>
      <c r="O1203">
        <v>1347000</v>
      </c>
    </row>
    <row r="1204" spans="1:15" x14ac:dyDescent="0.4">
      <c r="A1204" t="s">
        <v>363</v>
      </c>
      <c r="B1204">
        <v>75</v>
      </c>
      <c r="C1204" t="s">
        <v>5</v>
      </c>
      <c r="D1204">
        <v>51</v>
      </c>
      <c r="E1204" t="s">
        <v>657</v>
      </c>
      <c r="F1204">
        <v>1365</v>
      </c>
      <c r="G1204" t="s">
        <v>1148</v>
      </c>
      <c r="I1204">
        <v>10001389</v>
      </c>
      <c r="J1204" t="s">
        <v>2571</v>
      </c>
      <c r="K1204">
        <v>800157</v>
      </c>
      <c r="L1204">
        <v>1</v>
      </c>
      <c r="M1204" t="s">
        <v>376</v>
      </c>
      <c r="N1204" t="s">
        <v>260</v>
      </c>
      <c r="O1204">
        <v>784000</v>
      </c>
    </row>
    <row r="1205" spans="1:15" x14ac:dyDescent="0.4">
      <c r="A1205" t="s">
        <v>1479</v>
      </c>
      <c r="B1205">
        <v>70</v>
      </c>
      <c r="C1205" t="s">
        <v>2</v>
      </c>
      <c r="D1205">
        <v>41</v>
      </c>
      <c r="E1205" t="s">
        <v>306</v>
      </c>
      <c r="F1205">
        <v>1510</v>
      </c>
      <c r="G1205" t="s">
        <v>870</v>
      </c>
      <c r="I1205">
        <v>10001391</v>
      </c>
      <c r="J1205" t="s">
        <v>2572</v>
      </c>
      <c r="K1205">
        <v>800157</v>
      </c>
      <c r="L1205">
        <v>1</v>
      </c>
      <c r="M1205" t="s">
        <v>1487</v>
      </c>
      <c r="N1205" t="s">
        <v>243</v>
      </c>
      <c r="O1205">
        <v>784000</v>
      </c>
    </row>
    <row r="1206" spans="1:15" x14ac:dyDescent="0.4">
      <c r="A1206" t="s">
        <v>376</v>
      </c>
      <c r="B1206">
        <v>60</v>
      </c>
      <c r="C1206" t="s">
        <v>3</v>
      </c>
      <c r="D1206">
        <v>33</v>
      </c>
      <c r="E1206" t="s">
        <v>451</v>
      </c>
      <c r="F1206">
        <v>1273</v>
      </c>
      <c r="G1206" t="s">
        <v>1084</v>
      </c>
      <c r="I1206">
        <v>10000433</v>
      </c>
      <c r="J1206" t="s">
        <v>1978</v>
      </c>
      <c r="K1206">
        <v>800159</v>
      </c>
      <c r="L1206">
        <v>1</v>
      </c>
      <c r="M1206" t="s">
        <v>353</v>
      </c>
      <c r="N1206" t="s">
        <v>330</v>
      </c>
      <c r="O1206">
        <v>1200000</v>
      </c>
    </row>
    <row r="1207" spans="1:15" x14ac:dyDescent="0.4">
      <c r="A1207" t="s">
        <v>258</v>
      </c>
      <c r="B1207">
        <v>60</v>
      </c>
      <c r="C1207" t="s">
        <v>3</v>
      </c>
      <c r="D1207">
        <v>31</v>
      </c>
      <c r="E1207" t="s">
        <v>447</v>
      </c>
      <c r="F1207">
        <v>1367</v>
      </c>
      <c r="G1207" t="s">
        <v>977</v>
      </c>
      <c r="I1207">
        <v>10000450</v>
      </c>
      <c r="J1207" t="s">
        <v>2573</v>
      </c>
      <c r="K1207">
        <v>800159</v>
      </c>
      <c r="L1207">
        <v>1</v>
      </c>
      <c r="M1207" t="s">
        <v>221</v>
      </c>
      <c r="N1207" t="s">
        <v>331</v>
      </c>
      <c r="O1207">
        <v>744000</v>
      </c>
    </row>
    <row r="1208" spans="1:15" x14ac:dyDescent="0.4">
      <c r="A1208" t="s">
        <v>195</v>
      </c>
      <c r="B1208">
        <v>50</v>
      </c>
      <c r="C1208" t="s">
        <v>1</v>
      </c>
      <c r="D1208">
        <v>11</v>
      </c>
      <c r="E1208" t="s">
        <v>192</v>
      </c>
      <c r="F1208">
        <v>1353</v>
      </c>
      <c r="G1208" t="s">
        <v>1017</v>
      </c>
      <c r="I1208">
        <v>10000493</v>
      </c>
      <c r="J1208" t="s">
        <v>2574</v>
      </c>
      <c r="K1208">
        <v>800157</v>
      </c>
      <c r="L1208">
        <v>1</v>
      </c>
      <c r="M1208" t="s">
        <v>185</v>
      </c>
      <c r="N1208" t="s">
        <v>188</v>
      </c>
      <c r="O1208">
        <v>899200</v>
      </c>
    </row>
    <row r="1209" spans="1:15" x14ac:dyDescent="0.4">
      <c r="A1209" t="s">
        <v>281</v>
      </c>
      <c r="B1209">
        <v>50</v>
      </c>
      <c r="C1209" t="s">
        <v>1</v>
      </c>
      <c r="D1209">
        <v>21</v>
      </c>
      <c r="E1209" t="s">
        <v>182</v>
      </c>
      <c r="F1209">
        <v>1264</v>
      </c>
      <c r="G1209" t="s">
        <v>1023</v>
      </c>
      <c r="I1209">
        <v>10000494</v>
      </c>
      <c r="J1209" t="s">
        <v>2575</v>
      </c>
      <c r="K1209">
        <v>800159</v>
      </c>
      <c r="L1209">
        <v>1</v>
      </c>
      <c r="M1209" t="s">
        <v>363</v>
      </c>
      <c r="N1209" t="s">
        <v>315</v>
      </c>
      <c r="O1209">
        <v>1086000</v>
      </c>
    </row>
    <row r="1210" spans="1:15" x14ac:dyDescent="0.4">
      <c r="A1210" t="s">
        <v>1475</v>
      </c>
      <c r="B1210">
        <v>50</v>
      </c>
      <c r="C1210" t="s">
        <v>1</v>
      </c>
      <c r="D1210">
        <v>21</v>
      </c>
      <c r="E1210" t="s">
        <v>182</v>
      </c>
      <c r="F1210">
        <v>1166</v>
      </c>
      <c r="G1210" t="s">
        <v>1082</v>
      </c>
      <c r="I1210">
        <v>10000545</v>
      </c>
      <c r="J1210" t="s">
        <v>2576</v>
      </c>
      <c r="K1210">
        <v>800157</v>
      </c>
      <c r="L1210">
        <v>1</v>
      </c>
      <c r="M1210" t="s">
        <v>1479</v>
      </c>
      <c r="N1210" t="s">
        <v>231</v>
      </c>
      <c r="O1210">
        <v>931200</v>
      </c>
    </row>
    <row r="1211" spans="1:15" x14ac:dyDescent="0.4">
      <c r="A1211" t="s">
        <v>1586</v>
      </c>
      <c r="B1211">
        <v>50</v>
      </c>
      <c r="C1211" t="s">
        <v>1</v>
      </c>
      <c r="D1211">
        <v>11</v>
      </c>
      <c r="E1211" t="s">
        <v>192</v>
      </c>
      <c r="F1211">
        <v>1353</v>
      </c>
      <c r="G1211" t="s">
        <v>1017</v>
      </c>
      <c r="I1211">
        <v>10000550</v>
      </c>
      <c r="J1211" t="s">
        <v>2577</v>
      </c>
      <c r="K1211">
        <v>800159</v>
      </c>
      <c r="L1211">
        <v>1</v>
      </c>
      <c r="M1211" t="s">
        <v>1589</v>
      </c>
      <c r="N1211" t="s">
        <v>207</v>
      </c>
      <c r="O1211">
        <v>1336200</v>
      </c>
    </row>
    <row r="1212" spans="1:15" x14ac:dyDescent="0.4">
      <c r="A1212" t="s">
        <v>185</v>
      </c>
      <c r="B1212">
        <v>80</v>
      </c>
      <c r="C1212" t="s">
        <v>4</v>
      </c>
      <c r="D1212">
        <v>81</v>
      </c>
      <c r="E1212" t="s">
        <v>550</v>
      </c>
      <c r="F1212">
        <v>1154</v>
      </c>
      <c r="G1212" t="s">
        <v>1044</v>
      </c>
      <c r="I1212">
        <v>10000552</v>
      </c>
      <c r="J1212" t="s">
        <v>2578</v>
      </c>
      <c r="K1212">
        <v>800159</v>
      </c>
      <c r="L1212">
        <v>1</v>
      </c>
      <c r="M1212" t="s">
        <v>275</v>
      </c>
      <c r="N1212" t="s">
        <v>234</v>
      </c>
      <c r="O1212">
        <v>1357800</v>
      </c>
    </row>
    <row r="1213" spans="1:15" x14ac:dyDescent="0.4">
      <c r="A1213" t="s">
        <v>1523</v>
      </c>
      <c r="B1213">
        <v>76</v>
      </c>
      <c r="C1213" t="s">
        <v>6</v>
      </c>
      <c r="D1213">
        <v>61</v>
      </c>
      <c r="E1213" t="s">
        <v>703</v>
      </c>
      <c r="F1213">
        <v>1389</v>
      </c>
      <c r="G1213" t="s">
        <v>1197</v>
      </c>
      <c r="I1213">
        <v>20008219</v>
      </c>
      <c r="J1213" t="s">
        <v>2579</v>
      </c>
      <c r="K1213">
        <v>800159</v>
      </c>
      <c r="L1213">
        <v>1</v>
      </c>
      <c r="M1213" t="s">
        <v>1587</v>
      </c>
      <c r="N1213" t="s">
        <v>261</v>
      </c>
      <c r="O1213">
        <v>1422600</v>
      </c>
    </row>
    <row r="1214" spans="1:15" x14ac:dyDescent="0.4">
      <c r="A1214" t="s">
        <v>363</v>
      </c>
      <c r="B1214">
        <v>50</v>
      </c>
      <c r="C1214" t="s">
        <v>1</v>
      </c>
      <c r="D1214">
        <v>11</v>
      </c>
      <c r="E1214" t="s">
        <v>192</v>
      </c>
      <c r="F1214">
        <v>1353</v>
      </c>
      <c r="G1214" t="s">
        <v>1017</v>
      </c>
      <c r="I1214">
        <v>10000557</v>
      </c>
      <c r="J1214" t="s">
        <v>2580</v>
      </c>
      <c r="K1214">
        <v>800159</v>
      </c>
      <c r="L1214">
        <v>1</v>
      </c>
      <c r="M1214" t="s">
        <v>376</v>
      </c>
      <c r="N1214" t="s">
        <v>262</v>
      </c>
      <c r="O1214">
        <v>774000</v>
      </c>
    </row>
    <row r="1215" spans="1:15" x14ac:dyDescent="0.4">
      <c r="A1215" t="s">
        <v>1523</v>
      </c>
      <c r="B1215">
        <v>50</v>
      </c>
      <c r="C1215" t="s">
        <v>1</v>
      </c>
      <c r="D1215">
        <v>21</v>
      </c>
      <c r="E1215" t="s">
        <v>182</v>
      </c>
      <c r="F1215">
        <v>1264</v>
      </c>
      <c r="G1215" t="s">
        <v>1023</v>
      </c>
      <c r="I1215">
        <v>10000565</v>
      </c>
      <c r="J1215" t="s">
        <v>2581</v>
      </c>
      <c r="K1215">
        <v>800159</v>
      </c>
      <c r="L1215">
        <v>1</v>
      </c>
      <c r="M1215" t="s">
        <v>1587</v>
      </c>
      <c r="N1215" t="s">
        <v>261</v>
      </c>
      <c r="O1215">
        <v>1438800</v>
      </c>
    </row>
    <row r="1216" spans="1:15" x14ac:dyDescent="0.4">
      <c r="A1216" t="s">
        <v>242</v>
      </c>
      <c r="B1216">
        <v>76</v>
      </c>
      <c r="C1216" t="s">
        <v>6</v>
      </c>
      <c r="D1216">
        <v>61</v>
      </c>
      <c r="E1216" t="s">
        <v>703</v>
      </c>
      <c r="F1216">
        <v>1475</v>
      </c>
      <c r="G1216" t="s">
        <v>909</v>
      </c>
      <c r="I1216">
        <v>20004926</v>
      </c>
      <c r="J1216" t="s">
        <v>2582</v>
      </c>
      <c r="K1216">
        <v>800157</v>
      </c>
      <c r="L1216">
        <v>1</v>
      </c>
      <c r="M1216" t="s">
        <v>311</v>
      </c>
      <c r="N1216" t="s">
        <v>314</v>
      </c>
      <c r="O1216">
        <v>784000</v>
      </c>
    </row>
    <row r="1217" spans="1:15" x14ac:dyDescent="0.4">
      <c r="A1217" t="s">
        <v>185</v>
      </c>
      <c r="B1217">
        <v>60</v>
      </c>
      <c r="C1217" t="s">
        <v>3</v>
      </c>
      <c r="D1217">
        <v>33</v>
      </c>
      <c r="E1217" t="s">
        <v>451</v>
      </c>
      <c r="F1217">
        <v>1220</v>
      </c>
      <c r="G1217" t="s">
        <v>1343</v>
      </c>
      <c r="I1217">
        <v>10000575</v>
      </c>
      <c r="J1217" t="s">
        <v>2583</v>
      </c>
      <c r="K1217">
        <v>800159</v>
      </c>
      <c r="L1217">
        <v>1</v>
      </c>
      <c r="M1217" t="s">
        <v>275</v>
      </c>
      <c r="N1217" t="s">
        <v>234</v>
      </c>
      <c r="O1217">
        <v>1768800</v>
      </c>
    </row>
    <row r="1218" spans="1:15" x14ac:dyDescent="0.4">
      <c r="A1218" t="s">
        <v>242</v>
      </c>
      <c r="B1218">
        <v>76</v>
      </c>
      <c r="C1218" t="s">
        <v>6</v>
      </c>
      <c r="D1218">
        <v>61</v>
      </c>
      <c r="E1218" t="s">
        <v>703</v>
      </c>
      <c r="F1218">
        <v>1389</v>
      </c>
      <c r="G1218" t="s">
        <v>1197</v>
      </c>
      <c r="I1218">
        <v>10008285</v>
      </c>
      <c r="J1218" t="s">
        <v>2584</v>
      </c>
      <c r="K1218">
        <v>800159</v>
      </c>
      <c r="L1218">
        <v>1</v>
      </c>
      <c r="M1218" t="s">
        <v>311</v>
      </c>
      <c r="N1218" t="s">
        <v>316</v>
      </c>
      <c r="O1218">
        <v>1390200</v>
      </c>
    </row>
    <row r="1219" spans="1:15" x14ac:dyDescent="0.4">
      <c r="A1219" t="s">
        <v>275</v>
      </c>
      <c r="B1219">
        <v>80</v>
      </c>
      <c r="C1219" t="s">
        <v>4</v>
      </c>
      <c r="D1219">
        <v>71</v>
      </c>
      <c r="E1219" t="s">
        <v>556</v>
      </c>
      <c r="F1219">
        <v>1296</v>
      </c>
      <c r="G1219" t="s">
        <v>964</v>
      </c>
      <c r="I1219">
        <v>10000715</v>
      </c>
      <c r="J1219" t="s">
        <v>2585</v>
      </c>
      <c r="K1219">
        <v>800159</v>
      </c>
      <c r="L1219">
        <v>1</v>
      </c>
      <c r="M1219" t="s">
        <v>281</v>
      </c>
      <c r="N1219" t="s">
        <v>246</v>
      </c>
      <c r="O1219">
        <v>1320000</v>
      </c>
    </row>
    <row r="1220" spans="1:15" x14ac:dyDescent="0.4">
      <c r="A1220" t="s">
        <v>268</v>
      </c>
      <c r="B1220">
        <v>80</v>
      </c>
      <c r="C1220" t="s">
        <v>4</v>
      </c>
      <c r="D1220">
        <v>81</v>
      </c>
      <c r="E1220" t="s">
        <v>550</v>
      </c>
      <c r="F1220">
        <v>1322</v>
      </c>
      <c r="G1220" t="s">
        <v>961</v>
      </c>
      <c r="I1220">
        <v>10000720</v>
      </c>
      <c r="J1220" t="s">
        <v>2586</v>
      </c>
      <c r="K1220">
        <v>800159</v>
      </c>
      <c r="L1220">
        <v>1</v>
      </c>
      <c r="M1220" t="s">
        <v>195</v>
      </c>
      <c r="N1220" t="s">
        <v>200</v>
      </c>
      <c r="O1220">
        <v>1433400</v>
      </c>
    </row>
    <row r="1221" spans="1:15" x14ac:dyDescent="0.4">
      <c r="A1221" t="s">
        <v>1589</v>
      </c>
      <c r="B1221">
        <v>80</v>
      </c>
      <c r="C1221" t="s">
        <v>4</v>
      </c>
      <c r="D1221">
        <v>71</v>
      </c>
      <c r="E1221" t="s">
        <v>556</v>
      </c>
      <c r="F1221">
        <v>1296</v>
      </c>
      <c r="G1221" t="s">
        <v>964</v>
      </c>
      <c r="I1221">
        <v>10000733</v>
      </c>
      <c r="J1221" t="s">
        <v>2587</v>
      </c>
      <c r="K1221">
        <v>800157</v>
      </c>
      <c r="L1221">
        <v>1</v>
      </c>
      <c r="M1221" t="s">
        <v>1594</v>
      </c>
      <c r="N1221" t="s">
        <v>292</v>
      </c>
      <c r="O1221">
        <v>784000</v>
      </c>
    </row>
    <row r="1222" spans="1:15" x14ac:dyDescent="0.4">
      <c r="A1222" t="s">
        <v>195</v>
      </c>
      <c r="B1222">
        <v>50</v>
      </c>
      <c r="C1222" t="s">
        <v>1</v>
      </c>
      <c r="D1222">
        <v>21</v>
      </c>
      <c r="E1222" t="s">
        <v>182</v>
      </c>
      <c r="F1222">
        <v>1264</v>
      </c>
      <c r="G1222" t="s">
        <v>1023</v>
      </c>
      <c r="I1222">
        <v>10000621</v>
      </c>
      <c r="J1222" t="s">
        <v>2588</v>
      </c>
      <c r="K1222">
        <v>800157</v>
      </c>
      <c r="L1222">
        <v>1</v>
      </c>
      <c r="M1222" t="s">
        <v>185</v>
      </c>
      <c r="N1222" t="s">
        <v>188</v>
      </c>
      <c r="O1222">
        <v>796800</v>
      </c>
    </row>
    <row r="1223" spans="1:15" x14ac:dyDescent="0.4">
      <c r="A1223" t="s">
        <v>1479</v>
      </c>
      <c r="B1223">
        <v>60</v>
      </c>
      <c r="C1223" t="s">
        <v>3</v>
      </c>
      <c r="D1223">
        <v>31</v>
      </c>
      <c r="E1223" t="s">
        <v>447</v>
      </c>
      <c r="F1223">
        <v>1612</v>
      </c>
      <c r="G1223" t="s">
        <v>1720</v>
      </c>
      <c r="I1223">
        <v>10000638</v>
      </c>
      <c r="J1223" t="s">
        <v>2589</v>
      </c>
      <c r="K1223">
        <v>800157</v>
      </c>
      <c r="L1223">
        <v>1</v>
      </c>
      <c r="M1223" t="s">
        <v>1487</v>
      </c>
      <c r="N1223" t="s">
        <v>243</v>
      </c>
      <c r="O1223">
        <v>766800</v>
      </c>
    </row>
    <row r="1224" spans="1:15" x14ac:dyDescent="0.4">
      <c r="A1224" t="s">
        <v>1587</v>
      </c>
      <c r="B1224">
        <v>76</v>
      </c>
      <c r="C1224" t="s">
        <v>6</v>
      </c>
      <c r="D1224">
        <v>61</v>
      </c>
      <c r="E1224" t="s">
        <v>703</v>
      </c>
      <c r="F1224">
        <v>1389</v>
      </c>
      <c r="G1224" t="s">
        <v>1197</v>
      </c>
      <c r="I1224">
        <v>10000679</v>
      </c>
      <c r="J1224" t="s">
        <v>2590</v>
      </c>
      <c r="K1224">
        <v>800159</v>
      </c>
      <c r="L1224">
        <v>1</v>
      </c>
      <c r="M1224" t="s">
        <v>1548</v>
      </c>
      <c r="N1224" t="s">
        <v>329</v>
      </c>
      <c r="O1224">
        <v>1357800</v>
      </c>
    </row>
    <row r="1225" spans="1:15" x14ac:dyDescent="0.4">
      <c r="A1225" t="s">
        <v>376</v>
      </c>
      <c r="B1225">
        <v>80</v>
      </c>
      <c r="C1225" t="s">
        <v>4</v>
      </c>
      <c r="D1225">
        <v>81</v>
      </c>
      <c r="E1225" t="s">
        <v>550</v>
      </c>
      <c r="F1225">
        <v>1436</v>
      </c>
      <c r="G1225" t="s">
        <v>918</v>
      </c>
      <c r="I1225">
        <v>10000680</v>
      </c>
      <c r="J1225" t="s">
        <v>2591</v>
      </c>
      <c r="K1225">
        <v>800157</v>
      </c>
      <c r="L1225">
        <v>1</v>
      </c>
      <c r="M1225" t="s">
        <v>353</v>
      </c>
      <c r="N1225" t="s">
        <v>328</v>
      </c>
      <c r="O1225">
        <v>981000</v>
      </c>
    </row>
    <row r="1226" spans="1:15" x14ac:dyDescent="0.4">
      <c r="A1226" t="s">
        <v>275</v>
      </c>
      <c r="B1226">
        <v>60</v>
      </c>
      <c r="C1226" t="s">
        <v>3</v>
      </c>
      <c r="D1226">
        <v>31</v>
      </c>
      <c r="E1226" t="s">
        <v>447</v>
      </c>
      <c r="F1226">
        <v>1299</v>
      </c>
      <c r="G1226" t="s">
        <v>947</v>
      </c>
      <c r="I1226">
        <v>10000682</v>
      </c>
      <c r="J1226" t="s">
        <v>2592</v>
      </c>
      <c r="K1226">
        <v>800159</v>
      </c>
      <c r="L1226">
        <v>1</v>
      </c>
      <c r="M1226" t="s">
        <v>281</v>
      </c>
      <c r="N1226" t="s">
        <v>246</v>
      </c>
      <c r="O1226">
        <v>1386000</v>
      </c>
    </row>
    <row r="1227" spans="1:15" x14ac:dyDescent="0.4">
      <c r="A1227" t="s">
        <v>1479</v>
      </c>
      <c r="B1227">
        <v>70</v>
      </c>
      <c r="C1227" t="s">
        <v>2</v>
      </c>
      <c r="D1227">
        <v>41</v>
      </c>
      <c r="E1227" t="s">
        <v>306</v>
      </c>
      <c r="F1227">
        <v>1510</v>
      </c>
      <c r="G1227" t="s">
        <v>870</v>
      </c>
      <c r="I1227">
        <v>10000689</v>
      </c>
      <c r="J1227" t="s">
        <v>2593</v>
      </c>
      <c r="K1227">
        <v>800157</v>
      </c>
      <c r="L1227">
        <v>1</v>
      </c>
      <c r="M1227" t="s">
        <v>1487</v>
      </c>
      <c r="N1227" t="s">
        <v>243</v>
      </c>
      <c r="O1227">
        <v>812800</v>
      </c>
    </row>
    <row r="1228" spans="1:15" x14ac:dyDescent="0.4">
      <c r="A1228" t="s">
        <v>1475</v>
      </c>
      <c r="B1228">
        <v>50</v>
      </c>
      <c r="C1228" t="s">
        <v>1</v>
      </c>
      <c r="D1228">
        <v>21</v>
      </c>
      <c r="E1228" t="s">
        <v>182</v>
      </c>
      <c r="F1228">
        <v>1264</v>
      </c>
      <c r="G1228" t="s">
        <v>1023</v>
      </c>
      <c r="I1228">
        <v>10000693</v>
      </c>
      <c r="J1228" t="s">
        <v>2594</v>
      </c>
      <c r="K1228">
        <v>800157</v>
      </c>
      <c r="L1228">
        <v>1</v>
      </c>
      <c r="M1228" t="s">
        <v>1479</v>
      </c>
      <c r="N1228" t="s">
        <v>231</v>
      </c>
      <c r="O1228">
        <v>812800</v>
      </c>
    </row>
    <row r="1229" spans="1:15" x14ac:dyDescent="0.4">
      <c r="A1229" t="s">
        <v>311</v>
      </c>
      <c r="B1229">
        <v>50</v>
      </c>
      <c r="C1229" t="s">
        <v>1</v>
      </c>
      <c r="D1229">
        <v>21</v>
      </c>
      <c r="E1229" t="s">
        <v>182</v>
      </c>
      <c r="F1229">
        <v>1345</v>
      </c>
      <c r="G1229" t="s">
        <v>874</v>
      </c>
      <c r="I1229">
        <v>10000740</v>
      </c>
      <c r="J1229" t="s">
        <v>2595</v>
      </c>
      <c r="K1229">
        <v>800157</v>
      </c>
      <c r="L1229">
        <v>1</v>
      </c>
      <c r="M1229" t="s">
        <v>258</v>
      </c>
      <c r="N1229" t="s">
        <v>261</v>
      </c>
      <c r="O1229">
        <v>800000</v>
      </c>
    </row>
    <row r="1230" spans="1:15" x14ac:dyDescent="0.4">
      <c r="A1230" t="s">
        <v>195</v>
      </c>
      <c r="B1230">
        <v>50</v>
      </c>
      <c r="C1230" t="s">
        <v>1</v>
      </c>
      <c r="D1230">
        <v>21</v>
      </c>
      <c r="E1230" t="s">
        <v>182</v>
      </c>
      <c r="F1230">
        <v>1264</v>
      </c>
      <c r="G1230" t="s">
        <v>1023</v>
      </c>
      <c r="I1230">
        <v>10000747</v>
      </c>
      <c r="J1230" t="s">
        <v>2596</v>
      </c>
      <c r="K1230">
        <v>800159</v>
      </c>
      <c r="L1230">
        <v>1</v>
      </c>
      <c r="M1230" t="s">
        <v>185</v>
      </c>
      <c r="N1230" t="s">
        <v>190</v>
      </c>
      <c r="O1230">
        <v>1379400</v>
      </c>
    </row>
    <row r="1231" spans="1:15" x14ac:dyDescent="0.4">
      <c r="A1231" t="s">
        <v>195</v>
      </c>
      <c r="B1231">
        <v>75</v>
      </c>
      <c r="C1231" t="s">
        <v>5</v>
      </c>
      <c r="D1231">
        <v>51</v>
      </c>
      <c r="E1231" t="s">
        <v>657</v>
      </c>
      <c r="F1231">
        <v>1415</v>
      </c>
      <c r="G1231" t="s">
        <v>1038</v>
      </c>
      <c r="I1231">
        <v>10000791</v>
      </c>
      <c r="J1231" t="s">
        <v>2597</v>
      </c>
      <c r="K1231">
        <v>800159</v>
      </c>
      <c r="L1231">
        <v>1</v>
      </c>
      <c r="M1231" t="s">
        <v>185</v>
      </c>
      <c r="N1231" t="s">
        <v>190</v>
      </c>
      <c r="O1231">
        <v>1433400</v>
      </c>
    </row>
    <row r="1232" spans="1:15" x14ac:dyDescent="0.4">
      <c r="A1232" t="s">
        <v>281</v>
      </c>
      <c r="B1232">
        <v>60</v>
      </c>
      <c r="C1232" t="s">
        <v>3</v>
      </c>
      <c r="D1232">
        <v>31</v>
      </c>
      <c r="E1232" t="s">
        <v>447</v>
      </c>
      <c r="F1232">
        <v>1612</v>
      </c>
      <c r="G1232" t="s">
        <v>1720</v>
      </c>
      <c r="I1232">
        <v>10000794</v>
      </c>
      <c r="J1232" t="s">
        <v>2598</v>
      </c>
      <c r="K1232">
        <v>800157</v>
      </c>
      <c r="L1232">
        <v>1</v>
      </c>
      <c r="M1232" t="s">
        <v>363</v>
      </c>
      <c r="N1232" t="s">
        <v>313</v>
      </c>
      <c r="O1232">
        <v>803200</v>
      </c>
    </row>
    <row r="1233" spans="1:15" x14ac:dyDescent="0.4">
      <c r="A1233" t="s">
        <v>290</v>
      </c>
      <c r="B1233">
        <v>70</v>
      </c>
      <c r="C1233" t="s">
        <v>2</v>
      </c>
      <c r="D1233">
        <v>41</v>
      </c>
      <c r="E1233" t="s">
        <v>306</v>
      </c>
      <c r="F1233">
        <v>1383</v>
      </c>
      <c r="G1233" t="s">
        <v>957</v>
      </c>
      <c r="I1233">
        <v>10031478</v>
      </c>
      <c r="J1233" t="s">
        <v>2599</v>
      </c>
      <c r="K1233">
        <v>800159</v>
      </c>
      <c r="L1233">
        <v>1</v>
      </c>
      <c r="M1233" t="s">
        <v>250</v>
      </c>
      <c r="N1233" t="s">
        <v>255</v>
      </c>
      <c r="O1233">
        <v>1519800</v>
      </c>
    </row>
    <row r="1234" spans="1:15" x14ac:dyDescent="0.4">
      <c r="A1234" t="s">
        <v>1479</v>
      </c>
      <c r="B1234">
        <v>80</v>
      </c>
      <c r="C1234" t="s">
        <v>4</v>
      </c>
      <c r="D1234">
        <v>71</v>
      </c>
      <c r="E1234" t="s">
        <v>556</v>
      </c>
      <c r="F1234">
        <v>1296</v>
      </c>
      <c r="G1234" t="s">
        <v>964</v>
      </c>
      <c r="I1234">
        <v>20007482</v>
      </c>
      <c r="J1234" t="s">
        <v>2600</v>
      </c>
      <c r="K1234">
        <v>800157</v>
      </c>
      <c r="L1234">
        <v>1</v>
      </c>
      <c r="M1234" t="s">
        <v>1487</v>
      </c>
      <c r="N1234" t="s">
        <v>243</v>
      </c>
      <c r="O1234">
        <v>784000</v>
      </c>
    </row>
    <row r="1235" spans="1:15" x14ac:dyDescent="0.4">
      <c r="A1235" t="s">
        <v>290</v>
      </c>
      <c r="B1235">
        <v>70</v>
      </c>
      <c r="C1235" t="s">
        <v>2</v>
      </c>
      <c r="D1235">
        <v>41</v>
      </c>
      <c r="E1235" t="s">
        <v>306</v>
      </c>
      <c r="F1235">
        <v>1613</v>
      </c>
      <c r="G1235" t="s">
        <v>1413</v>
      </c>
      <c r="I1235">
        <v>10000818</v>
      </c>
      <c r="J1235" t="s">
        <v>2601</v>
      </c>
      <c r="K1235">
        <v>800157</v>
      </c>
      <c r="L1235">
        <v>1</v>
      </c>
      <c r="M1235" t="s">
        <v>250</v>
      </c>
      <c r="N1235" t="s">
        <v>253</v>
      </c>
      <c r="O1235">
        <v>790400</v>
      </c>
    </row>
    <row r="1236" spans="1:15" x14ac:dyDescent="0.4">
      <c r="A1236" t="s">
        <v>1594</v>
      </c>
      <c r="B1236">
        <v>50</v>
      </c>
      <c r="C1236" t="s">
        <v>1</v>
      </c>
      <c r="D1236">
        <v>11</v>
      </c>
      <c r="E1236" t="s">
        <v>192</v>
      </c>
      <c r="F1236">
        <v>1353</v>
      </c>
      <c r="G1236" t="s">
        <v>1017</v>
      </c>
      <c r="I1236">
        <v>10000990</v>
      </c>
      <c r="J1236" t="s">
        <v>2602</v>
      </c>
      <c r="K1236">
        <v>800159</v>
      </c>
      <c r="L1236">
        <v>1</v>
      </c>
      <c r="M1236" t="s">
        <v>1596</v>
      </c>
      <c r="N1236" t="s">
        <v>254</v>
      </c>
      <c r="O1236">
        <v>1395600</v>
      </c>
    </row>
    <row r="1237" spans="1:15" x14ac:dyDescent="0.4">
      <c r="A1237" t="s">
        <v>1523</v>
      </c>
      <c r="B1237">
        <v>50</v>
      </c>
      <c r="C1237" t="s">
        <v>1</v>
      </c>
      <c r="D1237">
        <v>11</v>
      </c>
      <c r="E1237" t="s">
        <v>192</v>
      </c>
      <c r="F1237">
        <v>1353</v>
      </c>
      <c r="G1237" t="s">
        <v>1017</v>
      </c>
      <c r="I1237">
        <v>10000992</v>
      </c>
      <c r="J1237" t="s">
        <v>2603</v>
      </c>
      <c r="K1237">
        <v>800159</v>
      </c>
      <c r="L1237">
        <v>1</v>
      </c>
      <c r="M1237" t="s">
        <v>1587</v>
      </c>
      <c r="N1237" t="s">
        <v>261</v>
      </c>
      <c r="O1237">
        <v>792000</v>
      </c>
    </row>
    <row r="1238" spans="1:15" x14ac:dyDescent="0.4">
      <c r="A1238" t="s">
        <v>363</v>
      </c>
      <c r="B1238">
        <v>80</v>
      </c>
      <c r="C1238" t="s">
        <v>4</v>
      </c>
      <c r="D1238">
        <v>81</v>
      </c>
      <c r="E1238" t="s">
        <v>550</v>
      </c>
      <c r="F1238">
        <v>1154</v>
      </c>
      <c r="G1238" t="s">
        <v>1044</v>
      </c>
      <c r="I1238">
        <v>10000997</v>
      </c>
      <c r="J1238" t="s">
        <v>2604</v>
      </c>
      <c r="K1238">
        <v>800159</v>
      </c>
      <c r="L1238">
        <v>1</v>
      </c>
      <c r="M1238" t="s">
        <v>376</v>
      </c>
      <c r="N1238" t="s">
        <v>262</v>
      </c>
      <c r="O1238">
        <v>996000</v>
      </c>
    </row>
    <row r="1239" spans="1:15" x14ac:dyDescent="0.4">
      <c r="A1239" t="s">
        <v>1487</v>
      </c>
      <c r="B1239">
        <v>75</v>
      </c>
      <c r="C1239" t="s">
        <v>5</v>
      </c>
      <c r="D1239">
        <v>51</v>
      </c>
      <c r="E1239" t="s">
        <v>657</v>
      </c>
      <c r="F1239">
        <v>1415</v>
      </c>
      <c r="G1239" t="s">
        <v>1038</v>
      </c>
      <c r="I1239">
        <v>20009172</v>
      </c>
      <c r="J1239" t="s">
        <v>2605</v>
      </c>
      <c r="K1239">
        <v>800157</v>
      </c>
      <c r="L1239">
        <v>1</v>
      </c>
      <c r="M1239" t="s">
        <v>1523</v>
      </c>
      <c r="N1239" t="s">
        <v>312</v>
      </c>
      <c r="O1239">
        <v>784000</v>
      </c>
    </row>
    <row r="1240" spans="1:15" x14ac:dyDescent="0.4">
      <c r="A1240" t="s">
        <v>1548</v>
      </c>
      <c r="B1240">
        <v>75</v>
      </c>
      <c r="C1240" t="s">
        <v>5</v>
      </c>
      <c r="D1240">
        <v>51</v>
      </c>
      <c r="E1240" t="s">
        <v>657</v>
      </c>
      <c r="F1240">
        <v>1415</v>
      </c>
      <c r="G1240" t="s">
        <v>1038</v>
      </c>
      <c r="I1240">
        <v>10000913</v>
      </c>
      <c r="J1240" t="s">
        <v>2606</v>
      </c>
      <c r="K1240">
        <v>800157</v>
      </c>
      <c r="L1240">
        <v>1</v>
      </c>
      <c r="M1240" t="s">
        <v>1586</v>
      </c>
      <c r="N1240" t="s">
        <v>222</v>
      </c>
      <c r="O1240">
        <v>787200</v>
      </c>
    </row>
    <row r="1241" spans="1:15" x14ac:dyDescent="0.4">
      <c r="A1241" t="s">
        <v>238</v>
      </c>
      <c r="B1241">
        <v>70</v>
      </c>
      <c r="C1241" t="s">
        <v>2</v>
      </c>
      <c r="D1241">
        <v>41</v>
      </c>
      <c r="E1241" t="s">
        <v>306</v>
      </c>
      <c r="F1241">
        <v>1298</v>
      </c>
      <c r="G1241" t="s">
        <v>1277</v>
      </c>
      <c r="I1241">
        <v>10000954</v>
      </c>
      <c r="J1241" t="s">
        <v>2607</v>
      </c>
      <c r="K1241">
        <v>800157</v>
      </c>
      <c r="L1241">
        <v>1</v>
      </c>
      <c r="M1241" t="s">
        <v>230</v>
      </c>
      <c r="N1241" t="s">
        <v>233</v>
      </c>
      <c r="O1241">
        <v>844800</v>
      </c>
    </row>
    <row r="1242" spans="1:15" x14ac:dyDescent="0.4">
      <c r="A1242" t="s">
        <v>238</v>
      </c>
      <c r="B1242">
        <v>60</v>
      </c>
      <c r="C1242" t="s">
        <v>3</v>
      </c>
      <c r="D1242">
        <v>33</v>
      </c>
      <c r="E1242" t="s">
        <v>451</v>
      </c>
      <c r="F1242">
        <v>1273</v>
      </c>
      <c r="G1242" t="s">
        <v>1084</v>
      </c>
      <c r="I1242">
        <v>10000961</v>
      </c>
      <c r="J1242" t="s">
        <v>2608</v>
      </c>
      <c r="K1242">
        <v>800157</v>
      </c>
      <c r="L1242">
        <v>1</v>
      </c>
      <c r="M1242" t="s">
        <v>230</v>
      </c>
      <c r="N1242" t="s">
        <v>233</v>
      </c>
      <c r="O1242">
        <v>793600</v>
      </c>
    </row>
    <row r="1243" spans="1:15" x14ac:dyDescent="0.4">
      <c r="A1243" t="s">
        <v>203</v>
      </c>
      <c r="B1243">
        <v>50</v>
      </c>
      <c r="C1243" t="s">
        <v>1</v>
      </c>
      <c r="D1243">
        <v>21</v>
      </c>
      <c r="E1243" t="s">
        <v>182</v>
      </c>
      <c r="F1243">
        <v>1264</v>
      </c>
      <c r="G1243" t="s">
        <v>1023</v>
      </c>
      <c r="I1243">
        <v>10040941</v>
      </c>
      <c r="J1243" t="s">
        <v>2609</v>
      </c>
      <c r="K1243">
        <v>800159</v>
      </c>
      <c r="L1243">
        <v>1</v>
      </c>
      <c r="M1243" t="s">
        <v>290</v>
      </c>
      <c r="N1243" t="s">
        <v>295</v>
      </c>
      <c r="O1243">
        <v>1320000</v>
      </c>
    </row>
    <row r="1244" spans="1:15" x14ac:dyDescent="0.4">
      <c r="A1244" t="s">
        <v>250</v>
      </c>
      <c r="B1244">
        <v>76</v>
      </c>
      <c r="C1244" t="s">
        <v>6</v>
      </c>
      <c r="D1244">
        <v>61</v>
      </c>
      <c r="E1244" t="s">
        <v>703</v>
      </c>
      <c r="F1244">
        <v>1468</v>
      </c>
      <c r="G1244" t="s">
        <v>914</v>
      </c>
      <c r="I1244">
        <v>10000971</v>
      </c>
      <c r="J1244" t="s">
        <v>2610</v>
      </c>
      <c r="K1244">
        <v>800157</v>
      </c>
      <c r="L1244">
        <v>1</v>
      </c>
      <c r="M1244" t="s">
        <v>196</v>
      </c>
      <c r="N1244" t="s">
        <v>213</v>
      </c>
      <c r="O1244">
        <v>784000</v>
      </c>
    </row>
    <row r="1245" spans="1:15" x14ac:dyDescent="0.4">
      <c r="A1245" t="s">
        <v>353</v>
      </c>
      <c r="B1245">
        <v>76</v>
      </c>
      <c r="C1245" t="s">
        <v>6</v>
      </c>
      <c r="D1245">
        <v>61</v>
      </c>
      <c r="E1245" t="s">
        <v>703</v>
      </c>
      <c r="F1245">
        <v>1563</v>
      </c>
      <c r="G1245" t="s">
        <v>942</v>
      </c>
      <c r="I1245">
        <v>10000974</v>
      </c>
      <c r="J1245" t="s">
        <v>2611</v>
      </c>
      <c r="K1245">
        <v>800159</v>
      </c>
      <c r="L1245">
        <v>1</v>
      </c>
      <c r="M1245" t="s">
        <v>220</v>
      </c>
      <c r="N1245" t="s">
        <v>225</v>
      </c>
      <c r="O1245">
        <v>1320000</v>
      </c>
    </row>
    <row r="1246" spans="1:15" x14ac:dyDescent="0.4">
      <c r="A1246" t="s">
        <v>275</v>
      </c>
      <c r="B1246">
        <v>60</v>
      </c>
      <c r="C1246" t="s">
        <v>3</v>
      </c>
      <c r="D1246">
        <v>31</v>
      </c>
      <c r="E1246" t="s">
        <v>447</v>
      </c>
      <c r="F1246">
        <v>1299</v>
      </c>
      <c r="G1246" t="s">
        <v>947</v>
      </c>
      <c r="I1246">
        <v>10000976</v>
      </c>
      <c r="J1246" t="s">
        <v>2612</v>
      </c>
      <c r="K1246">
        <v>800159</v>
      </c>
      <c r="L1246">
        <v>1</v>
      </c>
      <c r="M1246" t="s">
        <v>281</v>
      </c>
      <c r="N1246" t="s">
        <v>246</v>
      </c>
      <c r="O1246">
        <v>828000</v>
      </c>
    </row>
    <row r="1247" spans="1:15" x14ac:dyDescent="0.4">
      <c r="A1247" t="s">
        <v>1596</v>
      </c>
      <c r="B1247">
        <v>60</v>
      </c>
      <c r="C1247" t="s">
        <v>3</v>
      </c>
      <c r="D1247">
        <v>33</v>
      </c>
      <c r="E1247" t="s">
        <v>451</v>
      </c>
      <c r="F1247">
        <v>1273</v>
      </c>
      <c r="G1247" t="s">
        <v>1084</v>
      </c>
      <c r="I1247">
        <v>10001006</v>
      </c>
      <c r="J1247" t="s">
        <v>2613</v>
      </c>
      <c r="K1247">
        <v>800159</v>
      </c>
      <c r="L1247">
        <v>1</v>
      </c>
      <c r="M1247" t="s">
        <v>268</v>
      </c>
      <c r="N1247" t="s">
        <v>214</v>
      </c>
      <c r="O1247">
        <v>1074000</v>
      </c>
    </row>
    <row r="1248" spans="1:15" x14ac:dyDescent="0.4">
      <c r="A1248" t="s">
        <v>185</v>
      </c>
      <c r="B1248">
        <v>80</v>
      </c>
      <c r="C1248" t="s">
        <v>4</v>
      </c>
      <c r="D1248">
        <v>81</v>
      </c>
      <c r="E1248" t="s">
        <v>550</v>
      </c>
      <c r="F1248">
        <v>1322</v>
      </c>
      <c r="G1248" t="s">
        <v>961</v>
      </c>
      <c r="I1248">
        <v>10001013</v>
      </c>
      <c r="J1248" t="s">
        <v>1876</v>
      </c>
      <c r="K1248">
        <v>800159</v>
      </c>
      <c r="L1248">
        <v>1</v>
      </c>
      <c r="M1248" t="s">
        <v>275</v>
      </c>
      <c r="N1248" t="s">
        <v>234</v>
      </c>
      <c r="O1248">
        <v>1320000</v>
      </c>
    </row>
    <row r="1249" spans="1:15" x14ac:dyDescent="0.4">
      <c r="A1249" t="s">
        <v>281</v>
      </c>
      <c r="B1249">
        <v>70</v>
      </c>
      <c r="C1249" t="s">
        <v>2</v>
      </c>
      <c r="D1249">
        <v>41</v>
      </c>
      <c r="E1249" t="s">
        <v>306</v>
      </c>
      <c r="F1249">
        <v>1445</v>
      </c>
      <c r="G1249" t="s">
        <v>886</v>
      </c>
      <c r="I1249">
        <v>10001014</v>
      </c>
      <c r="J1249" t="s">
        <v>2614</v>
      </c>
      <c r="K1249">
        <v>800157</v>
      </c>
      <c r="L1249">
        <v>1</v>
      </c>
      <c r="M1249" t="s">
        <v>363</v>
      </c>
      <c r="N1249" t="s">
        <v>313</v>
      </c>
      <c r="O1249">
        <v>848000</v>
      </c>
    </row>
    <row r="1250" spans="1:15" x14ac:dyDescent="0.4">
      <c r="A1250" t="s">
        <v>238</v>
      </c>
      <c r="B1250">
        <v>76</v>
      </c>
      <c r="C1250" t="s">
        <v>6</v>
      </c>
      <c r="D1250">
        <v>61</v>
      </c>
      <c r="E1250" t="s">
        <v>703</v>
      </c>
      <c r="F1250">
        <v>1563</v>
      </c>
      <c r="G1250" t="s">
        <v>942</v>
      </c>
      <c r="I1250">
        <v>10000524</v>
      </c>
      <c r="J1250" t="s">
        <v>2615</v>
      </c>
      <c r="K1250">
        <v>800159</v>
      </c>
      <c r="L1250">
        <v>1</v>
      </c>
      <c r="M1250" t="s">
        <v>230</v>
      </c>
      <c r="N1250" t="s">
        <v>235</v>
      </c>
      <c r="O1250">
        <v>1320000</v>
      </c>
    </row>
    <row r="1251" spans="1:15" x14ac:dyDescent="0.4">
      <c r="A1251" t="s">
        <v>275</v>
      </c>
      <c r="B1251">
        <v>76</v>
      </c>
      <c r="C1251" t="s">
        <v>6</v>
      </c>
      <c r="D1251">
        <v>61</v>
      </c>
      <c r="E1251" t="s">
        <v>703</v>
      </c>
      <c r="F1251">
        <v>1475</v>
      </c>
      <c r="G1251" t="s">
        <v>909</v>
      </c>
      <c r="I1251">
        <v>10000532</v>
      </c>
      <c r="J1251" t="s">
        <v>2616</v>
      </c>
      <c r="K1251">
        <v>800159</v>
      </c>
      <c r="L1251">
        <v>1</v>
      </c>
      <c r="M1251" t="s">
        <v>281</v>
      </c>
      <c r="N1251" t="s">
        <v>246</v>
      </c>
      <c r="O1251">
        <v>1320000</v>
      </c>
    </row>
    <row r="1252" spans="1:15" x14ac:dyDescent="0.4">
      <c r="A1252" t="s">
        <v>220</v>
      </c>
      <c r="B1252">
        <v>76</v>
      </c>
      <c r="C1252" t="s">
        <v>6</v>
      </c>
      <c r="D1252">
        <v>61</v>
      </c>
      <c r="E1252" t="s">
        <v>703</v>
      </c>
      <c r="F1252">
        <v>1389</v>
      </c>
      <c r="G1252" t="s">
        <v>1197</v>
      </c>
      <c r="I1252">
        <v>10030694</v>
      </c>
      <c r="J1252" t="s">
        <v>2617</v>
      </c>
      <c r="K1252">
        <v>800159</v>
      </c>
      <c r="L1252">
        <v>1</v>
      </c>
      <c r="M1252" t="s">
        <v>203</v>
      </c>
      <c r="N1252" t="s">
        <v>208</v>
      </c>
      <c r="O1252">
        <v>1476600</v>
      </c>
    </row>
    <row r="1253" spans="1:15" x14ac:dyDescent="0.4">
      <c r="A1253" t="s">
        <v>1594</v>
      </c>
      <c r="B1253">
        <v>50</v>
      </c>
      <c r="C1253" t="s">
        <v>1</v>
      </c>
      <c r="D1253">
        <v>21</v>
      </c>
      <c r="E1253" t="s">
        <v>182</v>
      </c>
      <c r="F1253">
        <v>1166</v>
      </c>
      <c r="G1253" t="s">
        <v>1082</v>
      </c>
      <c r="I1253">
        <v>10000584</v>
      </c>
      <c r="J1253" t="s">
        <v>2618</v>
      </c>
      <c r="K1253">
        <v>800159</v>
      </c>
      <c r="L1253">
        <v>1</v>
      </c>
      <c r="M1253" t="s">
        <v>1596</v>
      </c>
      <c r="N1253" t="s">
        <v>254</v>
      </c>
      <c r="O1253">
        <v>1218000</v>
      </c>
    </row>
    <row r="1254" spans="1:15" x14ac:dyDescent="0.4">
      <c r="A1254" t="s">
        <v>363</v>
      </c>
      <c r="B1254">
        <v>76</v>
      </c>
      <c r="C1254" t="s">
        <v>6</v>
      </c>
      <c r="D1254">
        <v>61</v>
      </c>
      <c r="E1254" t="s">
        <v>703</v>
      </c>
      <c r="F1254">
        <v>1475</v>
      </c>
      <c r="G1254" t="s">
        <v>909</v>
      </c>
      <c r="I1254">
        <v>10050725</v>
      </c>
      <c r="J1254" t="s">
        <v>2619</v>
      </c>
      <c r="K1254">
        <v>800159</v>
      </c>
      <c r="L1254">
        <v>1</v>
      </c>
      <c r="M1254" t="s">
        <v>376</v>
      </c>
      <c r="N1254" t="s">
        <v>262</v>
      </c>
      <c r="O1254">
        <v>1384800</v>
      </c>
    </row>
    <row r="1255" spans="1:15" x14ac:dyDescent="0.4">
      <c r="A1255" t="s">
        <v>376</v>
      </c>
      <c r="B1255">
        <v>50</v>
      </c>
      <c r="C1255" t="s">
        <v>1</v>
      </c>
      <c r="D1255">
        <v>21</v>
      </c>
      <c r="E1255" t="s">
        <v>182</v>
      </c>
      <c r="F1255">
        <v>1345</v>
      </c>
      <c r="G1255" t="s">
        <v>874</v>
      </c>
      <c r="I1255">
        <v>10000603</v>
      </c>
      <c r="J1255" t="s">
        <v>2620</v>
      </c>
      <c r="K1255">
        <v>800157</v>
      </c>
      <c r="L1255">
        <v>1</v>
      </c>
      <c r="M1255" t="s">
        <v>353</v>
      </c>
      <c r="N1255" t="s">
        <v>328</v>
      </c>
      <c r="O1255">
        <v>787200</v>
      </c>
    </row>
    <row r="1256" spans="1:15" x14ac:dyDescent="0.4">
      <c r="A1256" t="s">
        <v>186</v>
      </c>
      <c r="B1256">
        <v>70</v>
      </c>
      <c r="C1256" t="s">
        <v>2</v>
      </c>
      <c r="D1256">
        <v>41</v>
      </c>
      <c r="E1256" t="s">
        <v>306</v>
      </c>
      <c r="F1256">
        <v>1610</v>
      </c>
      <c r="G1256" t="s">
        <v>1352</v>
      </c>
      <c r="I1256">
        <v>10000875</v>
      </c>
      <c r="J1256" t="s">
        <v>2621</v>
      </c>
      <c r="K1256">
        <v>800159</v>
      </c>
      <c r="L1256">
        <v>1</v>
      </c>
      <c r="M1256" t="s">
        <v>238</v>
      </c>
      <c r="N1256" t="s">
        <v>239</v>
      </c>
      <c r="O1256">
        <v>1395600</v>
      </c>
    </row>
    <row r="1257" spans="1:15" x14ac:dyDescent="0.4">
      <c r="A1257" t="s">
        <v>376</v>
      </c>
      <c r="B1257">
        <v>76</v>
      </c>
      <c r="C1257" t="s">
        <v>6</v>
      </c>
      <c r="D1257">
        <v>61</v>
      </c>
      <c r="E1257" t="s">
        <v>703</v>
      </c>
      <c r="F1257">
        <v>1602</v>
      </c>
      <c r="G1257" t="s">
        <v>1013</v>
      </c>
      <c r="I1257">
        <v>10033417</v>
      </c>
      <c r="J1257" t="s">
        <v>2622</v>
      </c>
      <c r="K1257">
        <v>800157</v>
      </c>
      <c r="L1257">
        <v>1</v>
      </c>
      <c r="M1257" t="s">
        <v>353</v>
      </c>
      <c r="N1257" t="s">
        <v>328</v>
      </c>
      <c r="O1257">
        <v>803200</v>
      </c>
    </row>
    <row r="1258" spans="1:15" x14ac:dyDescent="0.4">
      <c r="A1258" t="s">
        <v>1523</v>
      </c>
      <c r="B1258">
        <v>76</v>
      </c>
      <c r="C1258" t="s">
        <v>6</v>
      </c>
      <c r="D1258">
        <v>61</v>
      </c>
      <c r="E1258" t="s">
        <v>703</v>
      </c>
      <c r="F1258">
        <v>1468</v>
      </c>
      <c r="G1258" t="s">
        <v>914</v>
      </c>
      <c r="I1258">
        <v>20008870</v>
      </c>
      <c r="J1258" t="s">
        <v>2623</v>
      </c>
      <c r="K1258">
        <v>800159</v>
      </c>
      <c r="L1258">
        <v>1</v>
      </c>
      <c r="M1258" t="s">
        <v>1587</v>
      </c>
      <c r="N1258" t="s">
        <v>261</v>
      </c>
      <c r="O1258">
        <v>1347000</v>
      </c>
    </row>
    <row r="1259" spans="1:15" x14ac:dyDescent="0.4">
      <c r="A1259" t="s">
        <v>363</v>
      </c>
      <c r="B1259">
        <v>70</v>
      </c>
      <c r="C1259" t="s">
        <v>2</v>
      </c>
      <c r="D1259">
        <v>41</v>
      </c>
      <c r="E1259" t="s">
        <v>306</v>
      </c>
      <c r="F1259">
        <v>1561</v>
      </c>
      <c r="G1259" t="s">
        <v>1070</v>
      </c>
      <c r="I1259">
        <v>10000657</v>
      </c>
      <c r="J1259" t="s">
        <v>2624</v>
      </c>
      <c r="K1259">
        <v>800159</v>
      </c>
      <c r="L1259">
        <v>1</v>
      </c>
      <c r="M1259" t="s">
        <v>376</v>
      </c>
      <c r="N1259" t="s">
        <v>262</v>
      </c>
      <c r="O1259">
        <v>1320000</v>
      </c>
    </row>
    <row r="1260" spans="1:15" x14ac:dyDescent="0.4">
      <c r="A1260" t="s">
        <v>1470</v>
      </c>
      <c r="B1260">
        <v>50</v>
      </c>
      <c r="C1260" t="s">
        <v>1</v>
      </c>
      <c r="D1260">
        <v>11</v>
      </c>
      <c r="E1260" t="s">
        <v>192</v>
      </c>
      <c r="F1260">
        <v>1353</v>
      </c>
      <c r="G1260" t="s">
        <v>1017</v>
      </c>
      <c r="I1260">
        <v>10000672</v>
      </c>
      <c r="J1260" t="s">
        <v>2625</v>
      </c>
      <c r="K1260">
        <v>800157</v>
      </c>
      <c r="L1260">
        <v>1</v>
      </c>
      <c r="M1260" t="s">
        <v>1469</v>
      </c>
      <c r="N1260" t="s">
        <v>197</v>
      </c>
      <c r="O1260">
        <v>933000</v>
      </c>
    </row>
    <row r="1261" spans="1:15" x14ac:dyDescent="0.4">
      <c r="A1261" t="s">
        <v>230</v>
      </c>
      <c r="B1261">
        <v>80</v>
      </c>
      <c r="C1261" t="s">
        <v>4</v>
      </c>
      <c r="D1261">
        <v>81</v>
      </c>
      <c r="E1261" t="s">
        <v>550</v>
      </c>
      <c r="F1261">
        <v>1322</v>
      </c>
      <c r="G1261" t="s">
        <v>961</v>
      </c>
      <c r="I1261">
        <v>20010209</v>
      </c>
      <c r="J1261" t="s">
        <v>2626</v>
      </c>
      <c r="K1261">
        <v>800159</v>
      </c>
      <c r="L1261">
        <v>1</v>
      </c>
      <c r="M1261" t="s">
        <v>242</v>
      </c>
      <c r="N1261" t="s">
        <v>247</v>
      </c>
      <c r="O1261">
        <v>1336200</v>
      </c>
    </row>
    <row r="1262" spans="1:15" x14ac:dyDescent="0.4">
      <c r="A1262" t="s">
        <v>186</v>
      </c>
      <c r="B1262">
        <v>60</v>
      </c>
      <c r="C1262" t="s">
        <v>3</v>
      </c>
      <c r="D1262">
        <v>31</v>
      </c>
      <c r="E1262" t="s">
        <v>447</v>
      </c>
      <c r="F1262">
        <v>1616</v>
      </c>
      <c r="G1262" t="s">
        <v>1659</v>
      </c>
      <c r="I1262">
        <v>10000761</v>
      </c>
      <c r="J1262" t="s">
        <v>2627</v>
      </c>
      <c r="K1262">
        <v>800159</v>
      </c>
      <c r="L1262">
        <v>1</v>
      </c>
      <c r="M1262" t="s">
        <v>238</v>
      </c>
      <c r="N1262" t="s">
        <v>239</v>
      </c>
      <c r="O1262">
        <v>1320000</v>
      </c>
    </row>
    <row r="1263" spans="1:15" x14ac:dyDescent="0.4">
      <c r="A1263" t="s">
        <v>363</v>
      </c>
      <c r="B1263">
        <v>50</v>
      </c>
      <c r="C1263" t="s">
        <v>1</v>
      </c>
      <c r="D1263">
        <v>21</v>
      </c>
      <c r="E1263" t="s">
        <v>182</v>
      </c>
      <c r="F1263">
        <v>1166</v>
      </c>
      <c r="G1263" t="s">
        <v>1082</v>
      </c>
      <c r="I1263">
        <v>10000772</v>
      </c>
      <c r="J1263" t="s">
        <v>2628</v>
      </c>
      <c r="K1263">
        <v>800159</v>
      </c>
      <c r="L1263">
        <v>1</v>
      </c>
      <c r="M1263" t="s">
        <v>376</v>
      </c>
      <c r="N1263" t="s">
        <v>262</v>
      </c>
      <c r="O1263">
        <v>1320000</v>
      </c>
    </row>
    <row r="1264" spans="1:15" x14ac:dyDescent="0.4">
      <c r="A1264" t="s">
        <v>220</v>
      </c>
      <c r="B1264">
        <v>70</v>
      </c>
      <c r="C1264" t="s">
        <v>2</v>
      </c>
      <c r="D1264">
        <v>41</v>
      </c>
      <c r="E1264" t="s">
        <v>306</v>
      </c>
      <c r="F1264">
        <v>1510</v>
      </c>
      <c r="G1264" t="s">
        <v>870</v>
      </c>
      <c r="I1264">
        <v>10000774</v>
      </c>
      <c r="J1264" t="s">
        <v>2629</v>
      </c>
      <c r="K1264">
        <v>800157</v>
      </c>
      <c r="L1264">
        <v>1</v>
      </c>
      <c r="M1264" t="s">
        <v>203</v>
      </c>
      <c r="N1264" t="s">
        <v>206</v>
      </c>
      <c r="O1264">
        <v>787200</v>
      </c>
    </row>
    <row r="1265" spans="1:15" x14ac:dyDescent="0.4">
      <c r="A1265" t="s">
        <v>1586</v>
      </c>
      <c r="B1265">
        <v>50</v>
      </c>
      <c r="C1265" t="s">
        <v>1</v>
      </c>
      <c r="D1265">
        <v>11</v>
      </c>
      <c r="E1265" t="s">
        <v>192</v>
      </c>
      <c r="F1265">
        <v>1085</v>
      </c>
      <c r="G1265" t="s">
        <v>854</v>
      </c>
      <c r="I1265">
        <v>10000776</v>
      </c>
      <c r="J1265" t="s">
        <v>2630</v>
      </c>
      <c r="K1265">
        <v>800159</v>
      </c>
      <c r="L1265">
        <v>1</v>
      </c>
      <c r="M1265" t="s">
        <v>1589</v>
      </c>
      <c r="N1265" t="s">
        <v>207</v>
      </c>
      <c r="O1265">
        <v>1320000</v>
      </c>
    </row>
    <row r="1266" spans="1:15" x14ac:dyDescent="0.4">
      <c r="A1266" t="s">
        <v>196</v>
      </c>
      <c r="B1266">
        <v>60</v>
      </c>
      <c r="C1266" t="s">
        <v>3</v>
      </c>
      <c r="D1266">
        <v>31</v>
      </c>
      <c r="E1266" t="s">
        <v>447</v>
      </c>
      <c r="F1266">
        <v>1616</v>
      </c>
      <c r="G1266" t="s">
        <v>1659</v>
      </c>
      <c r="I1266">
        <v>10000779</v>
      </c>
      <c r="J1266" t="s">
        <v>743</v>
      </c>
      <c r="K1266">
        <v>800159</v>
      </c>
      <c r="L1266">
        <v>1</v>
      </c>
      <c r="M1266" t="s">
        <v>186</v>
      </c>
      <c r="N1266" t="s">
        <v>302</v>
      </c>
      <c r="O1266">
        <v>1325400</v>
      </c>
    </row>
    <row r="1267" spans="1:15" x14ac:dyDescent="0.4">
      <c r="A1267" t="s">
        <v>186</v>
      </c>
      <c r="B1267">
        <v>60</v>
      </c>
      <c r="C1267" t="s">
        <v>3</v>
      </c>
      <c r="D1267">
        <v>31</v>
      </c>
      <c r="E1267" t="s">
        <v>447</v>
      </c>
      <c r="F1267">
        <v>1299</v>
      </c>
      <c r="G1267" t="s">
        <v>947</v>
      </c>
      <c r="I1267">
        <v>10000784</v>
      </c>
      <c r="J1267" t="s">
        <v>309</v>
      </c>
      <c r="K1267">
        <v>800159</v>
      </c>
      <c r="L1267">
        <v>1</v>
      </c>
      <c r="M1267" t="s">
        <v>238</v>
      </c>
      <c r="N1267" t="s">
        <v>239</v>
      </c>
      <c r="O1267">
        <v>1390200</v>
      </c>
    </row>
    <row r="1268" spans="1:15" x14ac:dyDescent="0.4">
      <c r="A1268" t="s">
        <v>1479</v>
      </c>
      <c r="B1268">
        <v>60</v>
      </c>
      <c r="C1268" t="s">
        <v>3</v>
      </c>
      <c r="D1268">
        <v>33</v>
      </c>
      <c r="E1268" t="s">
        <v>451</v>
      </c>
      <c r="F1268">
        <v>1220</v>
      </c>
      <c r="G1268" t="s">
        <v>1343</v>
      </c>
      <c r="I1268">
        <v>10000822</v>
      </c>
      <c r="J1268" t="s">
        <v>2631</v>
      </c>
      <c r="K1268">
        <v>800157</v>
      </c>
      <c r="L1268">
        <v>1</v>
      </c>
      <c r="M1268" t="s">
        <v>1487</v>
      </c>
      <c r="N1268" t="s">
        <v>243</v>
      </c>
      <c r="O1268">
        <v>956800</v>
      </c>
    </row>
    <row r="1269" spans="1:15" x14ac:dyDescent="0.4">
      <c r="A1269" t="s">
        <v>203</v>
      </c>
      <c r="B1269">
        <v>60</v>
      </c>
      <c r="C1269" t="s">
        <v>3</v>
      </c>
      <c r="D1269">
        <v>31</v>
      </c>
      <c r="E1269" t="s">
        <v>447</v>
      </c>
      <c r="F1269">
        <v>1299</v>
      </c>
      <c r="G1269" t="s">
        <v>947</v>
      </c>
      <c r="I1269">
        <v>10000829</v>
      </c>
      <c r="J1269" t="s">
        <v>2632</v>
      </c>
      <c r="K1269">
        <v>800159</v>
      </c>
      <c r="L1269">
        <v>1</v>
      </c>
      <c r="M1269" t="s">
        <v>290</v>
      </c>
      <c r="N1269" t="s">
        <v>295</v>
      </c>
      <c r="O1269">
        <v>1320000</v>
      </c>
    </row>
    <row r="1270" spans="1:15" x14ac:dyDescent="0.4">
      <c r="A1270" t="s">
        <v>268</v>
      </c>
      <c r="B1270">
        <v>80</v>
      </c>
      <c r="C1270" t="s">
        <v>4</v>
      </c>
      <c r="D1270">
        <v>81</v>
      </c>
      <c r="E1270" t="s">
        <v>550</v>
      </c>
      <c r="F1270">
        <v>1378</v>
      </c>
      <c r="G1270" t="s">
        <v>881</v>
      </c>
      <c r="I1270">
        <v>10000847</v>
      </c>
      <c r="J1270" t="s">
        <v>2633</v>
      </c>
      <c r="K1270">
        <v>800159</v>
      </c>
      <c r="L1270">
        <v>1</v>
      </c>
      <c r="M1270" t="s">
        <v>195</v>
      </c>
      <c r="N1270" t="s">
        <v>200</v>
      </c>
      <c r="O1270">
        <v>1379400</v>
      </c>
    </row>
    <row r="1271" spans="1:15" x14ac:dyDescent="0.4">
      <c r="A1271" t="s">
        <v>311</v>
      </c>
      <c r="B1271">
        <v>75</v>
      </c>
      <c r="C1271" t="s">
        <v>5</v>
      </c>
      <c r="D1271">
        <v>51</v>
      </c>
      <c r="E1271" t="s">
        <v>657</v>
      </c>
      <c r="F1271">
        <v>1435</v>
      </c>
      <c r="G1271" t="s">
        <v>860</v>
      </c>
      <c r="I1271">
        <v>10000851</v>
      </c>
      <c r="J1271" t="s">
        <v>2634</v>
      </c>
      <c r="K1271">
        <v>800159</v>
      </c>
      <c r="L1271">
        <v>1</v>
      </c>
      <c r="M1271" t="s">
        <v>258</v>
      </c>
      <c r="N1271" t="s">
        <v>263</v>
      </c>
      <c r="O1271">
        <v>1290000</v>
      </c>
    </row>
    <row r="1272" spans="1:15" x14ac:dyDescent="0.4">
      <c r="A1272" t="s">
        <v>1469</v>
      </c>
      <c r="B1272">
        <v>50</v>
      </c>
      <c r="C1272" t="s">
        <v>1</v>
      </c>
      <c r="D1272">
        <v>21</v>
      </c>
      <c r="E1272" t="s">
        <v>182</v>
      </c>
      <c r="F1272">
        <v>1166</v>
      </c>
      <c r="G1272" t="s">
        <v>1082</v>
      </c>
      <c r="I1272">
        <v>10030878</v>
      </c>
      <c r="J1272" t="s">
        <v>2635</v>
      </c>
      <c r="K1272">
        <v>800157</v>
      </c>
      <c r="L1272">
        <v>1</v>
      </c>
      <c r="M1272" t="s">
        <v>1475</v>
      </c>
      <c r="N1272" t="s">
        <v>187</v>
      </c>
      <c r="O1272">
        <v>784000</v>
      </c>
    </row>
    <row r="1273" spans="1:15" x14ac:dyDescent="0.4">
      <c r="A1273" t="s">
        <v>220</v>
      </c>
      <c r="B1273">
        <v>60</v>
      </c>
      <c r="C1273" t="s">
        <v>3</v>
      </c>
      <c r="D1273">
        <v>31</v>
      </c>
      <c r="E1273" t="s">
        <v>447</v>
      </c>
      <c r="F1273">
        <v>1543</v>
      </c>
      <c r="G1273" t="s">
        <v>1183</v>
      </c>
      <c r="I1273">
        <v>10013069</v>
      </c>
      <c r="J1273" t="s">
        <v>2636</v>
      </c>
      <c r="K1273">
        <v>800159</v>
      </c>
      <c r="L1273">
        <v>1</v>
      </c>
      <c r="M1273" t="s">
        <v>203</v>
      </c>
      <c r="N1273" t="s">
        <v>208</v>
      </c>
      <c r="O1273">
        <v>1401000</v>
      </c>
    </row>
    <row r="1274" spans="1:15" x14ac:dyDescent="0.4">
      <c r="A1274" t="s">
        <v>230</v>
      </c>
      <c r="B1274">
        <v>60</v>
      </c>
      <c r="C1274" t="s">
        <v>3</v>
      </c>
      <c r="D1274">
        <v>33</v>
      </c>
      <c r="E1274" t="s">
        <v>451</v>
      </c>
      <c r="F1274">
        <v>1273</v>
      </c>
      <c r="G1274" t="s">
        <v>1084</v>
      </c>
      <c r="I1274">
        <v>20007421</v>
      </c>
      <c r="J1274" t="s">
        <v>2637</v>
      </c>
      <c r="K1274">
        <v>800159</v>
      </c>
      <c r="L1274">
        <v>1</v>
      </c>
      <c r="M1274" t="s">
        <v>242</v>
      </c>
      <c r="N1274" t="s">
        <v>247</v>
      </c>
      <c r="O1274">
        <v>1116000</v>
      </c>
    </row>
    <row r="1275" spans="1:15" x14ac:dyDescent="0.4">
      <c r="A1275" t="s">
        <v>1475</v>
      </c>
      <c r="B1275">
        <v>50</v>
      </c>
      <c r="C1275" t="s">
        <v>1</v>
      </c>
      <c r="D1275">
        <v>21</v>
      </c>
      <c r="E1275" t="s">
        <v>182</v>
      </c>
      <c r="F1275">
        <v>1264</v>
      </c>
      <c r="G1275" t="s">
        <v>1023</v>
      </c>
      <c r="I1275">
        <v>10005088</v>
      </c>
      <c r="J1275" t="s">
        <v>2638</v>
      </c>
      <c r="K1275">
        <v>800157</v>
      </c>
      <c r="L1275">
        <v>1</v>
      </c>
      <c r="M1275" t="s">
        <v>1479</v>
      </c>
      <c r="N1275" t="s">
        <v>231</v>
      </c>
      <c r="O1275">
        <v>784000</v>
      </c>
    </row>
    <row r="1276" spans="1:15" x14ac:dyDescent="0.4">
      <c r="A1276" t="s">
        <v>185</v>
      </c>
      <c r="B1276">
        <v>70</v>
      </c>
      <c r="C1276" t="s">
        <v>2</v>
      </c>
      <c r="D1276">
        <v>41</v>
      </c>
      <c r="E1276" t="s">
        <v>306</v>
      </c>
      <c r="F1276">
        <v>1445</v>
      </c>
      <c r="G1276" t="s">
        <v>886</v>
      </c>
      <c r="I1276">
        <v>10024039</v>
      </c>
      <c r="J1276" t="s">
        <v>2639</v>
      </c>
      <c r="K1276">
        <v>800157</v>
      </c>
      <c r="L1276">
        <v>1</v>
      </c>
      <c r="M1276" t="s">
        <v>275</v>
      </c>
      <c r="N1276" t="s">
        <v>232</v>
      </c>
      <c r="O1276">
        <v>784000</v>
      </c>
    </row>
    <row r="1277" spans="1:15" x14ac:dyDescent="0.4">
      <c r="A1277" t="s">
        <v>195</v>
      </c>
      <c r="B1277">
        <v>70</v>
      </c>
      <c r="C1277" t="s">
        <v>2</v>
      </c>
      <c r="D1277">
        <v>41</v>
      </c>
      <c r="E1277" t="s">
        <v>306</v>
      </c>
      <c r="F1277">
        <v>1383</v>
      </c>
      <c r="G1277" t="s">
        <v>957</v>
      </c>
      <c r="I1277">
        <v>20004046</v>
      </c>
      <c r="J1277" t="s">
        <v>201</v>
      </c>
      <c r="K1277">
        <v>800155</v>
      </c>
      <c r="L1277">
        <v>1</v>
      </c>
      <c r="M1277" t="s">
        <v>185</v>
      </c>
      <c r="N1277" t="s">
        <v>186</v>
      </c>
      <c r="O1277">
        <v>345600</v>
      </c>
    </row>
    <row r="1278" spans="1:15" x14ac:dyDescent="0.4">
      <c r="A1278" t="s">
        <v>186</v>
      </c>
      <c r="B1278">
        <v>70</v>
      </c>
      <c r="C1278" t="s">
        <v>2</v>
      </c>
      <c r="D1278">
        <v>41</v>
      </c>
      <c r="E1278" t="s">
        <v>306</v>
      </c>
      <c r="F1278">
        <v>1383</v>
      </c>
      <c r="G1278" t="s">
        <v>957</v>
      </c>
      <c r="I1278">
        <v>20004046</v>
      </c>
      <c r="J1278" t="s">
        <v>201</v>
      </c>
      <c r="K1278">
        <v>800155</v>
      </c>
      <c r="L1278">
        <v>1</v>
      </c>
      <c r="M1278" t="s">
        <v>238</v>
      </c>
      <c r="N1278" t="s">
        <v>187</v>
      </c>
      <c r="O1278">
        <v>354000</v>
      </c>
    </row>
    <row r="1279" spans="1:15" x14ac:dyDescent="0.4">
      <c r="A1279" t="s">
        <v>195</v>
      </c>
      <c r="B1279">
        <v>75</v>
      </c>
      <c r="C1279" t="s">
        <v>5</v>
      </c>
      <c r="D1279">
        <v>51</v>
      </c>
      <c r="E1279" t="s">
        <v>657</v>
      </c>
      <c r="F1279">
        <v>1365</v>
      </c>
      <c r="G1279" t="s">
        <v>1148</v>
      </c>
      <c r="I1279">
        <v>10049198</v>
      </c>
      <c r="J1279" t="s">
        <v>1780</v>
      </c>
      <c r="K1279">
        <v>800159</v>
      </c>
      <c r="L1279">
        <v>1</v>
      </c>
      <c r="M1279" t="s">
        <v>185</v>
      </c>
      <c r="N1279" t="s">
        <v>190</v>
      </c>
      <c r="O1279">
        <v>1336200</v>
      </c>
    </row>
    <row r="1280" spans="1:15" x14ac:dyDescent="0.4">
      <c r="A1280" t="s">
        <v>275</v>
      </c>
      <c r="B1280">
        <v>60</v>
      </c>
      <c r="C1280" t="s">
        <v>3</v>
      </c>
      <c r="D1280">
        <v>33</v>
      </c>
      <c r="E1280" t="s">
        <v>451</v>
      </c>
      <c r="F1280">
        <v>1372</v>
      </c>
      <c r="G1280" t="s">
        <v>992</v>
      </c>
      <c r="I1280">
        <v>10008052</v>
      </c>
      <c r="J1280" t="s">
        <v>2640</v>
      </c>
      <c r="K1280">
        <v>800159</v>
      </c>
      <c r="L1280">
        <v>1</v>
      </c>
      <c r="M1280" t="s">
        <v>281</v>
      </c>
      <c r="N1280" t="s">
        <v>246</v>
      </c>
      <c r="O1280">
        <v>1336200</v>
      </c>
    </row>
    <row r="1281" spans="1:15" x14ac:dyDescent="0.4">
      <c r="A1281" t="s">
        <v>353</v>
      </c>
      <c r="B1281">
        <v>80</v>
      </c>
      <c r="C1281" t="s">
        <v>4</v>
      </c>
      <c r="D1281">
        <v>81</v>
      </c>
      <c r="E1281" t="s">
        <v>550</v>
      </c>
      <c r="F1281">
        <v>1154</v>
      </c>
      <c r="G1281" t="s">
        <v>1044</v>
      </c>
      <c r="I1281">
        <v>10005218</v>
      </c>
      <c r="J1281" t="s">
        <v>2080</v>
      </c>
      <c r="K1281">
        <v>800157</v>
      </c>
      <c r="L1281">
        <v>1</v>
      </c>
      <c r="M1281" t="s">
        <v>220</v>
      </c>
      <c r="N1281" t="s">
        <v>223</v>
      </c>
      <c r="O1281">
        <v>787200</v>
      </c>
    </row>
    <row r="1282" spans="1:15" x14ac:dyDescent="0.4">
      <c r="A1282" t="s">
        <v>238</v>
      </c>
      <c r="B1282">
        <v>50</v>
      </c>
      <c r="C1282" t="s">
        <v>1</v>
      </c>
      <c r="D1282">
        <v>21</v>
      </c>
      <c r="E1282" t="s">
        <v>182</v>
      </c>
      <c r="F1282">
        <v>1264</v>
      </c>
      <c r="G1282" t="s">
        <v>1023</v>
      </c>
      <c r="I1282">
        <v>20004079</v>
      </c>
      <c r="J1282" t="s">
        <v>2641</v>
      </c>
      <c r="K1282">
        <v>800159</v>
      </c>
      <c r="L1282">
        <v>1</v>
      </c>
      <c r="M1282" t="s">
        <v>230</v>
      </c>
      <c r="N1282" t="s">
        <v>235</v>
      </c>
      <c r="O1282">
        <v>1422600</v>
      </c>
    </row>
    <row r="1283" spans="1:15" x14ac:dyDescent="0.4">
      <c r="A1283" t="s">
        <v>250</v>
      </c>
      <c r="B1283">
        <v>50</v>
      </c>
      <c r="C1283" t="s">
        <v>1</v>
      </c>
      <c r="D1283">
        <v>11</v>
      </c>
      <c r="E1283" t="s">
        <v>192</v>
      </c>
      <c r="F1283">
        <v>1085</v>
      </c>
      <c r="G1283" t="s">
        <v>854</v>
      </c>
      <c r="I1283">
        <v>10059631</v>
      </c>
      <c r="J1283" t="s">
        <v>2161</v>
      </c>
      <c r="K1283">
        <v>800159</v>
      </c>
      <c r="L1283">
        <v>1</v>
      </c>
      <c r="M1283" t="s">
        <v>196</v>
      </c>
      <c r="N1283" t="s">
        <v>215</v>
      </c>
      <c r="O1283">
        <v>1390200</v>
      </c>
    </row>
    <row r="1284" spans="1:15" x14ac:dyDescent="0.4">
      <c r="A1284" t="s">
        <v>353</v>
      </c>
      <c r="B1284">
        <v>60</v>
      </c>
      <c r="C1284" t="s">
        <v>3</v>
      </c>
      <c r="D1284">
        <v>31</v>
      </c>
      <c r="E1284" t="s">
        <v>447</v>
      </c>
      <c r="F1284">
        <v>1543</v>
      </c>
      <c r="G1284" t="s">
        <v>1183</v>
      </c>
      <c r="I1284">
        <v>10053320</v>
      </c>
      <c r="J1284" t="s">
        <v>2177</v>
      </c>
      <c r="K1284">
        <v>800159</v>
      </c>
      <c r="L1284">
        <v>1</v>
      </c>
      <c r="M1284" t="s">
        <v>220</v>
      </c>
      <c r="N1284" t="s">
        <v>225</v>
      </c>
      <c r="O1284">
        <v>1336200</v>
      </c>
    </row>
    <row r="1285" spans="1:15" x14ac:dyDescent="0.4">
      <c r="A1285" t="s">
        <v>290</v>
      </c>
      <c r="B1285">
        <v>70</v>
      </c>
      <c r="C1285" t="s">
        <v>2</v>
      </c>
      <c r="D1285">
        <v>41</v>
      </c>
      <c r="E1285" t="s">
        <v>306</v>
      </c>
      <c r="F1285">
        <v>1118</v>
      </c>
      <c r="G1285" t="s">
        <v>1471</v>
      </c>
      <c r="I1285">
        <v>10043289</v>
      </c>
      <c r="J1285" t="s">
        <v>1901</v>
      </c>
      <c r="K1285">
        <v>800157</v>
      </c>
      <c r="L1285">
        <v>1</v>
      </c>
      <c r="M1285" t="s">
        <v>250</v>
      </c>
      <c r="N1285" t="s">
        <v>253</v>
      </c>
      <c r="O1285">
        <v>694800</v>
      </c>
    </row>
    <row r="1286" spans="1:15" x14ac:dyDescent="0.4">
      <c r="A1286" t="s">
        <v>275</v>
      </c>
      <c r="B1286">
        <v>60</v>
      </c>
      <c r="C1286" t="s">
        <v>3</v>
      </c>
      <c r="D1286">
        <v>31</v>
      </c>
      <c r="E1286" t="s">
        <v>447</v>
      </c>
      <c r="F1286">
        <v>1116</v>
      </c>
      <c r="G1286" t="s">
        <v>1075</v>
      </c>
      <c r="I1286">
        <v>20004139</v>
      </c>
      <c r="J1286" t="s">
        <v>2642</v>
      </c>
      <c r="K1286">
        <v>800159</v>
      </c>
      <c r="L1286">
        <v>1</v>
      </c>
      <c r="M1286" t="s">
        <v>281</v>
      </c>
      <c r="N1286" t="s">
        <v>246</v>
      </c>
      <c r="O1286">
        <v>1357800</v>
      </c>
    </row>
    <row r="1287" spans="1:15" x14ac:dyDescent="0.4">
      <c r="A1287" t="s">
        <v>281</v>
      </c>
      <c r="B1287">
        <v>70</v>
      </c>
      <c r="C1287" t="s">
        <v>2</v>
      </c>
      <c r="D1287">
        <v>41</v>
      </c>
      <c r="E1287" t="s">
        <v>306</v>
      </c>
      <c r="F1287">
        <v>1510</v>
      </c>
      <c r="G1287" t="s">
        <v>870</v>
      </c>
      <c r="I1287">
        <v>10053599</v>
      </c>
      <c r="J1287" t="s">
        <v>2643</v>
      </c>
      <c r="K1287">
        <v>800157</v>
      </c>
      <c r="L1287">
        <v>1</v>
      </c>
      <c r="M1287" t="s">
        <v>363</v>
      </c>
      <c r="N1287" t="s">
        <v>313</v>
      </c>
      <c r="O1287">
        <v>838400</v>
      </c>
    </row>
    <row r="1288" spans="1:15" x14ac:dyDescent="0.4">
      <c r="A1288" t="s">
        <v>1587</v>
      </c>
      <c r="B1288">
        <v>76</v>
      </c>
      <c r="C1288" t="s">
        <v>6</v>
      </c>
      <c r="D1288">
        <v>61</v>
      </c>
      <c r="E1288" t="s">
        <v>703</v>
      </c>
      <c r="F1288">
        <v>1389</v>
      </c>
      <c r="G1288" t="s">
        <v>1197</v>
      </c>
      <c r="I1288">
        <v>10013097</v>
      </c>
      <c r="J1288" t="s">
        <v>2644</v>
      </c>
      <c r="K1288">
        <v>800159</v>
      </c>
      <c r="L1288">
        <v>1</v>
      </c>
      <c r="M1288" t="s">
        <v>1548</v>
      </c>
      <c r="N1288" t="s">
        <v>329</v>
      </c>
      <c r="O1288">
        <v>1320000</v>
      </c>
    </row>
    <row r="1289" spans="1:15" x14ac:dyDescent="0.4">
      <c r="A1289" t="s">
        <v>185</v>
      </c>
      <c r="B1289">
        <v>76</v>
      </c>
      <c r="C1289" t="s">
        <v>6</v>
      </c>
      <c r="D1289">
        <v>61</v>
      </c>
      <c r="E1289" t="s">
        <v>703</v>
      </c>
      <c r="F1289">
        <v>1389</v>
      </c>
      <c r="G1289" t="s">
        <v>1197</v>
      </c>
      <c r="I1289">
        <v>10047704</v>
      </c>
      <c r="J1289" t="s">
        <v>2645</v>
      </c>
      <c r="K1289">
        <v>800159</v>
      </c>
      <c r="L1289">
        <v>1</v>
      </c>
      <c r="M1289" t="s">
        <v>275</v>
      </c>
      <c r="N1289" t="s">
        <v>234</v>
      </c>
      <c r="O1289">
        <v>1325400</v>
      </c>
    </row>
    <row r="1290" spans="1:15" x14ac:dyDescent="0.4">
      <c r="A1290" t="s">
        <v>196</v>
      </c>
      <c r="B1290">
        <v>75</v>
      </c>
      <c r="C1290" t="s">
        <v>5</v>
      </c>
      <c r="D1290">
        <v>51</v>
      </c>
      <c r="E1290" t="s">
        <v>657</v>
      </c>
      <c r="F1290">
        <v>1435</v>
      </c>
      <c r="G1290" t="s">
        <v>860</v>
      </c>
      <c r="I1290">
        <v>20010049</v>
      </c>
      <c r="J1290" t="s">
        <v>2646</v>
      </c>
      <c r="K1290">
        <v>800159</v>
      </c>
      <c r="L1290">
        <v>1</v>
      </c>
      <c r="M1290" t="s">
        <v>186</v>
      </c>
      <c r="N1290" t="s">
        <v>302</v>
      </c>
      <c r="O1290">
        <v>1320000</v>
      </c>
    </row>
    <row r="1291" spans="1:15" x14ac:dyDescent="0.4">
      <c r="A1291" t="s">
        <v>1587</v>
      </c>
      <c r="B1291">
        <v>80</v>
      </c>
      <c r="C1291" t="s">
        <v>4</v>
      </c>
      <c r="D1291">
        <v>81</v>
      </c>
      <c r="E1291" t="s">
        <v>550</v>
      </c>
      <c r="F1291">
        <v>1322</v>
      </c>
      <c r="G1291" t="s">
        <v>961</v>
      </c>
      <c r="I1291">
        <v>10031457</v>
      </c>
      <c r="J1291" t="s">
        <v>2647</v>
      </c>
      <c r="K1291">
        <v>800157</v>
      </c>
      <c r="L1291">
        <v>1</v>
      </c>
      <c r="M1291" t="s">
        <v>1548</v>
      </c>
      <c r="N1291" t="s">
        <v>327</v>
      </c>
      <c r="O1291">
        <v>940800</v>
      </c>
    </row>
    <row r="1292" spans="1:15" x14ac:dyDescent="0.4">
      <c r="A1292" t="s">
        <v>1469</v>
      </c>
      <c r="B1292">
        <v>50</v>
      </c>
      <c r="C1292" t="s">
        <v>1</v>
      </c>
      <c r="D1292">
        <v>21</v>
      </c>
      <c r="E1292" t="s">
        <v>182</v>
      </c>
      <c r="F1292">
        <v>1264</v>
      </c>
      <c r="G1292" t="s">
        <v>1023</v>
      </c>
      <c r="I1292">
        <v>20004151</v>
      </c>
      <c r="J1292" t="s">
        <v>2648</v>
      </c>
      <c r="K1292">
        <v>800157</v>
      </c>
      <c r="L1292">
        <v>1</v>
      </c>
      <c r="M1292" t="s">
        <v>1475</v>
      </c>
      <c r="N1292" t="s">
        <v>187</v>
      </c>
      <c r="O1292">
        <v>924000</v>
      </c>
    </row>
    <row r="1293" spans="1:15" x14ac:dyDescent="0.4">
      <c r="A1293" t="s">
        <v>1594</v>
      </c>
      <c r="B1293">
        <v>70</v>
      </c>
      <c r="C1293" t="s">
        <v>2</v>
      </c>
      <c r="D1293">
        <v>41</v>
      </c>
      <c r="E1293" t="s">
        <v>306</v>
      </c>
      <c r="F1293">
        <v>1383</v>
      </c>
      <c r="G1293" t="s">
        <v>957</v>
      </c>
      <c r="I1293">
        <v>20004245</v>
      </c>
      <c r="J1293" t="s">
        <v>2649</v>
      </c>
      <c r="K1293">
        <v>800157</v>
      </c>
      <c r="L1293">
        <v>1</v>
      </c>
      <c r="M1293" t="s">
        <v>1596</v>
      </c>
      <c r="N1293" t="s">
        <v>252</v>
      </c>
      <c r="O1293">
        <v>966000</v>
      </c>
    </row>
    <row r="1294" spans="1:15" x14ac:dyDescent="0.4">
      <c r="A1294" t="s">
        <v>220</v>
      </c>
      <c r="B1294">
        <v>70</v>
      </c>
      <c r="C1294" t="s">
        <v>2</v>
      </c>
      <c r="D1294">
        <v>41</v>
      </c>
      <c r="E1294" t="s">
        <v>306</v>
      </c>
      <c r="F1294">
        <v>1383</v>
      </c>
      <c r="G1294" t="s">
        <v>957</v>
      </c>
      <c r="I1294">
        <v>10058974</v>
      </c>
      <c r="J1294" t="s">
        <v>2650</v>
      </c>
      <c r="K1294">
        <v>800159</v>
      </c>
      <c r="L1294">
        <v>1</v>
      </c>
      <c r="M1294" t="s">
        <v>203</v>
      </c>
      <c r="N1294" t="s">
        <v>208</v>
      </c>
      <c r="O1294">
        <v>1379400</v>
      </c>
    </row>
    <row r="1295" spans="1:15" x14ac:dyDescent="0.4">
      <c r="A1295" t="s">
        <v>275</v>
      </c>
      <c r="B1295">
        <v>76</v>
      </c>
      <c r="C1295" t="s">
        <v>6</v>
      </c>
      <c r="D1295">
        <v>61</v>
      </c>
      <c r="E1295" t="s">
        <v>703</v>
      </c>
      <c r="F1295">
        <v>1602</v>
      </c>
      <c r="G1295" t="s">
        <v>1013</v>
      </c>
      <c r="I1295">
        <v>10005216</v>
      </c>
      <c r="J1295" t="s">
        <v>2312</v>
      </c>
      <c r="K1295">
        <v>800159</v>
      </c>
      <c r="L1295">
        <v>1</v>
      </c>
      <c r="M1295" t="s">
        <v>281</v>
      </c>
      <c r="N1295" t="s">
        <v>246</v>
      </c>
      <c r="O1295">
        <v>1320000</v>
      </c>
    </row>
    <row r="1296" spans="1:15" x14ac:dyDescent="0.4">
      <c r="A1296" t="s">
        <v>185</v>
      </c>
      <c r="B1296">
        <v>50</v>
      </c>
      <c r="C1296" t="s">
        <v>1</v>
      </c>
      <c r="D1296">
        <v>21</v>
      </c>
      <c r="E1296" t="s">
        <v>182</v>
      </c>
      <c r="F1296">
        <v>1264</v>
      </c>
      <c r="G1296" t="s">
        <v>1023</v>
      </c>
      <c r="I1296">
        <v>20003613</v>
      </c>
      <c r="J1296" t="s">
        <v>2651</v>
      </c>
      <c r="K1296">
        <v>800159</v>
      </c>
      <c r="L1296">
        <v>1</v>
      </c>
      <c r="M1296" t="s">
        <v>275</v>
      </c>
      <c r="N1296" t="s">
        <v>234</v>
      </c>
      <c r="O1296">
        <v>1344000</v>
      </c>
    </row>
    <row r="1297" spans="1:15" x14ac:dyDescent="0.4">
      <c r="A1297" t="s">
        <v>363</v>
      </c>
      <c r="B1297">
        <v>50</v>
      </c>
      <c r="C1297" t="s">
        <v>1</v>
      </c>
      <c r="D1297">
        <v>21</v>
      </c>
      <c r="E1297" t="s">
        <v>182</v>
      </c>
      <c r="F1297">
        <v>1166</v>
      </c>
      <c r="G1297" t="s">
        <v>1082</v>
      </c>
      <c r="I1297">
        <v>20003584</v>
      </c>
      <c r="J1297" t="s">
        <v>2652</v>
      </c>
      <c r="K1297">
        <v>800157</v>
      </c>
      <c r="L1297">
        <v>1</v>
      </c>
      <c r="M1297" t="s">
        <v>376</v>
      </c>
      <c r="N1297" t="s">
        <v>260</v>
      </c>
      <c r="O1297">
        <v>784000</v>
      </c>
    </row>
    <row r="1298" spans="1:15" x14ac:dyDescent="0.4">
      <c r="A1298" t="s">
        <v>1469</v>
      </c>
      <c r="B1298">
        <v>75</v>
      </c>
      <c r="C1298" t="s">
        <v>5</v>
      </c>
      <c r="D1298">
        <v>51</v>
      </c>
      <c r="E1298" t="s">
        <v>657</v>
      </c>
      <c r="F1298">
        <v>1435</v>
      </c>
      <c r="G1298" t="s">
        <v>860</v>
      </c>
      <c r="I1298">
        <v>10005305</v>
      </c>
      <c r="J1298" t="s">
        <v>2653</v>
      </c>
      <c r="K1298">
        <v>800157</v>
      </c>
      <c r="L1298">
        <v>1</v>
      </c>
      <c r="M1298" t="s">
        <v>1475</v>
      </c>
      <c r="N1298" t="s">
        <v>187</v>
      </c>
      <c r="O1298">
        <v>784000</v>
      </c>
    </row>
    <row r="1299" spans="1:15" x14ac:dyDescent="0.4">
      <c r="A1299" t="s">
        <v>268</v>
      </c>
      <c r="B1299">
        <v>76</v>
      </c>
      <c r="C1299" t="s">
        <v>6</v>
      </c>
      <c r="D1299">
        <v>61</v>
      </c>
      <c r="E1299" t="s">
        <v>703</v>
      </c>
      <c r="F1299">
        <v>1468</v>
      </c>
      <c r="G1299" t="s">
        <v>914</v>
      </c>
      <c r="I1299">
        <v>10055283</v>
      </c>
      <c r="J1299" t="s">
        <v>2654</v>
      </c>
      <c r="K1299">
        <v>800159</v>
      </c>
      <c r="L1299">
        <v>1</v>
      </c>
      <c r="M1299" t="s">
        <v>195</v>
      </c>
      <c r="N1299" t="s">
        <v>200</v>
      </c>
      <c r="O1299">
        <v>1352400</v>
      </c>
    </row>
    <row r="1300" spans="1:15" x14ac:dyDescent="0.4">
      <c r="A1300" t="s">
        <v>1548</v>
      </c>
      <c r="B1300">
        <v>60</v>
      </c>
      <c r="C1300" t="s">
        <v>3</v>
      </c>
      <c r="D1300">
        <v>33</v>
      </c>
      <c r="E1300" t="s">
        <v>451</v>
      </c>
      <c r="F1300">
        <v>1372</v>
      </c>
      <c r="G1300" t="s">
        <v>992</v>
      </c>
      <c r="I1300">
        <v>10005367</v>
      </c>
      <c r="J1300" t="s">
        <v>2655</v>
      </c>
      <c r="K1300">
        <v>800157</v>
      </c>
      <c r="L1300">
        <v>1</v>
      </c>
      <c r="M1300" t="s">
        <v>1586</v>
      </c>
      <c r="N1300" t="s">
        <v>222</v>
      </c>
      <c r="O1300">
        <v>787200</v>
      </c>
    </row>
    <row r="1301" spans="1:15" x14ac:dyDescent="0.4">
      <c r="A1301" t="s">
        <v>1587</v>
      </c>
      <c r="B1301">
        <v>60</v>
      </c>
      <c r="C1301" t="s">
        <v>3</v>
      </c>
      <c r="D1301">
        <v>31</v>
      </c>
      <c r="E1301" t="s">
        <v>447</v>
      </c>
      <c r="F1301">
        <v>1299</v>
      </c>
      <c r="G1301" t="s">
        <v>947</v>
      </c>
      <c r="I1301">
        <v>20009513</v>
      </c>
      <c r="J1301" t="s">
        <v>2656</v>
      </c>
      <c r="K1301">
        <v>800157</v>
      </c>
      <c r="L1301">
        <v>1</v>
      </c>
      <c r="M1301" t="s">
        <v>1548</v>
      </c>
      <c r="N1301" t="s">
        <v>327</v>
      </c>
      <c r="O1301">
        <v>803200</v>
      </c>
    </row>
    <row r="1302" spans="1:15" x14ac:dyDescent="0.4">
      <c r="A1302" t="s">
        <v>1594</v>
      </c>
      <c r="B1302">
        <v>70</v>
      </c>
      <c r="C1302" t="s">
        <v>2</v>
      </c>
      <c r="D1302">
        <v>41</v>
      </c>
      <c r="E1302" t="s">
        <v>306</v>
      </c>
      <c r="F1302">
        <v>1561</v>
      </c>
      <c r="G1302" t="s">
        <v>1070</v>
      </c>
      <c r="I1302">
        <v>10082385</v>
      </c>
      <c r="J1302" t="s">
        <v>2657</v>
      </c>
      <c r="K1302">
        <v>800157</v>
      </c>
      <c r="L1302">
        <v>1</v>
      </c>
      <c r="M1302" t="s">
        <v>1596</v>
      </c>
      <c r="N1302" t="s">
        <v>252</v>
      </c>
      <c r="O1302">
        <v>784000</v>
      </c>
    </row>
    <row r="1303" spans="1:15" x14ac:dyDescent="0.4">
      <c r="A1303" t="s">
        <v>268</v>
      </c>
      <c r="B1303">
        <v>80</v>
      </c>
      <c r="C1303" t="s">
        <v>4</v>
      </c>
      <c r="D1303">
        <v>81</v>
      </c>
      <c r="E1303" t="s">
        <v>550</v>
      </c>
      <c r="F1303">
        <v>1436</v>
      </c>
      <c r="G1303" t="s">
        <v>918</v>
      </c>
      <c r="I1303">
        <v>10005445</v>
      </c>
      <c r="J1303" t="s">
        <v>2658</v>
      </c>
      <c r="K1303">
        <v>800159</v>
      </c>
      <c r="L1303">
        <v>1</v>
      </c>
      <c r="M1303" t="s">
        <v>195</v>
      </c>
      <c r="N1303" t="s">
        <v>200</v>
      </c>
      <c r="O1303">
        <v>1320000</v>
      </c>
    </row>
    <row r="1304" spans="1:15" x14ac:dyDescent="0.4">
      <c r="A1304" t="s">
        <v>185</v>
      </c>
      <c r="B1304">
        <v>75</v>
      </c>
      <c r="C1304" t="s">
        <v>5</v>
      </c>
      <c r="D1304">
        <v>51</v>
      </c>
      <c r="E1304" t="s">
        <v>657</v>
      </c>
      <c r="F1304">
        <v>1415</v>
      </c>
      <c r="G1304" t="s">
        <v>1038</v>
      </c>
      <c r="I1304">
        <v>10005487</v>
      </c>
      <c r="J1304" t="s">
        <v>2659</v>
      </c>
      <c r="K1304">
        <v>800159</v>
      </c>
      <c r="L1304">
        <v>1</v>
      </c>
      <c r="M1304" t="s">
        <v>275</v>
      </c>
      <c r="N1304" t="s">
        <v>234</v>
      </c>
      <c r="O1304">
        <v>1368600</v>
      </c>
    </row>
    <row r="1305" spans="1:15" x14ac:dyDescent="0.4">
      <c r="A1305" t="s">
        <v>238</v>
      </c>
      <c r="B1305">
        <v>70</v>
      </c>
      <c r="C1305" t="s">
        <v>2</v>
      </c>
      <c r="D1305">
        <v>41</v>
      </c>
      <c r="E1305" t="s">
        <v>306</v>
      </c>
      <c r="F1305">
        <v>1561</v>
      </c>
      <c r="G1305" t="s">
        <v>1070</v>
      </c>
      <c r="I1305">
        <v>10005564</v>
      </c>
      <c r="J1305" t="s">
        <v>2660</v>
      </c>
      <c r="K1305">
        <v>800159</v>
      </c>
      <c r="L1305">
        <v>1</v>
      </c>
      <c r="M1305" t="s">
        <v>230</v>
      </c>
      <c r="N1305" t="s">
        <v>235</v>
      </c>
      <c r="O1305">
        <v>1492800</v>
      </c>
    </row>
    <row r="1306" spans="1:15" x14ac:dyDescent="0.4">
      <c r="A1306" t="s">
        <v>242</v>
      </c>
      <c r="B1306">
        <v>80</v>
      </c>
      <c r="C1306" t="s">
        <v>4</v>
      </c>
      <c r="D1306">
        <v>81</v>
      </c>
      <c r="E1306" t="s">
        <v>550</v>
      </c>
      <c r="F1306">
        <v>1154</v>
      </c>
      <c r="G1306" t="s">
        <v>1044</v>
      </c>
      <c r="I1306">
        <v>10038548</v>
      </c>
      <c r="J1306" t="s">
        <v>2661</v>
      </c>
      <c r="K1306">
        <v>800157</v>
      </c>
      <c r="L1306">
        <v>1</v>
      </c>
      <c r="M1306" t="s">
        <v>311</v>
      </c>
      <c r="N1306" t="s">
        <v>314</v>
      </c>
      <c r="O1306">
        <v>796800</v>
      </c>
    </row>
    <row r="1307" spans="1:15" x14ac:dyDescent="0.4">
      <c r="A1307" t="s">
        <v>1589</v>
      </c>
      <c r="B1307">
        <v>76</v>
      </c>
      <c r="C1307" t="s">
        <v>6</v>
      </c>
      <c r="D1307">
        <v>61</v>
      </c>
      <c r="E1307" t="s">
        <v>703</v>
      </c>
      <c r="F1307">
        <v>1468</v>
      </c>
      <c r="G1307" t="s">
        <v>914</v>
      </c>
      <c r="I1307">
        <v>20008738</v>
      </c>
      <c r="J1307" t="s">
        <v>2662</v>
      </c>
      <c r="K1307">
        <v>800157</v>
      </c>
      <c r="L1307">
        <v>1</v>
      </c>
      <c r="M1307" t="s">
        <v>1594</v>
      </c>
      <c r="N1307" t="s">
        <v>292</v>
      </c>
      <c r="O1307">
        <v>796800</v>
      </c>
    </row>
    <row r="1308" spans="1:15" x14ac:dyDescent="0.4">
      <c r="A1308" t="s">
        <v>1487</v>
      </c>
      <c r="B1308">
        <v>75</v>
      </c>
      <c r="C1308" t="s">
        <v>5</v>
      </c>
      <c r="D1308">
        <v>51</v>
      </c>
      <c r="E1308" t="s">
        <v>657</v>
      </c>
      <c r="F1308">
        <v>1415</v>
      </c>
      <c r="G1308" t="s">
        <v>1038</v>
      </c>
      <c r="I1308">
        <v>10005770</v>
      </c>
      <c r="J1308" t="s">
        <v>2663</v>
      </c>
      <c r="K1308">
        <v>800157</v>
      </c>
      <c r="L1308">
        <v>1</v>
      </c>
      <c r="M1308" t="s">
        <v>1523</v>
      </c>
      <c r="N1308" t="s">
        <v>312</v>
      </c>
      <c r="O1308">
        <v>648000</v>
      </c>
    </row>
    <row r="1309" spans="1:15" x14ac:dyDescent="0.4">
      <c r="A1309" t="s">
        <v>376</v>
      </c>
      <c r="B1309">
        <v>50</v>
      </c>
      <c r="C1309" t="s">
        <v>1</v>
      </c>
      <c r="D1309">
        <v>21</v>
      </c>
      <c r="E1309" t="s">
        <v>182</v>
      </c>
      <c r="F1309">
        <v>1264</v>
      </c>
      <c r="G1309" t="s">
        <v>1023</v>
      </c>
      <c r="I1309">
        <v>10057561</v>
      </c>
      <c r="J1309" t="s">
        <v>2664</v>
      </c>
      <c r="K1309">
        <v>800159</v>
      </c>
      <c r="L1309">
        <v>1</v>
      </c>
      <c r="M1309" t="s">
        <v>353</v>
      </c>
      <c r="N1309" t="s">
        <v>330</v>
      </c>
      <c r="O1309">
        <v>1514400</v>
      </c>
    </row>
    <row r="1310" spans="1:15" x14ac:dyDescent="0.4">
      <c r="A1310" t="s">
        <v>311</v>
      </c>
      <c r="B1310">
        <v>60</v>
      </c>
      <c r="C1310" t="s">
        <v>3</v>
      </c>
      <c r="D1310">
        <v>31</v>
      </c>
      <c r="E1310" t="s">
        <v>447</v>
      </c>
      <c r="F1310">
        <v>1616</v>
      </c>
      <c r="G1310" t="s">
        <v>1659</v>
      </c>
      <c r="I1310">
        <v>20003745</v>
      </c>
      <c r="J1310" t="s">
        <v>2665</v>
      </c>
      <c r="K1310">
        <v>800159</v>
      </c>
      <c r="L1310">
        <v>1</v>
      </c>
      <c r="M1310" t="s">
        <v>258</v>
      </c>
      <c r="N1310" t="s">
        <v>263</v>
      </c>
      <c r="O1310">
        <v>1325400</v>
      </c>
    </row>
    <row r="1311" spans="1:15" x14ac:dyDescent="0.4">
      <c r="A1311" t="s">
        <v>185</v>
      </c>
      <c r="B1311">
        <v>70</v>
      </c>
      <c r="C1311" t="s">
        <v>2</v>
      </c>
      <c r="D1311">
        <v>41</v>
      </c>
      <c r="E1311" t="s">
        <v>306</v>
      </c>
      <c r="F1311">
        <v>1561</v>
      </c>
      <c r="G1311" t="s">
        <v>1070</v>
      </c>
      <c r="I1311">
        <v>20002067</v>
      </c>
      <c r="J1311" t="s">
        <v>2666</v>
      </c>
      <c r="K1311">
        <v>800157</v>
      </c>
      <c r="L1311">
        <v>1</v>
      </c>
      <c r="M1311" t="s">
        <v>275</v>
      </c>
      <c r="N1311" t="s">
        <v>232</v>
      </c>
      <c r="O1311">
        <v>796800</v>
      </c>
    </row>
    <row r="1312" spans="1:15" x14ac:dyDescent="0.4">
      <c r="A1312" t="s">
        <v>1523</v>
      </c>
      <c r="B1312">
        <v>50</v>
      </c>
      <c r="C1312" t="s">
        <v>1</v>
      </c>
      <c r="D1312">
        <v>11</v>
      </c>
      <c r="E1312" t="s">
        <v>192</v>
      </c>
      <c r="F1312">
        <v>1353</v>
      </c>
      <c r="G1312" t="s">
        <v>1017</v>
      </c>
      <c r="I1312">
        <v>10029970</v>
      </c>
      <c r="J1312" t="s">
        <v>399</v>
      </c>
      <c r="K1312">
        <v>800159</v>
      </c>
      <c r="L1312">
        <v>1</v>
      </c>
      <c r="M1312" t="s">
        <v>1587</v>
      </c>
      <c r="N1312" t="s">
        <v>261</v>
      </c>
      <c r="O1312">
        <v>1320000</v>
      </c>
    </row>
    <row r="1313" spans="1:15" x14ac:dyDescent="0.4">
      <c r="A1313" t="s">
        <v>186</v>
      </c>
      <c r="B1313">
        <v>76</v>
      </c>
      <c r="C1313" t="s">
        <v>6</v>
      </c>
      <c r="D1313">
        <v>61</v>
      </c>
      <c r="E1313" t="s">
        <v>703</v>
      </c>
      <c r="F1313">
        <v>1475</v>
      </c>
      <c r="G1313" t="s">
        <v>909</v>
      </c>
      <c r="I1313">
        <v>10037718</v>
      </c>
      <c r="J1313" t="s">
        <v>2667</v>
      </c>
      <c r="K1313">
        <v>800159</v>
      </c>
      <c r="L1313">
        <v>1</v>
      </c>
      <c r="M1313" t="s">
        <v>238</v>
      </c>
      <c r="N1313" t="s">
        <v>239</v>
      </c>
      <c r="O1313">
        <v>1492800</v>
      </c>
    </row>
    <row r="1314" spans="1:15" x14ac:dyDescent="0.4">
      <c r="A1314" t="s">
        <v>230</v>
      </c>
      <c r="B1314">
        <v>76</v>
      </c>
      <c r="C1314" t="s">
        <v>6</v>
      </c>
      <c r="D1314">
        <v>61</v>
      </c>
      <c r="E1314" t="s">
        <v>703</v>
      </c>
      <c r="F1314">
        <v>1563</v>
      </c>
      <c r="G1314" t="s">
        <v>942</v>
      </c>
      <c r="I1314">
        <v>10053062</v>
      </c>
      <c r="J1314" t="s">
        <v>2668</v>
      </c>
      <c r="K1314">
        <v>800159</v>
      </c>
      <c r="L1314">
        <v>1</v>
      </c>
      <c r="M1314" t="s">
        <v>242</v>
      </c>
      <c r="N1314" t="s">
        <v>247</v>
      </c>
      <c r="O1314">
        <v>1320000</v>
      </c>
    </row>
    <row r="1315" spans="1:15" x14ac:dyDescent="0.4">
      <c r="A1315" t="s">
        <v>1586</v>
      </c>
      <c r="B1315">
        <v>76</v>
      </c>
      <c r="C1315" t="s">
        <v>6</v>
      </c>
      <c r="D1315">
        <v>61</v>
      </c>
      <c r="E1315" t="s">
        <v>703</v>
      </c>
      <c r="F1315">
        <v>1475</v>
      </c>
      <c r="G1315" t="s">
        <v>909</v>
      </c>
      <c r="I1315">
        <v>20002120</v>
      </c>
      <c r="J1315" t="s">
        <v>2669</v>
      </c>
      <c r="K1315">
        <v>800159</v>
      </c>
      <c r="L1315">
        <v>1</v>
      </c>
      <c r="M1315" t="s">
        <v>1589</v>
      </c>
      <c r="N1315" t="s">
        <v>207</v>
      </c>
      <c r="O1315">
        <v>1449600</v>
      </c>
    </row>
    <row r="1316" spans="1:15" x14ac:dyDescent="0.4">
      <c r="A1316" t="s">
        <v>1523</v>
      </c>
      <c r="B1316">
        <v>50</v>
      </c>
      <c r="C1316" t="s">
        <v>1</v>
      </c>
      <c r="D1316">
        <v>21</v>
      </c>
      <c r="E1316" t="s">
        <v>182</v>
      </c>
      <c r="F1316">
        <v>1345</v>
      </c>
      <c r="G1316" t="s">
        <v>874</v>
      </c>
      <c r="I1316">
        <v>10010392</v>
      </c>
      <c r="J1316" t="s">
        <v>1806</v>
      </c>
      <c r="K1316">
        <v>800158</v>
      </c>
      <c r="L1316">
        <v>1</v>
      </c>
      <c r="M1316" t="s">
        <v>1587</v>
      </c>
      <c r="N1316" t="s">
        <v>260</v>
      </c>
      <c r="O1316">
        <v>1202500</v>
      </c>
    </row>
    <row r="1317" spans="1:15" x14ac:dyDescent="0.4">
      <c r="A1317" t="s">
        <v>1479</v>
      </c>
      <c r="B1317">
        <v>50</v>
      </c>
      <c r="C1317" t="s">
        <v>1</v>
      </c>
      <c r="D1317">
        <v>21</v>
      </c>
      <c r="E1317" t="s">
        <v>182</v>
      </c>
      <c r="F1317">
        <v>1264</v>
      </c>
      <c r="G1317" t="s">
        <v>1023</v>
      </c>
      <c r="I1317">
        <v>20002139</v>
      </c>
      <c r="J1317" t="s">
        <v>2670</v>
      </c>
      <c r="K1317">
        <v>800157</v>
      </c>
      <c r="L1317">
        <v>1</v>
      </c>
      <c r="M1317" t="s">
        <v>1487</v>
      </c>
      <c r="N1317" t="s">
        <v>243</v>
      </c>
      <c r="O1317">
        <v>793600</v>
      </c>
    </row>
    <row r="1318" spans="1:15" x14ac:dyDescent="0.4">
      <c r="A1318" t="s">
        <v>185</v>
      </c>
      <c r="B1318">
        <v>80</v>
      </c>
      <c r="C1318" t="s">
        <v>4</v>
      </c>
      <c r="D1318">
        <v>81</v>
      </c>
      <c r="E1318" t="s">
        <v>550</v>
      </c>
      <c r="F1318">
        <v>1436</v>
      </c>
      <c r="G1318" t="s">
        <v>918</v>
      </c>
      <c r="I1318">
        <v>10068100</v>
      </c>
      <c r="J1318" t="s">
        <v>2671</v>
      </c>
      <c r="K1318">
        <v>800159</v>
      </c>
      <c r="L1318">
        <v>1</v>
      </c>
      <c r="M1318" t="s">
        <v>275</v>
      </c>
      <c r="N1318" t="s">
        <v>234</v>
      </c>
      <c r="O1318">
        <v>1503600</v>
      </c>
    </row>
    <row r="1319" spans="1:15" x14ac:dyDescent="0.4">
      <c r="A1319" t="s">
        <v>1475</v>
      </c>
      <c r="B1319">
        <v>60</v>
      </c>
      <c r="C1319" t="s">
        <v>3</v>
      </c>
      <c r="D1319">
        <v>33</v>
      </c>
      <c r="E1319" t="s">
        <v>451</v>
      </c>
      <c r="F1319">
        <v>1372</v>
      </c>
      <c r="G1319" t="s">
        <v>992</v>
      </c>
      <c r="I1319">
        <v>20002159</v>
      </c>
      <c r="J1319" t="s">
        <v>2672</v>
      </c>
      <c r="K1319">
        <v>800157</v>
      </c>
      <c r="L1319">
        <v>1</v>
      </c>
      <c r="M1319" t="s">
        <v>1479</v>
      </c>
      <c r="N1319" t="s">
        <v>231</v>
      </c>
      <c r="O1319">
        <v>784000</v>
      </c>
    </row>
    <row r="1320" spans="1:15" x14ac:dyDescent="0.4">
      <c r="A1320" t="s">
        <v>268</v>
      </c>
      <c r="B1320">
        <v>70</v>
      </c>
      <c r="C1320" t="s">
        <v>2</v>
      </c>
      <c r="D1320">
        <v>41</v>
      </c>
      <c r="E1320" t="s">
        <v>306</v>
      </c>
      <c r="F1320">
        <v>1510</v>
      </c>
      <c r="G1320" t="s">
        <v>870</v>
      </c>
      <c r="I1320">
        <v>20002183</v>
      </c>
      <c r="J1320" t="s">
        <v>2673</v>
      </c>
      <c r="K1320">
        <v>800159</v>
      </c>
      <c r="L1320">
        <v>1</v>
      </c>
      <c r="M1320" t="s">
        <v>195</v>
      </c>
      <c r="N1320" t="s">
        <v>200</v>
      </c>
      <c r="O1320">
        <v>1618000</v>
      </c>
    </row>
    <row r="1321" spans="1:15" x14ac:dyDescent="0.4">
      <c r="A1321" t="s">
        <v>203</v>
      </c>
      <c r="B1321">
        <v>60</v>
      </c>
      <c r="C1321" t="s">
        <v>3</v>
      </c>
      <c r="D1321">
        <v>33</v>
      </c>
      <c r="E1321" t="s">
        <v>451</v>
      </c>
      <c r="F1321">
        <v>1372</v>
      </c>
      <c r="G1321" t="s">
        <v>992</v>
      </c>
      <c r="I1321">
        <v>20002215</v>
      </c>
      <c r="J1321" t="s">
        <v>2674</v>
      </c>
      <c r="K1321">
        <v>800159</v>
      </c>
      <c r="L1321">
        <v>1</v>
      </c>
      <c r="M1321" t="s">
        <v>290</v>
      </c>
      <c r="N1321" t="s">
        <v>295</v>
      </c>
      <c r="O1321">
        <v>1379400</v>
      </c>
    </row>
    <row r="1322" spans="1:15" x14ac:dyDescent="0.4">
      <c r="A1322" t="s">
        <v>268</v>
      </c>
      <c r="B1322">
        <v>60</v>
      </c>
      <c r="C1322" t="s">
        <v>3</v>
      </c>
      <c r="D1322">
        <v>31</v>
      </c>
      <c r="E1322" t="s">
        <v>447</v>
      </c>
      <c r="F1322">
        <v>1299</v>
      </c>
      <c r="G1322" t="s">
        <v>947</v>
      </c>
      <c r="I1322">
        <v>10017598</v>
      </c>
      <c r="J1322" t="s">
        <v>2675</v>
      </c>
      <c r="K1322">
        <v>800159</v>
      </c>
      <c r="L1322">
        <v>1</v>
      </c>
      <c r="M1322" t="s">
        <v>195</v>
      </c>
      <c r="N1322" t="s">
        <v>200</v>
      </c>
      <c r="O1322">
        <v>1320000</v>
      </c>
    </row>
    <row r="1323" spans="1:15" x14ac:dyDescent="0.4">
      <c r="A1323" t="s">
        <v>1587</v>
      </c>
      <c r="B1323">
        <v>75</v>
      </c>
      <c r="C1323" t="s">
        <v>5</v>
      </c>
      <c r="D1323">
        <v>51</v>
      </c>
      <c r="E1323" t="s">
        <v>657</v>
      </c>
      <c r="F1323">
        <v>1435</v>
      </c>
      <c r="G1323" t="s">
        <v>860</v>
      </c>
      <c r="I1323">
        <v>10010193</v>
      </c>
      <c r="J1323" t="s">
        <v>2676</v>
      </c>
      <c r="K1323">
        <v>800159</v>
      </c>
      <c r="L1323">
        <v>1</v>
      </c>
      <c r="M1323" t="s">
        <v>1548</v>
      </c>
      <c r="N1323" t="s">
        <v>329</v>
      </c>
      <c r="O1323">
        <v>1050000</v>
      </c>
    </row>
    <row r="1324" spans="1:15" x14ac:dyDescent="0.4">
      <c r="A1324" t="s">
        <v>1594</v>
      </c>
      <c r="B1324">
        <v>80</v>
      </c>
      <c r="C1324" t="s">
        <v>4</v>
      </c>
      <c r="D1324">
        <v>81</v>
      </c>
      <c r="E1324" t="s">
        <v>550</v>
      </c>
      <c r="F1324">
        <v>1154</v>
      </c>
      <c r="G1324" t="s">
        <v>1044</v>
      </c>
      <c r="I1324">
        <v>10047439</v>
      </c>
      <c r="J1324" t="s">
        <v>2263</v>
      </c>
      <c r="K1324">
        <v>800159</v>
      </c>
      <c r="L1324">
        <v>1</v>
      </c>
      <c r="M1324" t="s">
        <v>1596</v>
      </c>
      <c r="N1324" t="s">
        <v>254</v>
      </c>
      <c r="O1324">
        <v>1590000</v>
      </c>
    </row>
    <row r="1325" spans="1:15" x14ac:dyDescent="0.4">
      <c r="A1325" t="s">
        <v>1487</v>
      </c>
      <c r="B1325">
        <v>80</v>
      </c>
      <c r="C1325" t="s">
        <v>4</v>
      </c>
      <c r="D1325">
        <v>81</v>
      </c>
      <c r="E1325" t="s">
        <v>550</v>
      </c>
      <c r="F1325">
        <v>1154</v>
      </c>
      <c r="G1325" t="s">
        <v>1044</v>
      </c>
      <c r="I1325">
        <v>20002272</v>
      </c>
      <c r="J1325" t="s">
        <v>2677</v>
      </c>
      <c r="K1325">
        <v>800157</v>
      </c>
      <c r="L1325">
        <v>1</v>
      </c>
      <c r="M1325" t="s">
        <v>1523</v>
      </c>
      <c r="N1325" t="s">
        <v>312</v>
      </c>
      <c r="O1325">
        <v>784000</v>
      </c>
    </row>
    <row r="1326" spans="1:15" x14ac:dyDescent="0.4">
      <c r="A1326" t="s">
        <v>1586</v>
      </c>
      <c r="B1326">
        <v>80</v>
      </c>
      <c r="C1326" t="s">
        <v>4</v>
      </c>
      <c r="D1326">
        <v>81</v>
      </c>
      <c r="E1326" t="s">
        <v>550</v>
      </c>
      <c r="F1326">
        <v>1436</v>
      </c>
      <c r="G1326" t="s">
        <v>918</v>
      </c>
      <c r="I1326">
        <v>10050356</v>
      </c>
      <c r="J1326" t="s">
        <v>2678</v>
      </c>
      <c r="K1326">
        <v>800159</v>
      </c>
      <c r="L1326">
        <v>1</v>
      </c>
      <c r="M1326" t="s">
        <v>1589</v>
      </c>
      <c r="N1326" t="s">
        <v>207</v>
      </c>
      <c r="O1326">
        <v>1568400</v>
      </c>
    </row>
    <row r="1327" spans="1:15" x14ac:dyDescent="0.4">
      <c r="A1327" t="s">
        <v>363</v>
      </c>
      <c r="B1327">
        <v>60</v>
      </c>
      <c r="C1327" t="s">
        <v>3</v>
      </c>
      <c r="D1327">
        <v>33</v>
      </c>
      <c r="E1327" t="s">
        <v>451</v>
      </c>
      <c r="F1327">
        <v>1372</v>
      </c>
      <c r="G1327" t="s">
        <v>992</v>
      </c>
      <c r="I1327">
        <v>10035770</v>
      </c>
      <c r="J1327" t="s">
        <v>2679</v>
      </c>
      <c r="K1327">
        <v>800159</v>
      </c>
      <c r="L1327">
        <v>1</v>
      </c>
      <c r="M1327" t="s">
        <v>376</v>
      </c>
      <c r="N1327" t="s">
        <v>262</v>
      </c>
      <c r="O1327">
        <v>1428000</v>
      </c>
    </row>
    <row r="1328" spans="1:15" x14ac:dyDescent="0.4">
      <c r="A1328" t="s">
        <v>1589</v>
      </c>
      <c r="B1328">
        <v>60</v>
      </c>
      <c r="C1328" t="s">
        <v>3</v>
      </c>
      <c r="D1328">
        <v>33</v>
      </c>
      <c r="E1328" t="s">
        <v>451</v>
      </c>
      <c r="F1328">
        <v>1273</v>
      </c>
      <c r="G1328" t="s">
        <v>1084</v>
      </c>
      <c r="I1328">
        <v>10057723</v>
      </c>
      <c r="J1328" t="s">
        <v>2680</v>
      </c>
      <c r="K1328">
        <v>800159</v>
      </c>
      <c r="L1328">
        <v>1</v>
      </c>
      <c r="M1328" t="s">
        <v>1594</v>
      </c>
      <c r="N1328" t="s">
        <v>294</v>
      </c>
      <c r="O1328">
        <v>1320000</v>
      </c>
    </row>
    <row r="1329" spans="1:15" x14ac:dyDescent="0.4">
      <c r="A1329" t="s">
        <v>195</v>
      </c>
      <c r="B1329">
        <v>60</v>
      </c>
      <c r="C1329" t="s">
        <v>3</v>
      </c>
      <c r="D1329">
        <v>33</v>
      </c>
      <c r="E1329" t="s">
        <v>451</v>
      </c>
      <c r="F1329">
        <v>1273</v>
      </c>
      <c r="G1329" t="s">
        <v>1084</v>
      </c>
      <c r="I1329">
        <v>20002317</v>
      </c>
      <c r="J1329" t="s">
        <v>2681</v>
      </c>
      <c r="K1329">
        <v>800159</v>
      </c>
      <c r="L1329">
        <v>1</v>
      </c>
      <c r="M1329" t="s">
        <v>185</v>
      </c>
      <c r="N1329" t="s">
        <v>190</v>
      </c>
      <c r="O1329">
        <v>1384800</v>
      </c>
    </row>
    <row r="1330" spans="1:15" x14ac:dyDescent="0.4">
      <c r="A1330" t="s">
        <v>1548</v>
      </c>
      <c r="B1330">
        <v>60</v>
      </c>
      <c r="C1330" t="s">
        <v>3</v>
      </c>
      <c r="D1330">
        <v>31</v>
      </c>
      <c r="E1330" t="s">
        <v>447</v>
      </c>
      <c r="F1330">
        <v>1616</v>
      </c>
      <c r="G1330" t="s">
        <v>1659</v>
      </c>
      <c r="I1330">
        <v>10022663</v>
      </c>
      <c r="J1330" t="s">
        <v>2682</v>
      </c>
      <c r="K1330">
        <v>800157</v>
      </c>
      <c r="L1330">
        <v>1</v>
      </c>
      <c r="M1330" t="s">
        <v>1586</v>
      </c>
      <c r="N1330" t="s">
        <v>222</v>
      </c>
      <c r="O1330">
        <v>860800</v>
      </c>
    </row>
    <row r="1331" spans="1:15" x14ac:dyDescent="0.4">
      <c r="A1331" t="s">
        <v>290</v>
      </c>
      <c r="B1331">
        <v>60</v>
      </c>
      <c r="C1331" t="s">
        <v>3</v>
      </c>
      <c r="D1331">
        <v>33</v>
      </c>
      <c r="E1331" t="s">
        <v>451</v>
      </c>
      <c r="F1331">
        <v>1273</v>
      </c>
      <c r="G1331" t="s">
        <v>1084</v>
      </c>
      <c r="I1331">
        <v>10018815</v>
      </c>
      <c r="J1331" t="s">
        <v>2683</v>
      </c>
      <c r="K1331">
        <v>800157</v>
      </c>
      <c r="L1331">
        <v>1</v>
      </c>
      <c r="M1331" t="s">
        <v>250</v>
      </c>
      <c r="N1331" t="s">
        <v>253</v>
      </c>
      <c r="O1331">
        <v>784000</v>
      </c>
    </row>
    <row r="1332" spans="1:15" x14ac:dyDescent="0.4">
      <c r="A1332" t="s">
        <v>250</v>
      </c>
      <c r="B1332">
        <v>50</v>
      </c>
      <c r="C1332" t="s">
        <v>1</v>
      </c>
      <c r="D1332">
        <v>21</v>
      </c>
      <c r="E1332" t="s">
        <v>182</v>
      </c>
      <c r="F1332">
        <v>1166</v>
      </c>
      <c r="G1332" t="s">
        <v>1082</v>
      </c>
      <c r="I1332">
        <v>10041793</v>
      </c>
      <c r="J1332" t="s">
        <v>2684</v>
      </c>
      <c r="K1332">
        <v>800159</v>
      </c>
      <c r="L1332">
        <v>1</v>
      </c>
      <c r="M1332" t="s">
        <v>196</v>
      </c>
      <c r="N1332" t="s">
        <v>215</v>
      </c>
      <c r="O1332">
        <v>1552200</v>
      </c>
    </row>
    <row r="1333" spans="1:15" x14ac:dyDescent="0.4">
      <c r="A1333" t="s">
        <v>311</v>
      </c>
      <c r="B1333">
        <v>60</v>
      </c>
      <c r="C1333" t="s">
        <v>3</v>
      </c>
      <c r="D1333">
        <v>33</v>
      </c>
      <c r="E1333" t="s">
        <v>451</v>
      </c>
      <c r="F1333">
        <v>1273</v>
      </c>
      <c r="G1333" t="s">
        <v>1084</v>
      </c>
      <c r="I1333">
        <v>10031273</v>
      </c>
      <c r="J1333" t="s">
        <v>2685</v>
      </c>
      <c r="K1333">
        <v>800159</v>
      </c>
      <c r="L1333">
        <v>1</v>
      </c>
      <c r="M1333" t="s">
        <v>258</v>
      </c>
      <c r="N1333" t="s">
        <v>263</v>
      </c>
      <c r="O1333">
        <v>822000</v>
      </c>
    </row>
    <row r="1334" spans="1:15" x14ac:dyDescent="0.4">
      <c r="A1334" t="s">
        <v>203</v>
      </c>
      <c r="B1334">
        <v>76</v>
      </c>
      <c r="C1334" t="s">
        <v>6</v>
      </c>
      <c r="D1334">
        <v>61</v>
      </c>
      <c r="E1334" t="s">
        <v>703</v>
      </c>
      <c r="F1334">
        <v>1472</v>
      </c>
      <c r="G1334" t="s">
        <v>998</v>
      </c>
      <c r="I1334">
        <v>10086293</v>
      </c>
      <c r="J1334" t="s">
        <v>1527</v>
      </c>
      <c r="K1334">
        <v>800157</v>
      </c>
      <c r="L1334">
        <v>1</v>
      </c>
      <c r="M1334" t="s">
        <v>290</v>
      </c>
      <c r="N1334" t="s">
        <v>293</v>
      </c>
      <c r="O1334">
        <v>784000</v>
      </c>
    </row>
    <row r="1335" spans="1:15" x14ac:dyDescent="0.4">
      <c r="A1335" t="s">
        <v>1589</v>
      </c>
      <c r="B1335">
        <v>50</v>
      </c>
      <c r="C1335" t="s">
        <v>1</v>
      </c>
      <c r="D1335">
        <v>21</v>
      </c>
      <c r="E1335" t="s">
        <v>182</v>
      </c>
      <c r="F1335">
        <v>1166</v>
      </c>
      <c r="G1335" t="s">
        <v>1082</v>
      </c>
      <c r="I1335">
        <v>10035169</v>
      </c>
      <c r="J1335" t="s">
        <v>2686</v>
      </c>
      <c r="K1335">
        <v>800157</v>
      </c>
      <c r="L1335">
        <v>1</v>
      </c>
      <c r="M1335" t="s">
        <v>1594</v>
      </c>
      <c r="N1335" t="s">
        <v>292</v>
      </c>
      <c r="O1335">
        <v>790400</v>
      </c>
    </row>
    <row r="1336" spans="1:15" x14ac:dyDescent="0.4">
      <c r="A1336" t="s">
        <v>196</v>
      </c>
      <c r="B1336">
        <v>76</v>
      </c>
      <c r="C1336" t="s">
        <v>6</v>
      </c>
      <c r="D1336">
        <v>61</v>
      </c>
      <c r="E1336" t="s">
        <v>703</v>
      </c>
      <c r="F1336">
        <v>1563</v>
      </c>
      <c r="G1336" t="s">
        <v>942</v>
      </c>
      <c r="I1336">
        <v>10054021</v>
      </c>
      <c r="J1336" t="s">
        <v>2687</v>
      </c>
      <c r="K1336">
        <v>800159</v>
      </c>
      <c r="L1336">
        <v>1</v>
      </c>
      <c r="M1336" t="s">
        <v>186</v>
      </c>
      <c r="N1336" t="s">
        <v>302</v>
      </c>
      <c r="O1336">
        <v>1325400</v>
      </c>
    </row>
    <row r="1337" spans="1:15" x14ac:dyDescent="0.4">
      <c r="A1337" t="s">
        <v>238</v>
      </c>
      <c r="B1337">
        <v>50</v>
      </c>
      <c r="C1337" t="s">
        <v>1</v>
      </c>
      <c r="D1337">
        <v>21</v>
      </c>
      <c r="E1337" t="s">
        <v>182</v>
      </c>
      <c r="F1337">
        <v>1264</v>
      </c>
      <c r="G1337" t="s">
        <v>1023</v>
      </c>
      <c r="I1337">
        <v>10057921</v>
      </c>
      <c r="J1337" t="s">
        <v>2688</v>
      </c>
      <c r="K1337">
        <v>800159</v>
      </c>
      <c r="L1337">
        <v>1</v>
      </c>
      <c r="M1337" t="s">
        <v>230</v>
      </c>
      <c r="N1337" t="s">
        <v>235</v>
      </c>
      <c r="O1337">
        <v>1320000</v>
      </c>
    </row>
    <row r="1338" spans="1:15" x14ac:dyDescent="0.4">
      <c r="A1338" t="s">
        <v>1596</v>
      </c>
      <c r="B1338">
        <v>60</v>
      </c>
      <c r="C1338" t="s">
        <v>3</v>
      </c>
      <c r="D1338">
        <v>33</v>
      </c>
      <c r="E1338" t="s">
        <v>451</v>
      </c>
      <c r="F1338">
        <v>1273</v>
      </c>
      <c r="G1338" t="s">
        <v>1084</v>
      </c>
      <c r="I1338">
        <v>20002418</v>
      </c>
      <c r="J1338" t="s">
        <v>2689</v>
      </c>
      <c r="K1338">
        <v>800159</v>
      </c>
      <c r="L1338">
        <v>1</v>
      </c>
      <c r="M1338" t="s">
        <v>268</v>
      </c>
      <c r="N1338" t="s">
        <v>214</v>
      </c>
      <c r="O1338">
        <v>1272000</v>
      </c>
    </row>
    <row r="1339" spans="1:15" x14ac:dyDescent="0.4">
      <c r="A1339" t="s">
        <v>220</v>
      </c>
      <c r="B1339">
        <v>76</v>
      </c>
      <c r="C1339" t="s">
        <v>6</v>
      </c>
      <c r="D1339">
        <v>61</v>
      </c>
      <c r="E1339" t="s">
        <v>703</v>
      </c>
      <c r="F1339">
        <v>1389</v>
      </c>
      <c r="G1339" t="s">
        <v>1197</v>
      </c>
      <c r="I1339">
        <v>10012416</v>
      </c>
      <c r="J1339" t="s">
        <v>2690</v>
      </c>
      <c r="K1339">
        <v>800159</v>
      </c>
      <c r="L1339">
        <v>1</v>
      </c>
      <c r="M1339" t="s">
        <v>203</v>
      </c>
      <c r="N1339" t="s">
        <v>208</v>
      </c>
      <c r="O1339">
        <v>1460400</v>
      </c>
    </row>
    <row r="1340" spans="1:15" x14ac:dyDescent="0.4">
      <c r="A1340" t="s">
        <v>242</v>
      </c>
      <c r="B1340">
        <v>60</v>
      </c>
      <c r="C1340" t="s">
        <v>3</v>
      </c>
      <c r="D1340">
        <v>33</v>
      </c>
      <c r="E1340" t="s">
        <v>451</v>
      </c>
      <c r="F1340">
        <v>1372</v>
      </c>
      <c r="G1340" t="s">
        <v>992</v>
      </c>
      <c r="I1340">
        <v>10047772</v>
      </c>
      <c r="J1340" t="s">
        <v>2691</v>
      </c>
      <c r="K1340">
        <v>800157</v>
      </c>
      <c r="L1340">
        <v>1</v>
      </c>
      <c r="M1340" t="s">
        <v>311</v>
      </c>
      <c r="N1340" t="s">
        <v>314</v>
      </c>
      <c r="O1340">
        <v>529200</v>
      </c>
    </row>
    <row r="1341" spans="1:15" x14ac:dyDescent="0.4">
      <c r="A1341" t="s">
        <v>195</v>
      </c>
      <c r="B1341">
        <v>80</v>
      </c>
      <c r="C1341" t="s">
        <v>4</v>
      </c>
      <c r="D1341">
        <v>71</v>
      </c>
      <c r="E1341" t="s">
        <v>556</v>
      </c>
      <c r="F1341">
        <v>1296</v>
      </c>
      <c r="G1341" t="s">
        <v>964</v>
      </c>
      <c r="I1341">
        <v>20002437</v>
      </c>
      <c r="J1341" t="s">
        <v>2692</v>
      </c>
      <c r="K1341">
        <v>800159</v>
      </c>
      <c r="L1341">
        <v>1</v>
      </c>
      <c r="M1341" t="s">
        <v>185</v>
      </c>
      <c r="N1341" t="s">
        <v>190</v>
      </c>
      <c r="O1341">
        <v>1320000</v>
      </c>
    </row>
    <row r="1342" spans="1:15" x14ac:dyDescent="0.4">
      <c r="A1342" t="s">
        <v>1594</v>
      </c>
      <c r="B1342">
        <v>80</v>
      </c>
      <c r="C1342" t="s">
        <v>4</v>
      </c>
      <c r="D1342">
        <v>71</v>
      </c>
      <c r="E1342" t="s">
        <v>556</v>
      </c>
      <c r="F1342">
        <v>1296</v>
      </c>
      <c r="G1342" t="s">
        <v>964</v>
      </c>
      <c r="I1342">
        <v>20002440</v>
      </c>
      <c r="J1342" t="s">
        <v>2693</v>
      </c>
      <c r="K1342">
        <v>800159</v>
      </c>
      <c r="L1342">
        <v>1</v>
      </c>
      <c r="M1342" t="s">
        <v>1596</v>
      </c>
      <c r="N1342" t="s">
        <v>254</v>
      </c>
      <c r="O1342">
        <v>1374000</v>
      </c>
    </row>
    <row r="1343" spans="1:15" x14ac:dyDescent="0.4">
      <c r="A1343" t="s">
        <v>1523</v>
      </c>
      <c r="B1343">
        <v>70</v>
      </c>
      <c r="C1343" t="s">
        <v>2</v>
      </c>
      <c r="D1343">
        <v>41</v>
      </c>
      <c r="E1343" t="s">
        <v>306</v>
      </c>
      <c r="F1343">
        <v>1552</v>
      </c>
      <c r="G1343" t="s">
        <v>929</v>
      </c>
      <c r="I1343">
        <v>10011019</v>
      </c>
      <c r="J1343" t="s">
        <v>2694</v>
      </c>
      <c r="K1343">
        <v>800157</v>
      </c>
      <c r="L1343">
        <v>1</v>
      </c>
      <c r="M1343" t="s">
        <v>1587</v>
      </c>
      <c r="N1343" t="s">
        <v>259</v>
      </c>
      <c r="O1343">
        <v>803200</v>
      </c>
    </row>
    <row r="1344" spans="1:15" x14ac:dyDescent="0.4">
      <c r="A1344" t="s">
        <v>1589</v>
      </c>
      <c r="B1344">
        <v>70</v>
      </c>
      <c r="C1344" t="s">
        <v>2</v>
      </c>
      <c r="D1344">
        <v>41</v>
      </c>
      <c r="E1344" t="s">
        <v>306</v>
      </c>
      <c r="F1344">
        <v>1298</v>
      </c>
      <c r="G1344" t="s">
        <v>1277</v>
      </c>
      <c r="I1344">
        <v>20002459</v>
      </c>
      <c r="J1344" t="s">
        <v>2695</v>
      </c>
      <c r="K1344">
        <v>800155</v>
      </c>
      <c r="L1344">
        <v>1</v>
      </c>
      <c r="M1344" t="s">
        <v>1594</v>
      </c>
      <c r="N1344" t="s">
        <v>203</v>
      </c>
      <c r="O1344">
        <v>301200</v>
      </c>
    </row>
    <row r="1345" spans="1:15" x14ac:dyDescent="0.4">
      <c r="A1345" t="s">
        <v>203</v>
      </c>
      <c r="B1345">
        <v>70</v>
      </c>
      <c r="C1345" t="s">
        <v>2</v>
      </c>
      <c r="D1345">
        <v>41</v>
      </c>
      <c r="E1345" t="s">
        <v>306</v>
      </c>
      <c r="F1345">
        <v>1298</v>
      </c>
      <c r="G1345" t="s">
        <v>1277</v>
      </c>
      <c r="I1345">
        <v>20002459</v>
      </c>
      <c r="J1345" t="s">
        <v>2695</v>
      </c>
      <c r="K1345">
        <v>800155</v>
      </c>
      <c r="L1345">
        <v>1</v>
      </c>
      <c r="M1345" t="s">
        <v>290</v>
      </c>
      <c r="N1345" t="s">
        <v>291</v>
      </c>
      <c r="O1345">
        <v>301200</v>
      </c>
    </row>
    <row r="1346" spans="1:15" x14ac:dyDescent="0.4">
      <c r="A1346" t="s">
        <v>1594</v>
      </c>
      <c r="B1346">
        <v>60</v>
      </c>
      <c r="C1346" t="s">
        <v>3</v>
      </c>
      <c r="D1346">
        <v>33</v>
      </c>
      <c r="E1346" t="s">
        <v>451</v>
      </c>
      <c r="F1346">
        <v>1372</v>
      </c>
      <c r="G1346" t="s">
        <v>992</v>
      </c>
      <c r="I1346">
        <v>20007531</v>
      </c>
      <c r="J1346" t="s">
        <v>2696</v>
      </c>
      <c r="K1346">
        <v>800157</v>
      </c>
      <c r="L1346">
        <v>1</v>
      </c>
      <c r="M1346" t="s">
        <v>1596</v>
      </c>
      <c r="N1346" t="s">
        <v>252</v>
      </c>
      <c r="O1346">
        <v>937600</v>
      </c>
    </row>
    <row r="1347" spans="1:15" x14ac:dyDescent="0.4">
      <c r="A1347" t="s">
        <v>275</v>
      </c>
      <c r="B1347">
        <v>80</v>
      </c>
      <c r="C1347" t="s">
        <v>4</v>
      </c>
      <c r="D1347">
        <v>81</v>
      </c>
      <c r="E1347" t="s">
        <v>550</v>
      </c>
      <c r="F1347">
        <v>1154</v>
      </c>
      <c r="G1347" t="s">
        <v>1044</v>
      </c>
      <c r="I1347">
        <v>10048237</v>
      </c>
      <c r="J1347" t="s">
        <v>2218</v>
      </c>
      <c r="K1347">
        <v>800157</v>
      </c>
      <c r="L1347">
        <v>1</v>
      </c>
      <c r="M1347" t="s">
        <v>281</v>
      </c>
      <c r="N1347" t="s">
        <v>244</v>
      </c>
      <c r="O1347">
        <v>892800</v>
      </c>
    </row>
    <row r="1348" spans="1:15" x14ac:dyDescent="0.4">
      <c r="A1348" t="s">
        <v>353</v>
      </c>
      <c r="B1348">
        <v>60</v>
      </c>
      <c r="C1348" t="s">
        <v>3</v>
      </c>
      <c r="D1348">
        <v>31</v>
      </c>
      <c r="E1348" t="s">
        <v>447</v>
      </c>
      <c r="F1348">
        <v>1116</v>
      </c>
      <c r="G1348" t="s">
        <v>1075</v>
      </c>
      <c r="I1348">
        <v>20002628</v>
      </c>
      <c r="J1348" t="s">
        <v>2697</v>
      </c>
      <c r="K1348">
        <v>800159</v>
      </c>
      <c r="L1348">
        <v>1</v>
      </c>
      <c r="M1348" t="s">
        <v>220</v>
      </c>
      <c r="N1348" t="s">
        <v>225</v>
      </c>
      <c r="O1348">
        <v>1363200</v>
      </c>
    </row>
    <row r="1349" spans="1:15" x14ac:dyDescent="0.4">
      <c r="A1349" t="s">
        <v>363</v>
      </c>
      <c r="B1349">
        <v>76</v>
      </c>
      <c r="C1349" t="s">
        <v>6</v>
      </c>
      <c r="D1349">
        <v>61</v>
      </c>
      <c r="E1349" t="s">
        <v>703</v>
      </c>
      <c r="F1349">
        <v>1563</v>
      </c>
      <c r="G1349" t="s">
        <v>942</v>
      </c>
      <c r="I1349">
        <v>10034188</v>
      </c>
      <c r="J1349" t="s">
        <v>2698</v>
      </c>
      <c r="K1349">
        <v>800159</v>
      </c>
      <c r="L1349">
        <v>1</v>
      </c>
      <c r="M1349" t="s">
        <v>376</v>
      </c>
      <c r="N1349" t="s">
        <v>262</v>
      </c>
      <c r="O1349">
        <v>1411800</v>
      </c>
    </row>
    <row r="1350" spans="1:15" x14ac:dyDescent="0.4">
      <c r="A1350" t="s">
        <v>258</v>
      </c>
      <c r="B1350">
        <v>70</v>
      </c>
      <c r="C1350" t="s">
        <v>2</v>
      </c>
      <c r="D1350">
        <v>41</v>
      </c>
      <c r="E1350" t="s">
        <v>306</v>
      </c>
      <c r="F1350">
        <v>1445</v>
      </c>
      <c r="G1350" t="s">
        <v>886</v>
      </c>
      <c r="I1350">
        <v>20005477</v>
      </c>
      <c r="J1350" t="s">
        <v>2699</v>
      </c>
      <c r="K1350">
        <v>800159</v>
      </c>
      <c r="L1350">
        <v>1</v>
      </c>
      <c r="M1350" t="s">
        <v>221</v>
      </c>
      <c r="N1350" t="s">
        <v>331</v>
      </c>
      <c r="O1350">
        <v>1664800</v>
      </c>
    </row>
    <row r="1351" spans="1:15" x14ac:dyDescent="0.4">
      <c r="A1351" t="s">
        <v>230</v>
      </c>
      <c r="B1351">
        <v>80</v>
      </c>
      <c r="C1351" t="s">
        <v>4</v>
      </c>
      <c r="D1351">
        <v>71</v>
      </c>
      <c r="E1351" t="s">
        <v>556</v>
      </c>
      <c r="F1351">
        <v>1296</v>
      </c>
      <c r="G1351" t="s">
        <v>964</v>
      </c>
      <c r="I1351">
        <v>10056846</v>
      </c>
      <c r="J1351" t="s">
        <v>2700</v>
      </c>
      <c r="K1351">
        <v>800159</v>
      </c>
      <c r="L1351">
        <v>1</v>
      </c>
      <c r="M1351" t="s">
        <v>242</v>
      </c>
      <c r="N1351" t="s">
        <v>247</v>
      </c>
      <c r="O1351">
        <v>1336200</v>
      </c>
    </row>
    <row r="1352" spans="1:15" x14ac:dyDescent="0.4">
      <c r="A1352" t="s">
        <v>290</v>
      </c>
      <c r="B1352">
        <v>76</v>
      </c>
      <c r="C1352" t="s">
        <v>6</v>
      </c>
      <c r="D1352">
        <v>61</v>
      </c>
      <c r="E1352" t="s">
        <v>703</v>
      </c>
      <c r="F1352">
        <v>1472</v>
      </c>
      <c r="G1352" t="s">
        <v>998</v>
      </c>
      <c r="I1352">
        <v>10007392</v>
      </c>
      <c r="J1352" t="s">
        <v>2701</v>
      </c>
      <c r="K1352">
        <v>800157</v>
      </c>
      <c r="L1352">
        <v>1</v>
      </c>
      <c r="M1352" t="s">
        <v>250</v>
      </c>
      <c r="N1352" t="s">
        <v>253</v>
      </c>
      <c r="O1352">
        <v>784000</v>
      </c>
    </row>
    <row r="1353" spans="1:15" x14ac:dyDescent="0.4">
      <c r="A1353" t="s">
        <v>311</v>
      </c>
      <c r="B1353">
        <v>76</v>
      </c>
      <c r="C1353" t="s">
        <v>6</v>
      </c>
      <c r="D1353">
        <v>61</v>
      </c>
      <c r="E1353" t="s">
        <v>703</v>
      </c>
      <c r="F1353">
        <v>1602</v>
      </c>
      <c r="G1353" t="s">
        <v>1013</v>
      </c>
      <c r="I1353">
        <v>10017358</v>
      </c>
      <c r="J1353" t="s">
        <v>359</v>
      </c>
      <c r="K1353">
        <v>800159</v>
      </c>
      <c r="L1353">
        <v>1</v>
      </c>
      <c r="M1353" t="s">
        <v>258</v>
      </c>
      <c r="N1353" t="s">
        <v>263</v>
      </c>
      <c r="O1353">
        <v>1363200</v>
      </c>
    </row>
    <row r="1354" spans="1:15" x14ac:dyDescent="0.4">
      <c r="A1354" t="s">
        <v>250</v>
      </c>
      <c r="B1354">
        <v>76</v>
      </c>
      <c r="C1354" t="s">
        <v>6</v>
      </c>
      <c r="D1354">
        <v>61</v>
      </c>
      <c r="E1354" t="s">
        <v>703</v>
      </c>
      <c r="F1354">
        <v>1389</v>
      </c>
      <c r="G1354" t="s">
        <v>1197</v>
      </c>
      <c r="I1354">
        <v>10067309</v>
      </c>
      <c r="J1354" t="s">
        <v>2702</v>
      </c>
      <c r="K1354">
        <v>800159</v>
      </c>
      <c r="L1354">
        <v>1</v>
      </c>
      <c r="M1354" t="s">
        <v>196</v>
      </c>
      <c r="N1354" t="s">
        <v>215</v>
      </c>
      <c r="O1354">
        <v>1330800</v>
      </c>
    </row>
    <row r="1355" spans="1:15" x14ac:dyDescent="0.4">
      <c r="A1355" t="s">
        <v>1470</v>
      </c>
      <c r="B1355">
        <v>75</v>
      </c>
      <c r="C1355" t="s">
        <v>5</v>
      </c>
      <c r="D1355">
        <v>51</v>
      </c>
      <c r="E1355" t="s">
        <v>657</v>
      </c>
      <c r="F1355">
        <v>1435</v>
      </c>
      <c r="G1355" t="s">
        <v>860</v>
      </c>
      <c r="I1355">
        <v>10027684</v>
      </c>
      <c r="J1355" t="s">
        <v>2703</v>
      </c>
      <c r="K1355">
        <v>800157</v>
      </c>
      <c r="L1355">
        <v>1</v>
      </c>
      <c r="M1355" t="s">
        <v>1469</v>
      </c>
      <c r="N1355" t="s">
        <v>197</v>
      </c>
      <c r="O1355">
        <v>784000</v>
      </c>
    </row>
    <row r="1356" spans="1:15" x14ac:dyDescent="0.4">
      <c r="A1356" t="s">
        <v>203</v>
      </c>
      <c r="B1356">
        <v>76</v>
      </c>
      <c r="C1356" t="s">
        <v>6</v>
      </c>
      <c r="D1356">
        <v>61</v>
      </c>
      <c r="E1356" t="s">
        <v>703</v>
      </c>
      <c r="F1356">
        <v>1389</v>
      </c>
      <c r="G1356" t="s">
        <v>1197</v>
      </c>
      <c r="I1356">
        <v>20002832</v>
      </c>
      <c r="J1356" t="s">
        <v>2704</v>
      </c>
      <c r="K1356">
        <v>800159</v>
      </c>
      <c r="L1356">
        <v>1</v>
      </c>
      <c r="M1356" t="s">
        <v>290</v>
      </c>
      <c r="N1356" t="s">
        <v>295</v>
      </c>
      <c r="O1356">
        <v>1325400</v>
      </c>
    </row>
    <row r="1357" spans="1:15" x14ac:dyDescent="0.4">
      <c r="A1357" t="s">
        <v>353</v>
      </c>
      <c r="B1357">
        <v>80</v>
      </c>
      <c r="C1357" t="s">
        <v>4</v>
      </c>
      <c r="D1357">
        <v>71</v>
      </c>
      <c r="E1357" t="s">
        <v>556</v>
      </c>
      <c r="F1357">
        <v>1296</v>
      </c>
      <c r="G1357" t="s">
        <v>964</v>
      </c>
      <c r="I1357">
        <v>20002848</v>
      </c>
      <c r="J1357" t="s">
        <v>2705</v>
      </c>
      <c r="K1357">
        <v>800157</v>
      </c>
      <c r="L1357">
        <v>1</v>
      </c>
      <c r="M1357" t="s">
        <v>220</v>
      </c>
      <c r="N1357" t="s">
        <v>223</v>
      </c>
      <c r="O1357">
        <v>787200</v>
      </c>
    </row>
    <row r="1358" spans="1:15" x14ac:dyDescent="0.4">
      <c r="A1358" t="s">
        <v>1587</v>
      </c>
      <c r="B1358">
        <v>76</v>
      </c>
      <c r="C1358" t="s">
        <v>6</v>
      </c>
      <c r="D1358">
        <v>61</v>
      </c>
      <c r="E1358" t="s">
        <v>703</v>
      </c>
      <c r="F1358">
        <v>1389</v>
      </c>
      <c r="G1358" t="s">
        <v>1197</v>
      </c>
      <c r="I1358">
        <v>10056467</v>
      </c>
      <c r="J1358" t="s">
        <v>2706</v>
      </c>
      <c r="K1358">
        <v>800159</v>
      </c>
      <c r="L1358">
        <v>1</v>
      </c>
      <c r="M1358" t="s">
        <v>1548</v>
      </c>
      <c r="N1358" t="s">
        <v>329</v>
      </c>
      <c r="O1358">
        <v>1401000</v>
      </c>
    </row>
    <row r="1359" spans="1:15" x14ac:dyDescent="0.4">
      <c r="A1359" t="s">
        <v>363</v>
      </c>
      <c r="B1359">
        <v>60</v>
      </c>
      <c r="C1359" t="s">
        <v>3</v>
      </c>
      <c r="D1359">
        <v>31</v>
      </c>
      <c r="E1359" t="s">
        <v>447</v>
      </c>
      <c r="F1359">
        <v>1543</v>
      </c>
      <c r="G1359" t="s">
        <v>1183</v>
      </c>
      <c r="I1359">
        <v>20009445</v>
      </c>
      <c r="J1359" t="s">
        <v>2707</v>
      </c>
      <c r="K1359">
        <v>800157</v>
      </c>
      <c r="L1359">
        <v>1</v>
      </c>
      <c r="M1359" t="s">
        <v>376</v>
      </c>
      <c r="N1359" t="s">
        <v>260</v>
      </c>
      <c r="O1359">
        <v>784000</v>
      </c>
    </row>
    <row r="1360" spans="1:15" x14ac:dyDescent="0.4">
      <c r="A1360" t="s">
        <v>258</v>
      </c>
      <c r="B1360">
        <v>76</v>
      </c>
      <c r="C1360" t="s">
        <v>6</v>
      </c>
      <c r="D1360">
        <v>61</v>
      </c>
      <c r="E1360" t="s">
        <v>703</v>
      </c>
      <c r="F1360">
        <v>1475</v>
      </c>
      <c r="G1360" t="s">
        <v>909</v>
      </c>
      <c r="I1360">
        <v>10032307</v>
      </c>
      <c r="J1360" t="s">
        <v>2708</v>
      </c>
      <c r="K1360">
        <v>800157</v>
      </c>
      <c r="L1360">
        <v>1</v>
      </c>
      <c r="M1360" t="s">
        <v>221</v>
      </c>
      <c r="N1360" t="s">
        <v>329</v>
      </c>
      <c r="O1360">
        <v>784000</v>
      </c>
    </row>
    <row r="1361" spans="1:15" x14ac:dyDescent="0.4">
      <c r="A1361" t="s">
        <v>1586</v>
      </c>
      <c r="B1361">
        <v>70</v>
      </c>
      <c r="C1361" t="s">
        <v>2</v>
      </c>
      <c r="D1361">
        <v>41</v>
      </c>
      <c r="E1361" t="s">
        <v>306</v>
      </c>
      <c r="F1361">
        <v>1552</v>
      </c>
      <c r="G1361" t="s">
        <v>929</v>
      </c>
      <c r="I1361">
        <v>10064267</v>
      </c>
      <c r="J1361" t="s">
        <v>2709</v>
      </c>
      <c r="K1361">
        <v>800157</v>
      </c>
      <c r="L1361">
        <v>1</v>
      </c>
      <c r="M1361" t="s">
        <v>1589</v>
      </c>
      <c r="N1361" t="s">
        <v>205</v>
      </c>
      <c r="O1361">
        <v>784000</v>
      </c>
    </row>
    <row r="1362" spans="1:15" x14ac:dyDescent="0.4">
      <c r="A1362" t="s">
        <v>185</v>
      </c>
      <c r="B1362">
        <v>76</v>
      </c>
      <c r="C1362" t="s">
        <v>6</v>
      </c>
      <c r="D1362">
        <v>61</v>
      </c>
      <c r="E1362" t="s">
        <v>703</v>
      </c>
      <c r="F1362">
        <v>1468</v>
      </c>
      <c r="G1362" t="s">
        <v>914</v>
      </c>
      <c r="I1362">
        <v>20003596</v>
      </c>
      <c r="J1362" t="s">
        <v>2710</v>
      </c>
      <c r="K1362">
        <v>800159</v>
      </c>
      <c r="L1362">
        <v>1</v>
      </c>
      <c r="M1362" t="s">
        <v>275</v>
      </c>
      <c r="N1362" t="s">
        <v>234</v>
      </c>
      <c r="O1362">
        <v>1320000</v>
      </c>
    </row>
    <row r="1363" spans="1:15" x14ac:dyDescent="0.4">
      <c r="A1363" t="s">
        <v>275</v>
      </c>
      <c r="B1363">
        <v>60</v>
      </c>
      <c r="C1363" t="s">
        <v>3</v>
      </c>
      <c r="D1363">
        <v>33</v>
      </c>
      <c r="E1363" t="s">
        <v>451</v>
      </c>
      <c r="F1363">
        <v>1505</v>
      </c>
      <c r="G1363" t="s">
        <v>900</v>
      </c>
      <c r="I1363">
        <v>10058855</v>
      </c>
      <c r="J1363" t="s">
        <v>2711</v>
      </c>
      <c r="K1363">
        <v>800159</v>
      </c>
      <c r="L1363">
        <v>1</v>
      </c>
      <c r="M1363" t="s">
        <v>281</v>
      </c>
      <c r="N1363" t="s">
        <v>246</v>
      </c>
      <c r="O1363">
        <v>1056000</v>
      </c>
    </row>
    <row r="1364" spans="1:15" x14ac:dyDescent="0.4">
      <c r="A1364" t="s">
        <v>1589</v>
      </c>
      <c r="B1364">
        <v>50</v>
      </c>
      <c r="C1364" t="s">
        <v>1</v>
      </c>
      <c r="D1364">
        <v>11</v>
      </c>
      <c r="E1364" t="s">
        <v>192</v>
      </c>
      <c r="F1364">
        <v>1353</v>
      </c>
      <c r="G1364" t="s">
        <v>1017</v>
      </c>
      <c r="I1364">
        <v>10040059</v>
      </c>
      <c r="J1364" t="s">
        <v>2712</v>
      </c>
      <c r="K1364">
        <v>800159</v>
      </c>
      <c r="L1364">
        <v>1</v>
      </c>
      <c r="M1364" t="s">
        <v>1594</v>
      </c>
      <c r="N1364" t="s">
        <v>294</v>
      </c>
      <c r="O1364">
        <v>1320000</v>
      </c>
    </row>
    <row r="1365" spans="1:15" x14ac:dyDescent="0.4">
      <c r="A1365" t="s">
        <v>1487</v>
      </c>
      <c r="B1365">
        <v>50</v>
      </c>
      <c r="C1365" t="s">
        <v>1</v>
      </c>
      <c r="D1365">
        <v>21</v>
      </c>
      <c r="E1365" t="s">
        <v>182</v>
      </c>
      <c r="F1365">
        <v>1345</v>
      </c>
      <c r="G1365" t="s">
        <v>874</v>
      </c>
      <c r="I1365">
        <v>20003028</v>
      </c>
      <c r="J1365" t="s">
        <v>2713</v>
      </c>
      <c r="K1365">
        <v>800159</v>
      </c>
      <c r="L1365">
        <v>1</v>
      </c>
      <c r="M1365" t="s">
        <v>1523</v>
      </c>
      <c r="N1365" t="s">
        <v>314</v>
      </c>
      <c r="O1365">
        <v>1390200</v>
      </c>
    </row>
    <row r="1366" spans="1:15" x14ac:dyDescent="0.4">
      <c r="A1366" t="s">
        <v>185</v>
      </c>
      <c r="B1366">
        <v>76</v>
      </c>
      <c r="C1366" t="s">
        <v>6</v>
      </c>
      <c r="D1366">
        <v>61</v>
      </c>
      <c r="E1366" t="s">
        <v>703</v>
      </c>
      <c r="F1366">
        <v>1475</v>
      </c>
      <c r="G1366" t="s">
        <v>909</v>
      </c>
      <c r="I1366">
        <v>20002837</v>
      </c>
      <c r="J1366" t="s">
        <v>2714</v>
      </c>
      <c r="K1366">
        <v>800159</v>
      </c>
      <c r="L1366">
        <v>1</v>
      </c>
      <c r="M1366" t="s">
        <v>275</v>
      </c>
      <c r="N1366" t="s">
        <v>234</v>
      </c>
      <c r="O1366">
        <v>1341600</v>
      </c>
    </row>
    <row r="1367" spans="1:15" x14ac:dyDescent="0.4">
      <c r="A1367" t="s">
        <v>290</v>
      </c>
      <c r="B1367">
        <v>70</v>
      </c>
      <c r="C1367" t="s">
        <v>2</v>
      </c>
      <c r="D1367">
        <v>41</v>
      </c>
      <c r="E1367" t="s">
        <v>306</v>
      </c>
      <c r="F1367">
        <v>1298</v>
      </c>
      <c r="G1367" t="s">
        <v>1277</v>
      </c>
      <c r="I1367">
        <v>20003036</v>
      </c>
      <c r="J1367" t="s">
        <v>2715</v>
      </c>
      <c r="K1367">
        <v>800159</v>
      </c>
      <c r="L1367">
        <v>1</v>
      </c>
      <c r="M1367" t="s">
        <v>250</v>
      </c>
      <c r="N1367" t="s">
        <v>255</v>
      </c>
      <c r="O1367">
        <v>1519800</v>
      </c>
    </row>
    <row r="1368" spans="1:15" x14ac:dyDescent="0.4">
      <c r="A1368" t="s">
        <v>1586</v>
      </c>
      <c r="B1368">
        <v>50</v>
      </c>
      <c r="C1368" t="s">
        <v>1</v>
      </c>
      <c r="D1368">
        <v>11</v>
      </c>
      <c r="E1368" t="s">
        <v>192</v>
      </c>
      <c r="F1368">
        <v>1085</v>
      </c>
      <c r="G1368" t="s">
        <v>854</v>
      </c>
      <c r="I1368">
        <v>20002884</v>
      </c>
      <c r="J1368" t="s">
        <v>615</v>
      </c>
      <c r="K1368">
        <v>800157</v>
      </c>
      <c r="L1368">
        <v>1</v>
      </c>
      <c r="M1368" t="s">
        <v>1589</v>
      </c>
      <c r="N1368" t="s">
        <v>205</v>
      </c>
      <c r="O1368">
        <v>796800</v>
      </c>
    </row>
    <row r="1369" spans="1:15" x14ac:dyDescent="0.4">
      <c r="A1369" t="s">
        <v>186</v>
      </c>
      <c r="B1369">
        <v>60</v>
      </c>
      <c r="C1369" t="s">
        <v>3</v>
      </c>
      <c r="D1369">
        <v>33</v>
      </c>
      <c r="E1369" t="s">
        <v>451</v>
      </c>
      <c r="F1369">
        <v>1273</v>
      </c>
      <c r="G1369" t="s">
        <v>1084</v>
      </c>
      <c r="I1369">
        <v>10035041</v>
      </c>
      <c r="J1369" t="s">
        <v>2716</v>
      </c>
      <c r="K1369">
        <v>800159</v>
      </c>
      <c r="L1369">
        <v>1</v>
      </c>
      <c r="M1369" t="s">
        <v>238</v>
      </c>
      <c r="N1369" t="s">
        <v>239</v>
      </c>
      <c r="O1369">
        <v>1230000</v>
      </c>
    </row>
    <row r="1370" spans="1:15" x14ac:dyDescent="0.4">
      <c r="A1370" t="s">
        <v>1594</v>
      </c>
      <c r="B1370">
        <v>70</v>
      </c>
      <c r="C1370" t="s">
        <v>2</v>
      </c>
      <c r="D1370">
        <v>41</v>
      </c>
      <c r="E1370" t="s">
        <v>306</v>
      </c>
      <c r="F1370">
        <v>1552</v>
      </c>
      <c r="G1370" t="s">
        <v>929</v>
      </c>
      <c r="I1370">
        <v>20003053</v>
      </c>
      <c r="J1370" t="s">
        <v>2717</v>
      </c>
      <c r="K1370">
        <v>800157</v>
      </c>
      <c r="L1370">
        <v>1</v>
      </c>
      <c r="M1370" t="s">
        <v>1596</v>
      </c>
      <c r="N1370" t="s">
        <v>252</v>
      </c>
      <c r="O1370">
        <v>889600</v>
      </c>
    </row>
    <row r="1371" spans="1:15" x14ac:dyDescent="0.4">
      <c r="A1371" t="s">
        <v>1594</v>
      </c>
      <c r="B1371">
        <v>76</v>
      </c>
      <c r="C1371" t="s">
        <v>6</v>
      </c>
      <c r="D1371">
        <v>61</v>
      </c>
      <c r="E1371" t="s">
        <v>703</v>
      </c>
      <c r="F1371">
        <v>1602</v>
      </c>
      <c r="G1371" t="s">
        <v>1013</v>
      </c>
      <c r="I1371">
        <v>20003233</v>
      </c>
      <c r="J1371" t="s">
        <v>2718</v>
      </c>
      <c r="K1371">
        <v>800159</v>
      </c>
      <c r="L1371">
        <v>1</v>
      </c>
      <c r="M1371" t="s">
        <v>1596</v>
      </c>
      <c r="N1371" t="s">
        <v>254</v>
      </c>
      <c r="O1371">
        <v>1384800</v>
      </c>
    </row>
    <row r="1372" spans="1:15" x14ac:dyDescent="0.4">
      <c r="A1372" t="s">
        <v>258</v>
      </c>
      <c r="B1372">
        <v>80</v>
      </c>
      <c r="C1372" t="s">
        <v>4</v>
      </c>
      <c r="D1372">
        <v>81</v>
      </c>
      <c r="E1372" t="s">
        <v>550</v>
      </c>
      <c r="F1372">
        <v>1154</v>
      </c>
      <c r="G1372" t="s">
        <v>1044</v>
      </c>
      <c r="I1372">
        <v>20010275</v>
      </c>
      <c r="J1372" t="s">
        <v>2719</v>
      </c>
      <c r="K1372">
        <v>800159</v>
      </c>
      <c r="L1372">
        <v>1</v>
      </c>
      <c r="M1372" t="s">
        <v>221</v>
      </c>
      <c r="N1372" t="s">
        <v>331</v>
      </c>
      <c r="O1372">
        <v>1336200</v>
      </c>
    </row>
    <row r="1373" spans="1:15" x14ac:dyDescent="0.4">
      <c r="A1373" t="s">
        <v>185</v>
      </c>
      <c r="B1373">
        <v>75</v>
      </c>
      <c r="C1373" t="s">
        <v>5</v>
      </c>
      <c r="D1373">
        <v>51</v>
      </c>
      <c r="E1373" t="s">
        <v>657</v>
      </c>
      <c r="F1373">
        <v>1415</v>
      </c>
      <c r="G1373" t="s">
        <v>1038</v>
      </c>
      <c r="I1373">
        <v>10029374</v>
      </c>
      <c r="J1373" t="s">
        <v>2720</v>
      </c>
      <c r="K1373">
        <v>800159</v>
      </c>
      <c r="L1373">
        <v>1</v>
      </c>
      <c r="M1373" t="s">
        <v>275</v>
      </c>
      <c r="N1373" t="s">
        <v>234</v>
      </c>
      <c r="O1373">
        <v>1444200</v>
      </c>
    </row>
    <row r="1374" spans="1:15" x14ac:dyDescent="0.4">
      <c r="A1374" t="s">
        <v>363</v>
      </c>
      <c r="B1374">
        <v>76</v>
      </c>
      <c r="C1374" t="s">
        <v>6</v>
      </c>
      <c r="D1374">
        <v>61</v>
      </c>
      <c r="E1374" t="s">
        <v>703</v>
      </c>
      <c r="F1374">
        <v>1389</v>
      </c>
      <c r="G1374" t="s">
        <v>1197</v>
      </c>
      <c r="I1374">
        <v>20003003</v>
      </c>
      <c r="J1374" t="s">
        <v>2721</v>
      </c>
      <c r="K1374">
        <v>800159</v>
      </c>
      <c r="L1374">
        <v>1</v>
      </c>
      <c r="M1374" t="s">
        <v>376</v>
      </c>
      <c r="N1374" t="s">
        <v>262</v>
      </c>
      <c r="O1374">
        <v>1363200</v>
      </c>
    </row>
    <row r="1375" spans="1:15" x14ac:dyDescent="0.4">
      <c r="A1375" t="s">
        <v>238</v>
      </c>
      <c r="B1375">
        <v>50</v>
      </c>
      <c r="C1375" t="s">
        <v>1</v>
      </c>
      <c r="D1375">
        <v>21</v>
      </c>
      <c r="E1375" t="s">
        <v>182</v>
      </c>
      <c r="F1375">
        <v>1345</v>
      </c>
      <c r="G1375" t="s">
        <v>874</v>
      </c>
      <c r="I1375">
        <v>10033771</v>
      </c>
      <c r="J1375" t="s">
        <v>1982</v>
      </c>
      <c r="K1375">
        <v>800159</v>
      </c>
      <c r="L1375">
        <v>1</v>
      </c>
      <c r="M1375" t="s">
        <v>230</v>
      </c>
      <c r="N1375" t="s">
        <v>235</v>
      </c>
      <c r="O1375">
        <v>1325400</v>
      </c>
    </row>
    <row r="1376" spans="1:15" x14ac:dyDescent="0.4">
      <c r="A1376" t="s">
        <v>1548</v>
      </c>
      <c r="B1376">
        <v>60</v>
      </c>
      <c r="C1376" t="s">
        <v>3</v>
      </c>
      <c r="D1376">
        <v>31</v>
      </c>
      <c r="E1376" t="s">
        <v>447</v>
      </c>
      <c r="F1376">
        <v>1299</v>
      </c>
      <c r="G1376" t="s">
        <v>947</v>
      </c>
      <c r="I1376">
        <v>20003112</v>
      </c>
      <c r="J1376" t="s">
        <v>2722</v>
      </c>
      <c r="K1376">
        <v>800159</v>
      </c>
      <c r="L1376">
        <v>1</v>
      </c>
      <c r="M1376" t="s">
        <v>1586</v>
      </c>
      <c r="N1376" t="s">
        <v>224</v>
      </c>
      <c r="O1376">
        <v>1401000</v>
      </c>
    </row>
    <row r="1377" spans="1:15" x14ac:dyDescent="0.4">
      <c r="A1377" t="s">
        <v>196</v>
      </c>
      <c r="B1377">
        <v>75</v>
      </c>
      <c r="C1377" t="s">
        <v>5</v>
      </c>
      <c r="D1377">
        <v>51</v>
      </c>
      <c r="E1377" t="s">
        <v>657</v>
      </c>
      <c r="F1377">
        <v>1365</v>
      </c>
      <c r="G1377" t="s">
        <v>1148</v>
      </c>
      <c r="I1377">
        <v>20003162</v>
      </c>
      <c r="J1377" t="s">
        <v>2723</v>
      </c>
      <c r="K1377">
        <v>800159</v>
      </c>
      <c r="L1377">
        <v>1</v>
      </c>
      <c r="M1377" t="s">
        <v>186</v>
      </c>
      <c r="N1377" t="s">
        <v>302</v>
      </c>
      <c r="O1377">
        <v>1465800</v>
      </c>
    </row>
    <row r="1378" spans="1:15" x14ac:dyDescent="0.4">
      <c r="A1378" t="s">
        <v>311</v>
      </c>
      <c r="B1378">
        <v>70</v>
      </c>
      <c r="C1378" t="s">
        <v>2</v>
      </c>
      <c r="D1378">
        <v>41</v>
      </c>
      <c r="E1378" t="s">
        <v>306</v>
      </c>
      <c r="F1378">
        <v>1613</v>
      </c>
      <c r="G1378" t="s">
        <v>1413</v>
      </c>
      <c r="I1378">
        <v>20003186</v>
      </c>
      <c r="J1378" t="s">
        <v>2724</v>
      </c>
      <c r="K1378">
        <v>800159</v>
      </c>
      <c r="L1378">
        <v>1</v>
      </c>
      <c r="M1378" t="s">
        <v>258</v>
      </c>
      <c r="N1378" t="s">
        <v>263</v>
      </c>
      <c r="O1378">
        <v>1557600</v>
      </c>
    </row>
    <row r="1379" spans="1:15" x14ac:dyDescent="0.4">
      <c r="A1379" t="s">
        <v>186</v>
      </c>
      <c r="B1379">
        <v>60</v>
      </c>
      <c r="C1379" t="s">
        <v>3</v>
      </c>
      <c r="D1379">
        <v>33</v>
      </c>
      <c r="E1379" t="s">
        <v>451</v>
      </c>
      <c r="F1379">
        <v>1273</v>
      </c>
      <c r="G1379" t="s">
        <v>1084</v>
      </c>
      <c r="I1379">
        <v>10034823</v>
      </c>
      <c r="J1379" t="s">
        <v>2725</v>
      </c>
      <c r="K1379">
        <v>800157</v>
      </c>
      <c r="L1379">
        <v>1</v>
      </c>
      <c r="M1379" t="s">
        <v>238</v>
      </c>
      <c r="N1379" t="s">
        <v>189</v>
      </c>
      <c r="O1379">
        <v>802800</v>
      </c>
    </row>
    <row r="1380" spans="1:15" x14ac:dyDescent="0.4">
      <c r="A1380" t="s">
        <v>186</v>
      </c>
      <c r="B1380">
        <v>80</v>
      </c>
      <c r="C1380" t="s">
        <v>4</v>
      </c>
      <c r="D1380">
        <v>81</v>
      </c>
      <c r="E1380" t="s">
        <v>550</v>
      </c>
      <c r="F1380">
        <v>1378</v>
      </c>
      <c r="G1380" t="s">
        <v>881</v>
      </c>
      <c r="I1380">
        <v>10008215</v>
      </c>
      <c r="J1380" t="s">
        <v>2726</v>
      </c>
      <c r="K1380">
        <v>800157</v>
      </c>
      <c r="L1380">
        <v>1</v>
      </c>
      <c r="M1380" t="s">
        <v>238</v>
      </c>
      <c r="N1380" t="s">
        <v>189</v>
      </c>
      <c r="O1380">
        <v>848000</v>
      </c>
    </row>
    <row r="1381" spans="1:15" x14ac:dyDescent="0.4">
      <c r="A1381" t="s">
        <v>230</v>
      </c>
      <c r="B1381">
        <v>76</v>
      </c>
      <c r="C1381" t="s">
        <v>6</v>
      </c>
      <c r="D1381">
        <v>61</v>
      </c>
      <c r="E1381" t="s">
        <v>703</v>
      </c>
      <c r="F1381">
        <v>1602</v>
      </c>
      <c r="G1381" t="s">
        <v>1013</v>
      </c>
      <c r="I1381">
        <v>20003191</v>
      </c>
      <c r="J1381" t="s">
        <v>2727</v>
      </c>
      <c r="K1381">
        <v>800157</v>
      </c>
      <c r="L1381">
        <v>1</v>
      </c>
      <c r="M1381" t="s">
        <v>242</v>
      </c>
      <c r="N1381" t="s">
        <v>245</v>
      </c>
      <c r="O1381">
        <v>784000</v>
      </c>
    </row>
    <row r="1382" spans="1:15" x14ac:dyDescent="0.4">
      <c r="A1382" t="s">
        <v>1479</v>
      </c>
      <c r="B1382">
        <v>50</v>
      </c>
      <c r="C1382" t="s">
        <v>1</v>
      </c>
      <c r="D1382">
        <v>21</v>
      </c>
      <c r="E1382" t="s">
        <v>182</v>
      </c>
      <c r="F1382">
        <v>1264</v>
      </c>
      <c r="G1382" t="s">
        <v>1023</v>
      </c>
      <c r="I1382">
        <v>20003207</v>
      </c>
      <c r="J1382" t="s">
        <v>2728</v>
      </c>
      <c r="K1382">
        <v>800157</v>
      </c>
      <c r="L1382">
        <v>1</v>
      </c>
      <c r="M1382" t="s">
        <v>1487</v>
      </c>
      <c r="N1382" t="s">
        <v>243</v>
      </c>
      <c r="O1382">
        <v>784000</v>
      </c>
    </row>
    <row r="1383" spans="1:15" x14ac:dyDescent="0.4">
      <c r="A1383" t="s">
        <v>268</v>
      </c>
      <c r="B1383">
        <v>60</v>
      </c>
      <c r="C1383" t="s">
        <v>3</v>
      </c>
      <c r="D1383">
        <v>31</v>
      </c>
      <c r="E1383" t="s">
        <v>447</v>
      </c>
      <c r="F1383">
        <v>1299</v>
      </c>
      <c r="G1383" t="s">
        <v>947</v>
      </c>
      <c r="I1383">
        <v>10047043</v>
      </c>
      <c r="J1383" t="s">
        <v>2729</v>
      </c>
      <c r="K1383">
        <v>800159</v>
      </c>
      <c r="L1383">
        <v>1</v>
      </c>
      <c r="M1383" t="s">
        <v>195</v>
      </c>
      <c r="N1383" t="s">
        <v>200</v>
      </c>
      <c r="O1383">
        <v>1032000</v>
      </c>
    </row>
    <row r="1384" spans="1:15" x14ac:dyDescent="0.4">
      <c r="A1384" t="s">
        <v>1594</v>
      </c>
      <c r="B1384">
        <v>70</v>
      </c>
      <c r="C1384" t="s">
        <v>2</v>
      </c>
      <c r="D1384">
        <v>41</v>
      </c>
      <c r="E1384" t="s">
        <v>306</v>
      </c>
      <c r="F1384">
        <v>1552</v>
      </c>
      <c r="G1384" t="s">
        <v>929</v>
      </c>
      <c r="I1384">
        <v>20003139</v>
      </c>
      <c r="J1384" t="s">
        <v>2730</v>
      </c>
      <c r="K1384">
        <v>800157</v>
      </c>
      <c r="L1384">
        <v>1</v>
      </c>
      <c r="M1384" t="s">
        <v>1596</v>
      </c>
      <c r="N1384" t="s">
        <v>252</v>
      </c>
      <c r="O1384">
        <v>784000</v>
      </c>
    </row>
    <row r="1385" spans="1:15" x14ac:dyDescent="0.4">
      <c r="A1385" t="s">
        <v>1589</v>
      </c>
      <c r="B1385">
        <v>50</v>
      </c>
      <c r="C1385" t="s">
        <v>1</v>
      </c>
      <c r="D1385">
        <v>21</v>
      </c>
      <c r="E1385" t="s">
        <v>182</v>
      </c>
      <c r="F1385">
        <v>1264</v>
      </c>
      <c r="G1385" t="s">
        <v>1023</v>
      </c>
      <c r="I1385">
        <v>20003214</v>
      </c>
      <c r="J1385" t="s">
        <v>2731</v>
      </c>
      <c r="K1385">
        <v>800157</v>
      </c>
      <c r="L1385">
        <v>1</v>
      </c>
      <c r="M1385" t="s">
        <v>1594</v>
      </c>
      <c r="N1385" t="s">
        <v>292</v>
      </c>
      <c r="O1385">
        <v>784000</v>
      </c>
    </row>
    <row r="1386" spans="1:15" x14ac:dyDescent="0.4">
      <c r="A1386" t="s">
        <v>1469</v>
      </c>
      <c r="B1386">
        <v>76</v>
      </c>
      <c r="C1386" t="s">
        <v>6</v>
      </c>
      <c r="D1386">
        <v>61</v>
      </c>
      <c r="E1386" t="s">
        <v>703</v>
      </c>
      <c r="F1386">
        <v>1472</v>
      </c>
      <c r="G1386" t="s">
        <v>998</v>
      </c>
      <c r="I1386">
        <v>10045350</v>
      </c>
      <c r="J1386" t="s">
        <v>2732</v>
      </c>
      <c r="K1386">
        <v>800157</v>
      </c>
      <c r="L1386">
        <v>1</v>
      </c>
      <c r="M1386" t="s">
        <v>1475</v>
      </c>
      <c r="N1386" t="s">
        <v>187</v>
      </c>
      <c r="O1386">
        <v>784000</v>
      </c>
    </row>
    <row r="1387" spans="1:15" x14ac:dyDescent="0.4">
      <c r="A1387" t="s">
        <v>275</v>
      </c>
      <c r="B1387">
        <v>70</v>
      </c>
      <c r="C1387" t="s">
        <v>2</v>
      </c>
      <c r="D1387">
        <v>41</v>
      </c>
      <c r="E1387" t="s">
        <v>306</v>
      </c>
      <c r="F1387">
        <v>1445</v>
      </c>
      <c r="G1387" t="s">
        <v>886</v>
      </c>
      <c r="I1387">
        <v>20002071</v>
      </c>
      <c r="J1387" t="s">
        <v>2733</v>
      </c>
      <c r="K1387">
        <v>800157</v>
      </c>
      <c r="L1387">
        <v>1</v>
      </c>
      <c r="M1387" t="s">
        <v>281</v>
      </c>
      <c r="N1387" t="s">
        <v>244</v>
      </c>
      <c r="O1387">
        <v>934400</v>
      </c>
    </row>
    <row r="1388" spans="1:15" x14ac:dyDescent="0.4">
      <c r="A1388" t="s">
        <v>1479</v>
      </c>
      <c r="B1388">
        <v>80</v>
      </c>
      <c r="C1388" t="s">
        <v>4</v>
      </c>
      <c r="D1388">
        <v>71</v>
      </c>
      <c r="E1388" t="s">
        <v>556</v>
      </c>
      <c r="F1388">
        <v>1296</v>
      </c>
      <c r="G1388" t="s">
        <v>964</v>
      </c>
      <c r="I1388">
        <v>10024592</v>
      </c>
      <c r="J1388" t="s">
        <v>2734</v>
      </c>
      <c r="K1388">
        <v>800157</v>
      </c>
      <c r="L1388">
        <v>1</v>
      </c>
      <c r="M1388" t="s">
        <v>1487</v>
      </c>
      <c r="N1388" t="s">
        <v>243</v>
      </c>
      <c r="O1388">
        <v>784000</v>
      </c>
    </row>
    <row r="1389" spans="1:15" x14ac:dyDescent="0.4">
      <c r="A1389" t="s">
        <v>185</v>
      </c>
      <c r="B1389">
        <v>60</v>
      </c>
      <c r="C1389" t="s">
        <v>3</v>
      </c>
      <c r="D1389">
        <v>33</v>
      </c>
      <c r="E1389" t="s">
        <v>451</v>
      </c>
      <c r="F1389">
        <v>1505</v>
      </c>
      <c r="G1389" t="s">
        <v>900</v>
      </c>
      <c r="I1389">
        <v>20002112</v>
      </c>
      <c r="J1389" t="s">
        <v>1946</v>
      </c>
      <c r="K1389">
        <v>800159</v>
      </c>
      <c r="L1389">
        <v>1</v>
      </c>
      <c r="M1389" t="s">
        <v>275</v>
      </c>
      <c r="N1389" t="s">
        <v>234</v>
      </c>
      <c r="O1389">
        <v>1514400</v>
      </c>
    </row>
    <row r="1390" spans="1:15" x14ac:dyDescent="0.4">
      <c r="A1390" t="s">
        <v>242</v>
      </c>
      <c r="B1390">
        <v>60</v>
      </c>
      <c r="C1390" t="s">
        <v>3</v>
      </c>
      <c r="D1390">
        <v>33</v>
      </c>
      <c r="E1390" t="s">
        <v>451</v>
      </c>
      <c r="F1390">
        <v>1220</v>
      </c>
      <c r="G1390" t="s">
        <v>1343</v>
      </c>
      <c r="I1390">
        <v>20010291</v>
      </c>
      <c r="J1390" t="s">
        <v>2735</v>
      </c>
      <c r="K1390">
        <v>800159</v>
      </c>
      <c r="L1390">
        <v>1</v>
      </c>
      <c r="M1390" t="s">
        <v>311</v>
      </c>
      <c r="N1390" t="s">
        <v>316</v>
      </c>
      <c r="O1390">
        <v>774000</v>
      </c>
    </row>
    <row r="1391" spans="1:15" x14ac:dyDescent="0.4">
      <c r="A1391" t="s">
        <v>230</v>
      </c>
      <c r="B1391">
        <v>50</v>
      </c>
      <c r="C1391" t="s">
        <v>1</v>
      </c>
      <c r="D1391">
        <v>11</v>
      </c>
      <c r="E1391" t="s">
        <v>192</v>
      </c>
      <c r="F1391">
        <v>1085</v>
      </c>
      <c r="G1391" t="s">
        <v>854</v>
      </c>
      <c r="I1391">
        <v>10016415</v>
      </c>
      <c r="J1391" t="s">
        <v>2736</v>
      </c>
      <c r="K1391">
        <v>800159</v>
      </c>
      <c r="L1391">
        <v>1</v>
      </c>
      <c r="M1391" t="s">
        <v>242</v>
      </c>
      <c r="N1391" t="s">
        <v>247</v>
      </c>
      <c r="O1391">
        <v>720000</v>
      </c>
    </row>
    <row r="1392" spans="1:15" x14ac:dyDescent="0.4">
      <c r="A1392" t="s">
        <v>250</v>
      </c>
      <c r="B1392">
        <v>60</v>
      </c>
      <c r="C1392" t="s">
        <v>3</v>
      </c>
      <c r="D1392">
        <v>33</v>
      </c>
      <c r="E1392" t="s">
        <v>451</v>
      </c>
      <c r="F1392">
        <v>1220</v>
      </c>
      <c r="G1392" t="s">
        <v>1343</v>
      </c>
      <c r="I1392">
        <v>10034036</v>
      </c>
      <c r="J1392" t="s">
        <v>1526</v>
      </c>
      <c r="K1392">
        <v>800159</v>
      </c>
      <c r="L1392">
        <v>1</v>
      </c>
      <c r="M1392" t="s">
        <v>196</v>
      </c>
      <c r="N1392" t="s">
        <v>215</v>
      </c>
      <c r="O1392">
        <v>1320000</v>
      </c>
    </row>
    <row r="1393" spans="1:15" x14ac:dyDescent="0.4">
      <c r="A1393" t="s">
        <v>1589</v>
      </c>
      <c r="B1393">
        <v>50</v>
      </c>
      <c r="C1393" t="s">
        <v>1</v>
      </c>
      <c r="D1393">
        <v>11</v>
      </c>
      <c r="E1393" t="s">
        <v>192</v>
      </c>
      <c r="F1393">
        <v>1353</v>
      </c>
      <c r="G1393" t="s">
        <v>1017</v>
      </c>
      <c r="I1393">
        <v>20002164</v>
      </c>
      <c r="J1393" t="s">
        <v>2737</v>
      </c>
      <c r="K1393">
        <v>800159</v>
      </c>
      <c r="L1393">
        <v>1</v>
      </c>
      <c r="M1393" t="s">
        <v>1594</v>
      </c>
      <c r="N1393" t="s">
        <v>294</v>
      </c>
      <c r="O1393">
        <v>1320000</v>
      </c>
    </row>
    <row r="1394" spans="1:15" x14ac:dyDescent="0.4">
      <c r="A1394" t="s">
        <v>195</v>
      </c>
      <c r="B1394">
        <v>76</v>
      </c>
      <c r="C1394" t="s">
        <v>6</v>
      </c>
      <c r="D1394">
        <v>61</v>
      </c>
      <c r="E1394" t="s">
        <v>703</v>
      </c>
      <c r="F1394">
        <v>1472</v>
      </c>
      <c r="G1394" t="s">
        <v>998</v>
      </c>
      <c r="I1394">
        <v>20002217</v>
      </c>
      <c r="J1394" t="s">
        <v>2738</v>
      </c>
      <c r="K1394">
        <v>800157</v>
      </c>
      <c r="L1394">
        <v>1</v>
      </c>
      <c r="M1394" t="s">
        <v>185</v>
      </c>
      <c r="N1394" t="s">
        <v>188</v>
      </c>
      <c r="O1394">
        <v>784000</v>
      </c>
    </row>
    <row r="1395" spans="1:15" x14ac:dyDescent="0.4">
      <c r="A1395" t="s">
        <v>1594</v>
      </c>
      <c r="B1395">
        <v>50</v>
      </c>
      <c r="C1395" t="s">
        <v>1</v>
      </c>
      <c r="D1395">
        <v>21</v>
      </c>
      <c r="E1395" t="s">
        <v>182</v>
      </c>
      <c r="F1395">
        <v>1345</v>
      </c>
      <c r="G1395" t="s">
        <v>874</v>
      </c>
      <c r="I1395">
        <v>10029825</v>
      </c>
      <c r="J1395" t="s">
        <v>2739</v>
      </c>
      <c r="K1395">
        <v>800157</v>
      </c>
      <c r="L1395">
        <v>1</v>
      </c>
      <c r="M1395" t="s">
        <v>1596</v>
      </c>
      <c r="N1395" t="s">
        <v>252</v>
      </c>
      <c r="O1395">
        <v>787200</v>
      </c>
    </row>
    <row r="1396" spans="1:15" x14ac:dyDescent="0.4">
      <c r="A1396" t="s">
        <v>1586</v>
      </c>
      <c r="B1396">
        <v>80</v>
      </c>
      <c r="C1396" t="s">
        <v>4</v>
      </c>
      <c r="D1396">
        <v>81</v>
      </c>
      <c r="E1396" t="s">
        <v>550</v>
      </c>
      <c r="F1396">
        <v>1436</v>
      </c>
      <c r="G1396" t="s">
        <v>918</v>
      </c>
      <c r="I1396">
        <v>10050369</v>
      </c>
      <c r="J1396" t="s">
        <v>2740</v>
      </c>
      <c r="K1396">
        <v>800159</v>
      </c>
      <c r="L1396">
        <v>1</v>
      </c>
      <c r="M1396" t="s">
        <v>1589</v>
      </c>
      <c r="N1396" t="s">
        <v>207</v>
      </c>
      <c r="O1396">
        <v>1568400</v>
      </c>
    </row>
    <row r="1397" spans="1:15" x14ac:dyDescent="0.4">
      <c r="A1397" t="s">
        <v>238</v>
      </c>
      <c r="B1397">
        <v>80</v>
      </c>
      <c r="C1397" t="s">
        <v>4</v>
      </c>
      <c r="D1397">
        <v>71</v>
      </c>
      <c r="E1397" t="s">
        <v>556</v>
      </c>
      <c r="F1397">
        <v>1296</v>
      </c>
      <c r="G1397" t="s">
        <v>964</v>
      </c>
      <c r="I1397">
        <v>20002300</v>
      </c>
      <c r="J1397" t="s">
        <v>2741</v>
      </c>
      <c r="K1397">
        <v>800157</v>
      </c>
      <c r="L1397">
        <v>1</v>
      </c>
      <c r="M1397" t="s">
        <v>230</v>
      </c>
      <c r="N1397" t="s">
        <v>233</v>
      </c>
      <c r="O1397">
        <v>806400</v>
      </c>
    </row>
    <row r="1398" spans="1:15" x14ac:dyDescent="0.4">
      <c r="A1398" t="s">
        <v>1479</v>
      </c>
      <c r="B1398">
        <v>70</v>
      </c>
      <c r="C1398" t="s">
        <v>2</v>
      </c>
      <c r="D1398">
        <v>41</v>
      </c>
      <c r="E1398" t="s">
        <v>306</v>
      </c>
      <c r="F1398">
        <v>1383</v>
      </c>
      <c r="G1398" t="s">
        <v>957</v>
      </c>
      <c r="I1398">
        <v>20002354</v>
      </c>
      <c r="J1398" t="s">
        <v>2742</v>
      </c>
      <c r="K1398">
        <v>800157</v>
      </c>
      <c r="L1398">
        <v>1</v>
      </c>
      <c r="M1398" t="s">
        <v>1487</v>
      </c>
      <c r="N1398" t="s">
        <v>243</v>
      </c>
      <c r="O1398">
        <v>784000</v>
      </c>
    </row>
    <row r="1399" spans="1:15" x14ac:dyDescent="0.4">
      <c r="A1399" t="s">
        <v>196</v>
      </c>
      <c r="B1399">
        <v>70</v>
      </c>
      <c r="C1399" t="s">
        <v>2</v>
      </c>
      <c r="D1399">
        <v>41</v>
      </c>
      <c r="E1399" t="s">
        <v>306</v>
      </c>
      <c r="F1399">
        <v>1445</v>
      </c>
      <c r="G1399" t="s">
        <v>886</v>
      </c>
      <c r="I1399">
        <v>20002335</v>
      </c>
      <c r="J1399" t="s">
        <v>2743</v>
      </c>
      <c r="K1399">
        <v>800159</v>
      </c>
      <c r="L1399">
        <v>1</v>
      </c>
      <c r="M1399" t="s">
        <v>186</v>
      </c>
      <c r="N1399" t="s">
        <v>302</v>
      </c>
      <c r="O1399">
        <v>1784400</v>
      </c>
    </row>
    <row r="1400" spans="1:15" x14ac:dyDescent="0.4">
      <c r="A1400" t="s">
        <v>1594</v>
      </c>
      <c r="B1400">
        <v>70</v>
      </c>
      <c r="C1400" t="s">
        <v>2</v>
      </c>
      <c r="D1400">
        <v>41</v>
      </c>
      <c r="E1400" t="s">
        <v>306</v>
      </c>
      <c r="F1400">
        <v>1510</v>
      </c>
      <c r="G1400" t="s">
        <v>870</v>
      </c>
      <c r="I1400">
        <v>10007787</v>
      </c>
      <c r="J1400" t="s">
        <v>2744</v>
      </c>
      <c r="K1400">
        <v>800157</v>
      </c>
      <c r="L1400">
        <v>1</v>
      </c>
      <c r="M1400" t="s">
        <v>1596</v>
      </c>
      <c r="N1400" t="s">
        <v>252</v>
      </c>
      <c r="O1400">
        <v>876800</v>
      </c>
    </row>
    <row r="1401" spans="1:15" x14ac:dyDescent="0.4">
      <c r="A1401" t="s">
        <v>221</v>
      </c>
      <c r="B1401">
        <v>76</v>
      </c>
      <c r="C1401" t="s">
        <v>6</v>
      </c>
      <c r="D1401">
        <v>61</v>
      </c>
      <c r="E1401" t="s">
        <v>703</v>
      </c>
      <c r="F1401">
        <v>1475</v>
      </c>
      <c r="G1401" t="s">
        <v>909</v>
      </c>
      <c r="I1401">
        <v>20002409</v>
      </c>
      <c r="J1401" t="s">
        <v>2745</v>
      </c>
      <c r="K1401">
        <v>800157</v>
      </c>
      <c r="L1401">
        <v>1</v>
      </c>
      <c r="M1401" t="s">
        <v>204</v>
      </c>
      <c r="O1401">
        <v>784000</v>
      </c>
    </row>
    <row r="1402" spans="1:15" x14ac:dyDescent="0.4">
      <c r="A1402" t="s">
        <v>258</v>
      </c>
      <c r="B1402">
        <v>60</v>
      </c>
      <c r="C1402" t="s">
        <v>3</v>
      </c>
      <c r="D1402">
        <v>33</v>
      </c>
      <c r="E1402" t="s">
        <v>451</v>
      </c>
      <c r="F1402">
        <v>1273</v>
      </c>
      <c r="G1402" t="s">
        <v>1084</v>
      </c>
      <c r="I1402">
        <v>10057633</v>
      </c>
      <c r="J1402" t="s">
        <v>2746</v>
      </c>
      <c r="K1402">
        <v>800159</v>
      </c>
      <c r="L1402">
        <v>1</v>
      </c>
      <c r="M1402" t="s">
        <v>221</v>
      </c>
      <c r="N1402" t="s">
        <v>331</v>
      </c>
      <c r="O1402">
        <v>1352400</v>
      </c>
    </row>
    <row r="1403" spans="1:15" x14ac:dyDescent="0.4">
      <c r="A1403" t="s">
        <v>353</v>
      </c>
      <c r="B1403">
        <v>80</v>
      </c>
      <c r="C1403" t="s">
        <v>4</v>
      </c>
      <c r="D1403">
        <v>71</v>
      </c>
      <c r="E1403" t="s">
        <v>556</v>
      </c>
      <c r="F1403">
        <v>1296</v>
      </c>
      <c r="G1403" t="s">
        <v>964</v>
      </c>
      <c r="I1403">
        <v>20002426</v>
      </c>
      <c r="J1403" t="s">
        <v>2747</v>
      </c>
      <c r="K1403">
        <v>800159</v>
      </c>
      <c r="L1403">
        <v>1</v>
      </c>
      <c r="M1403" t="s">
        <v>220</v>
      </c>
      <c r="N1403" t="s">
        <v>225</v>
      </c>
      <c r="O1403">
        <v>1330800</v>
      </c>
    </row>
    <row r="1404" spans="1:15" x14ac:dyDescent="0.4">
      <c r="A1404" t="s">
        <v>376</v>
      </c>
      <c r="B1404">
        <v>76</v>
      </c>
      <c r="C1404" t="s">
        <v>6</v>
      </c>
      <c r="D1404">
        <v>61</v>
      </c>
      <c r="E1404" t="s">
        <v>703</v>
      </c>
      <c r="F1404">
        <v>1472</v>
      </c>
      <c r="G1404" t="s">
        <v>998</v>
      </c>
      <c r="I1404">
        <v>20002425</v>
      </c>
      <c r="J1404" t="s">
        <v>2748</v>
      </c>
      <c r="K1404">
        <v>800159</v>
      </c>
      <c r="L1404">
        <v>1</v>
      </c>
      <c r="M1404" t="s">
        <v>353</v>
      </c>
      <c r="N1404" t="s">
        <v>330</v>
      </c>
      <c r="O1404">
        <v>1422600</v>
      </c>
    </row>
    <row r="1405" spans="1:15" x14ac:dyDescent="0.4">
      <c r="A1405" t="s">
        <v>1594</v>
      </c>
      <c r="B1405">
        <v>80</v>
      </c>
      <c r="C1405" t="s">
        <v>4</v>
      </c>
      <c r="D1405">
        <v>81</v>
      </c>
      <c r="E1405" t="s">
        <v>550</v>
      </c>
      <c r="F1405">
        <v>1154</v>
      </c>
      <c r="G1405" t="s">
        <v>1044</v>
      </c>
      <c r="I1405">
        <v>10014505</v>
      </c>
      <c r="J1405" t="s">
        <v>2749</v>
      </c>
      <c r="K1405">
        <v>800159</v>
      </c>
      <c r="L1405">
        <v>1</v>
      </c>
      <c r="M1405" t="s">
        <v>1596</v>
      </c>
      <c r="N1405" t="s">
        <v>254</v>
      </c>
      <c r="O1405">
        <v>1272000</v>
      </c>
    </row>
    <row r="1406" spans="1:15" x14ac:dyDescent="0.4">
      <c r="A1406" t="s">
        <v>1586</v>
      </c>
      <c r="B1406">
        <v>76</v>
      </c>
      <c r="C1406" t="s">
        <v>6</v>
      </c>
      <c r="D1406">
        <v>61</v>
      </c>
      <c r="E1406" t="s">
        <v>703</v>
      </c>
      <c r="F1406">
        <v>1389</v>
      </c>
      <c r="G1406" t="s">
        <v>1197</v>
      </c>
      <c r="I1406">
        <v>10057052</v>
      </c>
      <c r="J1406" t="s">
        <v>2153</v>
      </c>
      <c r="K1406">
        <v>800157</v>
      </c>
      <c r="L1406">
        <v>1</v>
      </c>
      <c r="M1406" t="s">
        <v>1589</v>
      </c>
      <c r="N1406" t="s">
        <v>205</v>
      </c>
      <c r="O1406">
        <v>787200</v>
      </c>
    </row>
    <row r="1407" spans="1:15" x14ac:dyDescent="0.4">
      <c r="A1407" t="s">
        <v>363</v>
      </c>
      <c r="B1407">
        <v>76</v>
      </c>
      <c r="C1407" t="s">
        <v>6</v>
      </c>
      <c r="D1407">
        <v>61</v>
      </c>
      <c r="E1407" t="s">
        <v>703</v>
      </c>
      <c r="F1407">
        <v>1389</v>
      </c>
      <c r="G1407" t="s">
        <v>1197</v>
      </c>
      <c r="I1407">
        <v>10023612</v>
      </c>
      <c r="J1407" t="s">
        <v>2011</v>
      </c>
      <c r="K1407">
        <v>800159</v>
      </c>
      <c r="L1407">
        <v>1</v>
      </c>
      <c r="M1407" t="s">
        <v>376</v>
      </c>
      <c r="N1407" t="s">
        <v>262</v>
      </c>
      <c r="O1407">
        <v>1320000</v>
      </c>
    </row>
    <row r="1408" spans="1:15" x14ac:dyDescent="0.4">
      <c r="A1408" t="s">
        <v>353</v>
      </c>
      <c r="B1408">
        <v>76</v>
      </c>
      <c r="C1408" t="s">
        <v>6</v>
      </c>
      <c r="D1408">
        <v>61</v>
      </c>
      <c r="E1408" t="s">
        <v>703</v>
      </c>
      <c r="F1408">
        <v>1472</v>
      </c>
      <c r="G1408" t="s">
        <v>998</v>
      </c>
      <c r="I1408">
        <v>10054279</v>
      </c>
      <c r="J1408" t="s">
        <v>1747</v>
      </c>
      <c r="K1408">
        <v>800157</v>
      </c>
      <c r="L1408">
        <v>1</v>
      </c>
      <c r="M1408" t="s">
        <v>220</v>
      </c>
      <c r="N1408" t="s">
        <v>223</v>
      </c>
      <c r="O1408">
        <v>784000</v>
      </c>
    </row>
    <row r="1409" spans="1:15" x14ac:dyDescent="0.4">
      <c r="A1409" t="s">
        <v>186</v>
      </c>
      <c r="B1409">
        <v>50</v>
      </c>
      <c r="C1409" t="s">
        <v>1</v>
      </c>
      <c r="D1409">
        <v>11</v>
      </c>
      <c r="E1409" t="s">
        <v>192</v>
      </c>
      <c r="F1409">
        <v>1353</v>
      </c>
      <c r="G1409" t="s">
        <v>1017</v>
      </c>
      <c r="I1409">
        <v>10026536</v>
      </c>
      <c r="J1409" t="s">
        <v>2750</v>
      </c>
      <c r="K1409">
        <v>800159</v>
      </c>
      <c r="L1409">
        <v>1</v>
      </c>
      <c r="M1409" t="s">
        <v>238</v>
      </c>
      <c r="N1409" t="s">
        <v>239</v>
      </c>
      <c r="O1409">
        <v>1320000</v>
      </c>
    </row>
    <row r="1410" spans="1:15" x14ac:dyDescent="0.4">
      <c r="A1410" t="s">
        <v>363</v>
      </c>
      <c r="B1410">
        <v>50</v>
      </c>
      <c r="C1410" t="s">
        <v>1</v>
      </c>
      <c r="D1410">
        <v>21</v>
      </c>
      <c r="E1410" t="s">
        <v>182</v>
      </c>
      <c r="F1410">
        <v>1345</v>
      </c>
      <c r="G1410" t="s">
        <v>874</v>
      </c>
      <c r="I1410">
        <v>20002468</v>
      </c>
      <c r="J1410" t="s">
        <v>1989</v>
      </c>
      <c r="K1410">
        <v>800159</v>
      </c>
      <c r="L1410">
        <v>1</v>
      </c>
      <c r="M1410" t="s">
        <v>376</v>
      </c>
      <c r="N1410" t="s">
        <v>262</v>
      </c>
      <c r="O1410">
        <v>1325400</v>
      </c>
    </row>
    <row r="1411" spans="1:15" x14ac:dyDescent="0.4">
      <c r="A1411" t="s">
        <v>275</v>
      </c>
      <c r="B1411">
        <v>60</v>
      </c>
      <c r="C1411" t="s">
        <v>3</v>
      </c>
      <c r="D1411">
        <v>31</v>
      </c>
      <c r="E1411" t="s">
        <v>447</v>
      </c>
      <c r="F1411">
        <v>1299</v>
      </c>
      <c r="G1411" t="s">
        <v>947</v>
      </c>
      <c r="I1411">
        <v>10044862</v>
      </c>
      <c r="J1411" t="s">
        <v>2751</v>
      </c>
      <c r="K1411">
        <v>800159</v>
      </c>
      <c r="L1411">
        <v>1</v>
      </c>
      <c r="M1411" t="s">
        <v>281</v>
      </c>
      <c r="N1411" t="s">
        <v>246</v>
      </c>
      <c r="O1411">
        <v>1320000</v>
      </c>
    </row>
    <row r="1412" spans="1:15" x14ac:dyDescent="0.4">
      <c r="A1412" t="s">
        <v>1548</v>
      </c>
      <c r="B1412">
        <v>60</v>
      </c>
      <c r="C1412" t="s">
        <v>3</v>
      </c>
      <c r="D1412">
        <v>33</v>
      </c>
      <c r="E1412" t="s">
        <v>451</v>
      </c>
      <c r="F1412">
        <v>1220</v>
      </c>
      <c r="G1412" t="s">
        <v>1343</v>
      </c>
      <c r="I1412">
        <v>10059787</v>
      </c>
      <c r="J1412" t="s">
        <v>2752</v>
      </c>
      <c r="K1412">
        <v>800157</v>
      </c>
      <c r="L1412">
        <v>1</v>
      </c>
      <c r="M1412" t="s">
        <v>1586</v>
      </c>
      <c r="N1412" t="s">
        <v>222</v>
      </c>
      <c r="O1412">
        <v>1062000</v>
      </c>
    </row>
    <row r="1413" spans="1:15" x14ac:dyDescent="0.4">
      <c r="A1413" t="s">
        <v>1586</v>
      </c>
      <c r="B1413">
        <v>50</v>
      </c>
      <c r="C1413" t="s">
        <v>1</v>
      </c>
      <c r="D1413">
        <v>21</v>
      </c>
      <c r="E1413" t="s">
        <v>182</v>
      </c>
      <c r="F1413">
        <v>1166</v>
      </c>
      <c r="G1413" t="s">
        <v>1082</v>
      </c>
      <c r="I1413">
        <v>10040253</v>
      </c>
      <c r="J1413" t="s">
        <v>2753</v>
      </c>
      <c r="K1413">
        <v>800159</v>
      </c>
      <c r="L1413">
        <v>1</v>
      </c>
      <c r="M1413" t="s">
        <v>1589</v>
      </c>
      <c r="N1413" t="s">
        <v>207</v>
      </c>
      <c r="O1413">
        <v>1212000</v>
      </c>
    </row>
    <row r="1414" spans="1:15" x14ac:dyDescent="0.4">
      <c r="A1414" t="s">
        <v>353</v>
      </c>
      <c r="B1414">
        <v>50</v>
      </c>
      <c r="C1414" t="s">
        <v>1</v>
      </c>
      <c r="D1414">
        <v>21</v>
      </c>
      <c r="E1414" t="s">
        <v>182</v>
      </c>
      <c r="F1414">
        <v>1166</v>
      </c>
      <c r="G1414" t="s">
        <v>1082</v>
      </c>
      <c r="I1414">
        <v>20002581</v>
      </c>
      <c r="J1414" t="s">
        <v>2754</v>
      </c>
      <c r="K1414">
        <v>800159</v>
      </c>
      <c r="L1414">
        <v>1</v>
      </c>
      <c r="M1414" t="s">
        <v>220</v>
      </c>
      <c r="N1414" t="s">
        <v>225</v>
      </c>
      <c r="O1414">
        <v>1330800</v>
      </c>
    </row>
    <row r="1415" spans="1:15" x14ac:dyDescent="0.4">
      <c r="A1415" t="s">
        <v>1479</v>
      </c>
      <c r="B1415">
        <v>75</v>
      </c>
      <c r="C1415" t="s">
        <v>5</v>
      </c>
      <c r="D1415">
        <v>51</v>
      </c>
      <c r="E1415" t="s">
        <v>657</v>
      </c>
      <c r="F1415">
        <v>1435</v>
      </c>
      <c r="G1415" t="s">
        <v>860</v>
      </c>
      <c r="I1415">
        <v>10009756</v>
      </c>
      <c r="J1415" t="s">
        <v>183</v>
      </c>
      <c r="K1415">
        <v>800157</v>
      </c>
      <c r="L1415">
        <v>1</v>
      </c>
      <c r="M1415" t="s">
        <v>1487</v>
      </c>
      <c r="N1415" t="s">
        <v>243</v>
      </c>
      <c r="O1415">
        <v>784000</v>
      </c>
    </row>
    <row r="1416" spans="1:15" x14ac:dyDescent="0.4">
      <c r="A1416" t="s">
        <v>275</v>
      </c>
      <c r="B1416">
        <v>60</v>
      </c>
      <c r="C1416" t="s">
        <v>3</v>
      </c>
      <c r="D1416">
        <v>31</v>
      </c>
      <c r="E1416" t="s">
        <v>447</v>
      </c>
      <c r="F1416">
        <v>1616</v>
      </c>
      <c r="G1416" t="s">
        <v>1659</v>
      </c>
      <c r="I1416">
        <v>20002602</v>
      </c>
      <c r="J1416" t="s">
        <v>2755</v>
      </c>
      <c r="K1416">
        <v>800159</v>
      </c>
      <c r="L1416">
        <v>1</v>
      </c>
      <c r="M1416" t="s">
        <v>281</v>
      </c>
      <c r="N1416" t="s">
        <v>246</v>
      </c>
      <c r="O1416">
        <v>1498200</v>
      </c>
    </row>
    <row r="1417" spans="1:15" x14ac:dyDescent="0.4">
      <c r="A1417" t="s">
        <v>250</v>
      </c>
      <c r="B1417">
        <v>50</v>
      </c>
      <c r="C1417" t="s">
        <v>1</v>
      </c>
      <c r="D1417">
        <v>21</v>
      </c>
      <c r="E1417" t="s">
        <v>182</v>
      </c>
      <c r="F1417">
        <v>1264</v>
      </c>
      <c r="G1417" t="s">
        <v>1023</v>
      </c>
      <c r="I1417">
        <v>10046607</v>
      </c>
      <c r="J1417" t="s">
        <v>2756</v>
      </c>
      <c r="K1417">
        <v>800159</v>
      </c>
      <c r="L1417">
        <v>1</v>
      </c>
      <c r="M1417" t="s">
        <v>196</v>
      </c>
      <c r="N1417" t="s">
        <v>215</v>
      </c>
      <c r="O1417">
        <v>1390200</v>
      </c>
    </row>
    <row r="1418" spans="1:15" x14ac:dyDescent="0.4">
      <c r="A1418" t="s">
        <v>1479</v>
      </c>
      <c r="B1418">
        <v>76</v>
      </c>
      <c r="C1418" t="s">
        <v>6</v>
      </c>
      <c r="D1418">
        <v>61</v>
      </c>
      <c r="E1418" t="s">
        <v>703</v>
      </c>
      <c r="F1418">
        <v>1475</v>
      </c>
      <c r="G1418" t="s">
        <v>909</v>
      </c>
      <c r="I1418">
        <v>10012533</v>
      </c>
      <c r="J1418" t="s">
        <v>2757</v>
      </c>
      <c r="K1418">
        <v>800157</v>
      </c>
      <c r="L1418">
        <v>1</v>
      </c>
      <c r="M1418" t="s">
        <v>1487</v>
      </c>
      <c r="N1418" t="s">
        <v>243</v>
      </c>
      <c r="O1418">
        <v>915200</v>
      </c>
    </row>
    <row r="1419" spans="1:15" x14ac:dyDescent="0.4">
      <c r="A1419" t="s">
        <v>268</v>
      </c>
      <c r="B1419">
        <v>80</v>
      </c>
      <c r="C1419" t="s">
        <v>4</v>
      </c>
      <c r="D1419">
        <v>81</v>
      </c>
      <c r="E1419" t="s">
        <v>550</v>
      </c>
      <c r="F1419">
        <v>1154</v>
      </c>
      <c r="G1419" t="s">
        <v>1044</v>
      </c>
      <c r="I1419">
        <v>20002606</v>
      </c>
      <c r="J1419" t="s">
        <v>2758</v>
      </c>
      <c r="K1419">
        <v>800159</v>
      </c>
      <c r="L1419">
        <v>1</v>
      </c>
      <c r="M1419" t="s">
        <v>195</v>
      </c>
      <c r="N1419" t="s">
        <v>200</v>
      </c>
      <c r="O1419">
        <v>840000</v>
      </c>
    </row>
    <row r="1420" spans="1:15" x14ac:dyDescent="0.4">
      <c r="A1420" t="s">
        <v>268</v>
      </c>
      <c r="B1420">
        <v>70</v>
      </c>
      <c r="C1420" t="s">
        <v>2</v>
      </c>
      <c r="D1420">
        <v>41</v>
      </c>
      <c r="E1420" t="s">
        <v>306</v>
      </c>
      <c r="F1420">
        <v>1552</v>
      </c>
      <c r="G1420" t="s">
        <v>929</v>
      </c>
      <c r="I1420">
        <v>20003066</v>
      </c>
      <c r="J1420" t="s">
        <v>2759</v>
      </c>
      <c r="K1420">
        <v>800159</v>
      </c>
      <c r="L1420">
        <v>1</v>
      </c>
      <c r="M1420" t="s">
        <v>195</v>
      </c>
      <c r="N1420" t="s">
        <v>200</v>
      </c>
      <c r="O1420">
        <v>1368600</v>
      </c>
    </row>
    <row r="1421" spans="1:15" x14ac:dyDescent="0.4">
      <c r="A1421" t="s">
        <v>311</v>
      </c>
      <c r="B1421">
        <v>76</v>
      </c>
      <c r="C1421" t="s">
        <v>6</v>
      </c>
      <c r="D1421">
        <v>61</v>
      </c>
      <c r="E1421" t="s">
        <v>703</v>
      </c>
      <c r="F1421">
        <v>1475</v>
      </c>
      <c r="G1421" t="s">
        <v>909</v>
      </c>
      <c r="I1421">
        <v>10038379</v>
      </c>
      <c r="J1421" t="s">
        <v>2760</v>
      </c>
      <c r="K1421">
        <v>800157</v>
      </c>
      <c r="L1421">
        <v>1</v>
      </c>
      <c r="M1421" t="s">
        <v>258</v>
      </c>
      <c r="N1421" t="s">
        <v>261</v>
      </c>
      <c r="O1421">
        <v>812800</v>
      </c>
    </row>
    <row r="1422" spans="1:15" x14ac:dyDescent="0.4">
      <c r="A1422" t="s">
        <v>275</v>
      </c>
      <c r="B1422">
        <v>60</v>
      </c>
      <c r="C1422" t="s">
        <v>3</v>
      </c>
      <c r="D1422">
        <v>31</v>
      </c>
      <c r="E1422" t="s">
        <v>447</v>
      </c>
      <c r="F1422">
        <v>1116</v>
      </c>
      <c r="G1422" t="s">
        <v>1075</v>
      </c>
      <c r="I1422">
        <v>10036029</v>
      </c>
      <c r="J1422" t="s">
        <v>2043</v>
      </c>
      <c r="K1422">
        <v>800159</v>
      </c>
      <c r="L1422">
        <v>1</v>
      </c>
      <c r="M1422" t="s">
        <v>281</v>
      </c>
      <c r="N1422" t="s">
        <v>246</v>
      </c>
      <c r="O1422">
        <v>1514400</v>
      </c>
    </row>
    <row r="1423" spans="1:15" x14ac:dyDescent="0.4">
      <c r="A1423" t="s">
        <v>196</v>
      </c>
      <c r="B1423">
        <v>80</v>
      </c>
      <c r="C1423" t="s">
        <v>4</v>
      </c>
      <c r="D1423">
        <v>71</v>
      </c>
      <c r="E1423" t="s">
        <v>556</v>
      </c>
      <c r="F1423">
        <v>1296</v>
      </c>
      <c r="G1423" t="s">
        <v>964</v>
      </c>
      <c r="I1423">
        <v>10044246</v>
      </c>
      <c r="J1423" t="s">
        <v>2761</v>
      </c>
      <c r="K1423">
        <v>800159</v>
      </c>
      <c r="L1423">
        <v>1</v>
      </c>
      <c r="M1423" t="s">
        <v>186</v>
      </c>
      <c r="N1423" t="s">
        <v>302</v>
      </c>
      <c r="O1423">
        <v>1422600</v>
      </c>
    </row>
    <row r="1424" spans="1:15" x14ac:dyDescent="0.4">
      <c r="A1424" t="s">
        <v>258</v>
      </c>
      <c r="B1424">
        <v>60</v>
      </c>
      <c r="C1424" t="s">
        <v>3</v>
      </c>
      <c r="D1424">
        <v>33</v>
      </c>
      <c r="E1424" t="s">
        <v>451</v>
      </c>
      <c r="F1424">
        <v>1273</v>
      </c>
      <c r="G1424" t="s">
        <v>1084</v>
      </c>
      <c r="I1424">
        <v>20002704</v>
      </c>
      <c r="J1424" t="s">
        <v>2762</v>
      </c>
      <c r="K1424">
        <v>800159</v>
      </c>
      <c r="L1424">
        <v>1</v>
      </c>
      <c r="M1424" t="s">
        <v>221</v>
      </c>
      <c r="N1424" t="s">
        <v>331</v>
      </c>
      <c r="O1424">
        <v>1320000</v>
      </c>
    </row>
    <row r="1425" spans="1:15" x14ac:dyDescent="0.4">
      <c r="A1425" t="s">
        <v>1475</v>
      </c>
      <c r="B1425">
        <v>60</v>
      </c>
      <c r="C1425" t="s">
        <v>3</v>
      </c>
      <c r="D1425">
        <v>33</v>
      </c>
      <c r="E1425" t="s">
        <v>451</v>
      </c>
      <c r="F1425">
        <v>1372</v>
      </c>
      <c r="G1425" t="s">
        <v>992</v>
      </c>
      <c r="I1425">
        <v>10044233</v>
      </c>
      <c r="J1425" t="s">
        <v>2763</v>
      </c>
      <c r="K1425">
        <v>800157</v>
      </c>
      <c r="L1425">
        <v>1</v>
      </c>
      <c r="M1425" t="s">
        <v>1479</v>
      </c>
      <c r="N1425" t="s">
        <v>231</v>
      </c>
      <c r="O1425">
        <v>806400</v>
      </c>
    </row>
    <row r="1426" spans="1:15" x14ac:dyDescent="0.4">
      <c r="A1426" t="s">
        <v>1548</v>
      </c>
      <c r="B1426">
        <v>76</v>
      </c>
      <c r="C1426" t="s">
        <v>6</v>
      </c>
      <c r="D1426">
        <v>61</v>
      </c>
      <c r="E1426" t="s">
        <v>703</v>
      </c>
      <c r="F1426">
        <v>1602</v>
      </c>
      <c r="G1426" t="s">
        <v>1013</v>
      </c>
      <c r="I1426">
        <v>20002730</v>
      </c>
      <c r="J1426" t="s">
        <v>2764</v>
      </c>
      <c r="K1426">
        <v>800157</v>
      </c>
      <c r="L1426">
        <v>1</v>
      </c>
      <c r="M1426" t="s">
        <v>1586</v>
      </c>
      <c r="N1426" t="s">
        <v>222</v>
      </c>
      <c r="O1426">
        <v>787200</v>
      </c>
    </row>
    <row r="1427" spans="1:15" x14ac:dyDescent="0.4">
      <c r="A1427" t="s">
        <v>1586</v>
      </c>
      <c r="B1427">
        <v>80</v>
      </c>
      <c r="C1427" t="s">
        <v>4</v>
      </c>
      <c r="D1427">
        <v>71</v>
      </c>
      <c r="E1427" t="s">
        <v>556</v>
      </c>
      <c r="F1427">
        <v>1296</v>
      </c>
      <c r="G1427" t="s">
        <v>964</v>
      </c>
      <c r="I1427">
        <v>10028272</v>
      </c>
      <c r="J1427" t="s">
        <v>2765</v>
      </c>
      <c r="K1427">
        <v>800157</v>
      </c>
      <c r="L1427">
        <v>1</v>
      </c>
      <c r="M1427" t="s">
        <v>1589</v>
      </c>
      <c r="N1427" t="s">
        <v>205</v>
      </c>
      <c r="O1427">
        <v>486000</v>
      </c>
    </row>
    <row r="1428" spans="1:15" x14ac:dyDescent="0.4">
      <c r="A1428" t="s">
        <v>196</v>
      </c>
      <c r="B1428">
        <v>76</v>
      </c>
      <c r="C1428" t="s">
        <v>6</v>
      </c>
      <c r="D1428">
        <v>61</v>
      </c>
      <c r="E1428" t="s">
        <v>703</v>
      </c>
      <c r="F1428">
        <v>1563</v>
      </c>
      <c r="G1428" t="s">
        <v>942</v>
      </c>
      <c r="I1428">
        <v>20002691</v>
      </c>
      <c r="J1428" t="s">
        <v>2766</v>
      </c>
      <c r="K1428">
        <v>800159</v>
      </c>
      <c r="L1428">
        <v>1</v>
      </c>
      <c r="M1428" t="s">
        <v>186</v>
      </c>
      <c r="N1428" t="s">
        <v>302</v>
      </c>
      <c r="O1428">
        <v>1460400</v>
      </c>
    </row>
    <row r="1429" spans="1:15" x14ac:dyDescent="0.4">
      <c r="A1429" t="s">
        <v>281</v>
      </c>
      <c r="B1429">
        <v>76</v>
      </c>
      <c r="C1429" t="s">
        <v>6</v>
      </c>
      <c r="D1429">
        <v>61</v>
      </c>
      <c r="E1429" t="s">
        <v>703</v>
      </c>
      <c r="F1429">
        <v>1468</v>
      </c>
      <c r="G1429" t="s">
        <v>914</v>
      </c>
      <c r="I1429">
        <v>10037314</v>
      </c>
      <c r="J1429" t="s">
        <v>2767</v>
      </c>
      <c r="K1429">
        <v>800159</v>
      </c>
      <c r="L1429">
        <v>1</v>
      </c>
      <c r="M1429" t="s">
        <v>363</v>
      </c>
      <c r="N1429" t="s">
        <v>315</v>
      </c>
      <c r="O1429">
        <v>1320000</v>
      </c>
    </row>
    <row r="1430" spans="1:15" x14ac:dyDescent="0.4">
      <c r="A1430" t="s">
        <v>1586</v>
      </c>
      <c r="B1430">
        <v>50</v>
      </c>
      <c r="C1430" t="s">
        <v>1</v>
      </c>
      <c r="D1430">
        <v>21</v>
      </c>
      <c r="E1430" t="s">
        <v>182</v>
      </c>
      <c r="F1430">
        <v>1166</v>
      </c>
      <c r="G1430" t="s">
        <v>1082</v>
      </c>
      <c r="I1430">
        <v>20002741</v>
      </c>
      <c r="J1430" t="s">
        <v>2768</v>
      </c>
      <c r="K1430">
        <v>800157</v>
      </c>
      <c r="L1430">
        <v>1</v>
      </c>
      <c r="M1430" t="s">
        <v>1589</v>
      </c>
      <c r="N1430" t="s">
        <v>205</v>
      </c>
      <c r="O1430">
        <v>748800</v>
      </c>
    </row>
    <row r="1431" spans="1:15" x14ac:dyDescent="0.4">
      <c r="A1431" t="s">
        <v>363</v>
      </c>
      <c r="B1431">
        <v>76</v>
      </c>
      <c r="C1431" t="s">
        <v>6</v>
      </c>
      <c r="D1431">
        <v>61</v>
      </c>
      <c r="E1431" t="s">
        <v>703</v>
      </c>
      <c r="F1431">
        <v>1468</v>
      </c>
      <c r="G1431" t="s">
        <v>914</v>
      </c>
      <c r="I1431">
        <v>10010226</v>
      </c>
      <c r="J1431" t="s">
        <v>2769</v>
      </c>
      <c r="K1431">
        <v>800159</v>
      </c>
      <c r="L1431">
        <v>1</v>
      </c>
      <c r="M1431" t="s">
        <v>376</v>
      </c>
      <c r="N1431" t="s">
        <v>262</v>
      </c>
      <c r="O1431">
        <v>1352400</v>
      </c>
    </row>
    <row r="1432" spans="1:15" x14ac:dyDescent="0.4">
      <c r="A1432" t="s">
        <v>1596</v>
      </c>
      <c r="B1432">
        <v>60</v>
      </c>
      <c r="C1432" t="s">
        <v>3</v>
      </c>
      <c r="D1432">
        <v>33</v>
      </c>
      <c r="E1432" t="s">
        <v>451</v>
      </c>
      <c r="F1432">
        <v>1220</v>
      </c>
      <c r="G1432" t="s">
        <v>1343</v>
      </c>
      <c r="I1432">
        <v>20003117</v>
      </c>
      <c r="J1432" t="s">
        <v>2770</v>
      </c>
      <c r="K1432">
        <v>800159</v>
      </c>
      <c r="L1432">
        <v>1</v>
      </c>
      <c r="M1432" t="s">
        <v>268</v>
      </c>
      <c r="N1432" t="s">
        <v>214</v>
      </c>
      <c r="O1432">
        <v>1363200</v>
      </c>
    </row>
    <row r="1433" spans="1:15" x14ac:dyDescent="0.4">
      <c r="A1433" t="s">
        <v>238</v>
      </c>
      <c r="B1433">
        <v>60</v>
      </c>
      <c r="C1433" t="s">
        <v>3</v>
      </c>
      <c r="D1433">
        <v>31</v>
      </c>
      <c r="E1433" t="s">
        <v>447</v>
      </c>
      <c r="F1433">
        <v>1299</v>
      </c>
      <c r="G1433" t="s">
        <v>947</v>
      </c>
      <c r="I1433">
        <v>10052322</v>
      </c>
      <c r="J1433" t="s">
        <v>2771</v>
      </c>
      <c r="K1433">
        <v>800159</v>
      </c>
      <c r="L1433">
        <v>1</v>
      </c>
      <c r="M1433" t="s">
        <v>230</v>
      </c>
      <c r="N1433" t="s">
        <v>235</v>
      </c>
      <c r="O1433">
        <v>1338000</v>
      </c>
    </row>
    <row r="1434" spans="1:15" x14ac:dyDescent="0.4">
      <c r="A1434" t="s">
        <v>268</v>
      </c>
      <c r="B1434">
        <v>76</v>
      </c>
      <c r="C1434" t="s">
        <v>6</v>
      </c>
      <c r="D1434">
        <v>61</v>
      </c>
      <c r="E1434" t="s">
        <v>703</v>
      </c>
      <c r="F1434">
        <v>1475</v>
      </c>
      <c r="G1434" t="s">
        <v>909</v>
      </c>
      <c r="I1434">
        <v>20003246</v>
      </c>
      <c r="J1434" t="s">
        <v>2772</v>
      </c>
      <c r="K1434">
        <v>800157</v>
      </c>
      <c r="L1434">
        <v>1</v>
      </c>
      <c r="M1434" t="s">
        <v>195</v>
      </c>
      <c r="N1434" t="s">
        <v>198</v>
      </c>
      <c r="O1434">
        <v>800000</v>
      </c>
    </row>
    <row r="1435" spans="1:15" x14ac:dyDescent="0.4">
      <c r="A1435" t="s">
        <v>238</v>
      </c>
      <c r="B1435">
        <v>60</v>
      </c>
      <c r="C1435" t="s">
        <v>3</v>
      </c>
      <c r="D1435">
        <v>31</v>
      </c>
      <c r="E1435" t="s">
        <v>447</v>
      </c>
      <c r="F1435">
        <v>1299</v>
      </c>
      <c r="G1435" t="s">
        <v>947</v>
      </c>
      <c r="I1435">
        <v>10008462</v>
      </c>
      <c r="J1435" t="s">
        <v>2773</v>
      </c>
      <c r="K1435">
        <v>800159</v>
      </c>
      <c r="L1435">
        <v>1</v>
      </c>
      <c r="M1435" t="s">
        <v>230</v>
      </c>
      <c r="N1435" t="s">
        <v>235</v>
      </c>
      <c r="O1435">
        <v>1266000</v>
      </c>
    </row>
    <row r="1436" spans="1:15" x14ac:dyDescent="0.4">
      <c r="A1436" t="s">
        <v>311</v>
      </c>
      <c r="B1436">
        <v>80</v>
      </c>
      <c r="C1436" t="s">
        <v>4</v>
      </c>
      <c r="D1436">
        <v>71</v>
      </c>
      <c r="E1436" t="s">
        <v>556</v>
      </c>
      <c r="F1436">
        <v>1296</v>
      </c>
      <c r="G1436" t="s">
        <v>964</v>
      </c>
      <c r="I1436">
        <v>20003035</v>
      </c>
      <c r="J1436" t="s">
        <v>2774</v>
      </c>
      <c r="K1436">
        <v>800159</v>
      </c>
      <c r="L1436">
        <v>1</v>
      </c>
      <c r="M1436" t="s">
        <v>258</v>
      </c>
      <c r="N1436" t="s">
        <v>263</v>
      </c>
      <c r="O1436">
        <v>1242000</v>
      </c>
    </row>
    <row r="1437" spans="1:15" x14ac:dyDescent="0.4">
      <c r="A1437" t="s">
        <v>275</v>
      </c>
      <c r="B1437">
        <v>80</v>
      </c>
      <c r="C1437" t="s">
        <v>4</v>
      </c>
      <c r="D1437">
        <v>81</v>
      </c>
      <c r="E1437" t="s">
        <v>550</v>
      </c>
      <c r="F1437">
        <v>1436</v>
      </c>
      <c r="G1437" t="s">
        <v>918</v>
      </c>
      <c r="I1437">
        <v>20003278</v>
      </c>
      <c r="J1437" t="s">
        <v>2775</v>
      </c>
      <c r="K1437">
        <v>800157</v>
      </c>
      <c r="L1437">
        <v>1</v>
      </c>
      <c r="M1437" t="s">
        <v>281</v>
      </c>
      <c r="N1437" t="s">
        <v>244</v>
      </c>
      <c r="O1437">
        <v>504000</v>
      </c>
    </row>
    <row r="1438" spans="1:15" x14ac:dyDescent="0.4">
      <c r="A1438" t="s">
        <v>220</v>
      </c>
      <c r="B1438">
        <v>76</v>
      </c>
      <c r="C1438" t="s">
        <v>6</v>
      </c>
      <c r="D1438">
        <v>61</v>
      </c>
      <c r="E1438" t="s">
        <v>703</v>
      </c>
      <c r="F1438">
        <v>1602</v>
      </c>
      <c r="G1438" t="s">
        <v>1013</v>
      </c>
      <c r="I1438">
        <v>10063618</v>
      </c>
      <c r="J1438" t="s">
        <v>2776</v>
      </c>
      <c r="K1438">
        <v>800157</v>
      </c>
      <c r="L1438">
        <v>1</v>
      </c>
      <c r="M1438" t="s">
        <v>203</v>
      </c>
      <c r="N1438" t="s">
        <v>206</v>
      </c>
      <c r="O1438">
        <v>784000</v>
      </c>
    </row>
    <row r="1439" spans="1:15" x14ac:dyDescent="0.4">
      <c r="A1439" t="s">
        <v>258</v>
      </c>
      <c r="B1439">
        <v>50</v>
      </c>
      <c r="C1439" t="s">
        <v>1</v>
      </c>
      <c r="D1439">
        <v>11</v>
      </c>
      <c r="E1439" t="s">
        <v>192</v>
      </c>
      <c r="F1439">
        <v>1353</v>
      </c>
      <c r="G1439" t="s">
        <v>1017</v>
      </c>
      <c r="I1439">
        <v>20003304</v>
      </c>
      <c r="J1439" t="s">
        <v>2777</v>
      </c>
      <c r="K1439">
        <v>800159</v>
      </c>
      <c r="L1439">
        <v>1</v>
      </c>
      <c r="M1439" t="s">
        <v>221</v>
      </c>
      <c r="N1439" t="s">
        <v>331</v>
      </c>
      <c r="O1439">
        <v>1325400</v>
      </c>
    </row>
    <row r="1440" spans="1:15" x14ac:dyDescent="0.4">
      <c r="A1440" t="s">
        <v>268</v>
      </c>
      <c r="B1440">
        <v>76</v>
      </c>
      <c r="C1440" t="s">
        <v>6</v>
      </c>
      <c r="D1440">
        <v>61</v>
      </c>
      <c r="E1440" t="s">
        <v>703</v>
      </c>
      <c r="F1440">
        <v>1389</v>
      </c>
      <c r="G1440" t="s">
        <v>1197</v>
      </c>
      <c r="I1440">
        <v>20003293</v>
      </c>
      <c r="J1440" t="s">
        <v>2778</v>
      </c>
      <c r="K1440">
        <v>800157</v>
      </c>
      <c r="L1440">
        <v>1</v>
      </c>
      <c r="M1440" t="s">
        <v>195</v>
      </c>
      <c r="N1440" t="s">
        <v>198</v>
      </c>
      <c r="O1440">
        <v>787200</v>
      </c>
    </row>
    <row r="1441" spans="1:15" x14ac:dyDescent="0.4">
      <c r="A1441" t="s">
        <v>220</v>
      </c>
      <c r="B1441">
        <v>70</v>
      </c>
      <c r="C1441" t="s">
        <v>2</v>
      </c>
      <c r="D1441">
        <v>41</v>
      </c>
      <c r="E1441" t="s">
        <v>306</v>
      </c>
      <c r="F1441">
        <v>1552</v>
      </c>
      <c r="G1441" t="s">
        <v>929</v>
      </c>
      <c r="I1441">
        <v>20003340</v>
      </c>
      <c r="J1441" t="s">
        <v>2779</v>
      </c>
      <c r="K1441">
        <v>800155</v>
      </c>
      <c r="L1441">
        <v>1</v>
      </c>
      <c r="M1441" t="s">
        <v>203</v>
      </c>
      <c r="N1441" t="s">
        <v>204</v>
      </c>
      <c r="O1441">
        <v>270000</v>
      </c>
    </row>
    <row r="1442" spans="1:15" x14ac:dyDescent="0.4">
      <c r="A1442" t="s">
        <v>268</v>
      </c>
      <c r="B1442">
        <v>75</v>
      </c>
      <c r="C1442" t="s">
        <v>5</v>
      </c>
      <c r="D1442">
        <v>51</v>
      </c>
      <c r="E1442" t="s">
        <v>657</v>
      </c>
      <c r="F1442">
        <v>1365</v>
      </c>
      <c r="G1442" t="s">
        <v>1148</v>
      </c>
      <c r="I1442">
        <v>10016387</v>
      </c>
      <c r="J1442" t="s">
        <v>2736</v>
      </c>
      <c r="K1442">
        <v>800157</v>
      </c>
      <c r="L1442">
        <v>1</v>
      </c>
      <c r="M1442" t="s">
        <v>195</v>
      </c>
      <c r="N1442" t="s">
        <v>198</v>
      </c>
      <c r="O1442">
        <v>597600</v>
      </c>
    </row>
    <row r="1443" spans="1:15" x14ac:dyDescent="0.4">
      <c r="A1443" t="s">
        <v>195</v>
      </c>
      <c r="B1443">
        <v>80</v>
      </c>
      <c r="C1443" t="s">
        <v>4</v>
      </c>
      <c r="D1443">
        <v>71</v>
      </c>
      <c r="E1443" t="s">
        <v>556</v>
      </c>
      <c r="F1443">
        <v>1296</v>
      </c>
      <c r="G1443" t="s">
        <v>964</v>
      </c>
      <c r="I1443">
        <v>10014052</v>
      </c>
      <c r="J1443" t="s">
        <v>2780</v>
      </c>
      <c r="K1443">
        <v>800159</v>
      </c>
      <c r="L1443">
        <v>1</v>
      </c>
      <c r="M1443" t="s">
        <v>185</v>
      </c>
      <c r="N1443" t="s">
        <v>190</v>
      </c>
      <c r="O1443">
        <v>1390200</v>
      </c>
    </row>
    <row r="1444" spans="1:15" x14ac:dyDescent="0.4">
      <c r="A1444" t="s">
        <v>290</v>
      </c>
      <c r="B1444">
        <v>70</v>
      </c>
      <c r="C1444" t="s">
        <v>2</v>
      </c>
      <c r="D1444">
        <v>41</v>
      </c>
      <c r="E1444" t="s">
        <v>306</v>
      </c>
      <c r="F1444">
        <v>1445</v>
      </c>
      <c r="G1444" t="s">
        <v>886</v>
      </c>
      <c r="I1444">
        <v>20008657</v>
      </c>
      <c r="J1444" t="s">
        <v>2781</v>
      </c>
      <c r="K1444">
        <v>800157</v>
      </c>
      <c r="L1444">
        <v>1</v>
      </c>
      <c r="M1444" t="s">
        <v>250</v>
      </c>
      <c r="N1444" t="s">
        <v>253</v>
      </c>
      <c r="O1444">
        <v>841600</v>
      </c>
    </row>
    <row r="1445" spans="1:15" x14ac:dyDescent="0.4">
      <c r="A1445" t="s">
        <v>196</v>
      </c>
      <c r="B1445">
        <v>50</v>
      </c>
      <c r="C1445" t="s">
        <v>1</v>
      </c>
      <c r="D1445">
        <v>21</v>
      </c>
      <c r="E1445" t="s">
        <v>182</v>
      </c>
      <c r="F1445">
        <v>1166</v>
      </c>
      <c r="G1445" t="s">
        <v>1082</v>
      </c>
      <c r="I1445">
        <v>20003267</v>
      </c>
      <c r="J1445" t="s">
        <v>2782</v>
      </c>
      <c r="K1445">
        <v>800159</v>
      </c>
      <c r="L1445">
        <v>1</v>
      </c>
      <c r="M1445" t="s">
        <v>186</v>
      </c>
      <c r="N1445" t="s">
        <v>302</v>
      </c>
      <c r="O1445">
        <v>1363200</v>
      </c>
    </row>
    <row r="1446" spans="1:15" x14ac:dyDescent="0.4">
      <c r="A1446" t="s">
        <v>1589</v>
      </c>
      <c r="B1446">
        <v>60</v>
      </c>
      <c r="C1446" t="s">
        <v>3</v>
      </c>
      <c r="D1446">
        <v>31</v>
      </c>
      <c r="E1446" t="s">
        <v>447</v>
      </c>
      <c r="F1446">
        <v>1299</v>
      </c>
      <c r="G1446" t="s">
        <v>947</v>
      </c>
      <c r="I1446">
        <v>10019099</v>
      </c>
      <c r="J1446" t="s">
        <v>2783</v>
      </c>
      <c r="K1446">
        <v>800155</v>
      </c>
      <c r="L1446">
        <v>1</v>
      </c>
      <c r="M1446" t="s">
        <v>1594</v>
      </c>
      <c r="N1446" t="s">
        <v>203</v>
      </c>
      <c r="O1446">
        <v>248400</v>
      </c>
    </row>
    <row r="1447" spans="1:15" x14ac:dyDescent="0.4">
      <c r="A1447" t="s">
        <v>1475</v>
      </c>
      <c r="B1447">
        <v>80</v>
      </c>
      <c r="C1447" t="s">
        <v>4</v>
      </c>
      <c r="D1447">
        <v>81</v>
      </c>
      <c r="E1447" t="s">
        <v>550</v>
      </c>
      <c r="F1447">
        <v>1378</v>
      </c>
      <c r="G1447" t="s">
        <v>881</v>
      </c>
      <c r="I1447">
        <v>10053924</v>
      </c>
      <c r="J1447" t="s">
        <v>2784</v>
      </c>
      <c r="K1447">
        <v>800157</v>
      </c>
      <c r="L1447">
        <v>1</v>
      </c>
      <c r="M1447" t="s">
        <v>1479</v>
      </c>
      <c r="N1447" t="s">
        <v>231</v>
      </c>
      <c r="O1447">
        <v>822400</v>
      </c>
    </row>
    <row r="1448" spans="1:15" x14ac:dyDescent="0.4">
      <c r="A1448" t="s">
        <v>1587</v>
      </c>
      <c r="B1448">
        <v>75</v>
      </c>
      <c r="C1448" t="s">
        <v>5</v>
      </c>
      <c r="D1448">
        <v>51</v>
      </c>
      <c r="E1448" t="s">
        <v>657</v>
      </c>
      <c r="F1448">
        <v>1435</v>
      </c>
      <c r="G1448" t="s">
        <v>860</v>
      </c>
      <c r="I1448">
        <v>10013463</v>
      </c>
      <c r="J1448" t="s">
        <v>2785</v>
      </c>
      <c r="K1448">
        <v>800157</v>
      </c>
      <c r="L1448">
        <v>1</v>
      </c>
      <c r="M1448" t="s">
        <v>1548</v>
      </c>
      <c r="N1448" t="s">
        <v>327</v>
      </c>
      <c r="O1448">
        <v>784000</v>
      </c>
    </row>
    <row r="1449" spans="1:15" x14ac:dyDescent="0.4">
      <c r="A1449" t="s">
        <v>203</v>
      </c>
      <c r="B1449">
        <v>70</v>
      </c>
      <c r="C1449" t="s">
        <v>2</v>
      </c>
      <c r="D1449">
        <v>41</v>
      </c>
      <c r="E1449" t="s">
        <v>306</v>
      </c>
      <c r="F1449">
        <v>1118</v>
      </c>
      <c r="G1449" t="s">
        <v>1471</v>
      </c>
      <c r="I1449">
        <v>20003841</v>
      </c>
      <c r="J1449" t="s">
        <v>2518</v>
      </c>
      <c r="K1449">
        <v>800159</v>
      </c>
      <c r="L1449">
        <v>1</v>
      </c>
      <c r="M1449" t="s">
        <v>290</v>
      </c>
      <c r="N1449" t="s">
        <v>295</v>
      </c>
      <c r="O1449">
        <v>1357800</v>
      </c>
    </row>
    <row r="1450" spans="1:15" x14ac:dyDescent="0.4">
      <c r="A1450" t="s">
        <v>238</v>
      </c>
      <c r="B1450">
        <v>60</v>
      </c>
      <c r="C1450" t="s">
        <v>3</v>
      </c>
      <c r="D1450">
        <v>33</v>
      </c>
      <c r="E1450" t="s">
        <v>451</v>
      </c>
      <c r="F1450">
        <v>1220</v>
      </c>
      <c r="G1450" t="s">
        <v>1343</v>
      </c>
      <c r="I1450">
        <v>10056551</v>
      </c>
      <c r="J1450" t="s">
        <v>2786</v>
      </c>
      <c r="K1450">
        <v>800157</v>
      </c>
      <c r="L1450">
        <v>1</v>
      </c>
      <c r="M1450" t="s">
        <v>230</v>
      </c>
      <c r="N1450" t="s">
        <v>233</v>
      </c>
      <c r="O1450">
        <v>442800</v>
      </c>
    </row>
    <row r="1451" spans="1:15" x14ac:dyDescent="0.4">
      <c r="A1451" t="s">
        <v>353</v>
      </c>
      <c r="B1451">
        <v>70</v>
      </c>
      <c r="C1451" t="s">
        <v>2</v>
      </c>
      <c r="D1451">
        <v>41</v>
      </c>
      <c r="E1451" t="s">
        <v>306</v>
      </c>
      <c r="F1451">
        <v>1510</v>
      </c>
      <c r="G1451" t="s">
        <v>870</v>
      </c>
      <c r="I1451">
        <v>20003386</v>
      </c>
      <c r="J1451" t="s">
        <v>2787</v>
      </c>
      <c r="K1451">
        <v>800159</v>
      </c>
      <c r="L1451">
        <v>1</v>
      </c>
      <c r="M1451" t="s">
        <v>220</v>
      </c>
      <c r="N1451" t="s">
        <v>225</v>
      </c>
      <c r="O1451">
        <v>1401000</v>
      </c>
    </row>
    <row r="1452" spans="1:15" x14ac:dyDescent="0.4">
      <c r="A1452" t="s">
        <v>1594</v>
      </c>
      <c r="B1452">
        <v>70</v>
      </c>
      <c r="C1452" t="s">
        <v>2</v>
      </c>
      <c r="D1452">
        <v>41</v>
      </c>
      <c r="E1452" t="s">
        <v>306</v>
      </c>
      <c r="F1452">
        <v>1561</v>
      </c>
      <c r="G1452" t="s">
        <v>1070</v>
      </c>
      <c r="I1452">
        <v>20003891</v>
      </c>
      <c r="J1452" t="s">
        <v>2788</v>
      </c>
      <c r="K1452">
        <v>800157</v>
      </c>
      <c r="L1452">
        <v>1</v>
      </c>
      <c r="M1452" t="s">
        <v>1596</v>
      </c>
      <c r="N1452" t="s">
        <v>252</v>
      </c>
      <c r="O1452">
        <v>809600</v>
      </c>
    </row>
    <row r="1453" spans="1:15" x14ac:dyDescent="0.4">
      <c r="A1453" t="s">
        <v>203</v>
      </c>
      <c r="B1453">
        <v>50</v>
      </c>
      <c r="C1453" t="s">
        <v>1</v>
      </c>
      <c r="D1453">
        <v>11</v>
      </c>
      <c r="E1453" t="s">
        <v>192</v>
      </c>
      <c r="F1453">
        <v>1353</v>
      </c>
      <c r="G1453" t="s">
        <v>1017</v>
      </c>
      <c r="I1453">
        <v>20003393</v>
      </c>
      <c r="J1453" t="s">
        <v>2789</v>
      </c>
      <c r="K1453">
        <v>800157</v>
      </c>
      <c r="L1453">
        <v>1</v>
      </c>
      <c r="M1453" t="s">
        <v>290</v>
      </c>
      <c r="N1453" t="s">
        <v>293</v>
      </c>
      <c r="O1453">
        <v>784000</v>
      </c>
    </row>
    <row r="1454" spans="1:15" x14ac:dyDescent="0.4">
      <c r="A1454" t="s">
        <v>220</v>
      </c>
      <c r="B1454">
        <v>60</v>
      </c>
      <c r="C1454" t="s">
        <v>3</v>
      </c>
      <c r="D1454">
        <v>33</v>
      </c>
      <c r="E1454" t="s">
        <v>451</v>
      </c>
      <c r="F1454">
        <v>1273</v>
      </c>
      <c r="G1454" t="s">
        <v>1084</v>
      </c>
      <c r="I1454">
        <v>10060599</v>
      </c>
      <c r="J1454" t="s">
        <v>2790</v>
      </c>
      <c r="K1454">
        <v>800159</v>
      </c>
      <c r="L1454">
        <v>1</v>
      </c>
      <c r="M1454" t="s">
        <v>203</v>
      </c>
      <c r="N1454" t="s">
        <v>208</v>
      </c>
      <c r="O1454">
        <v>1325400</v>
      </c>
    </row>
    <row r="1455" spans="1:15" x14ac:dyDescent="0.4">
      <c r="A1455" t="s">
        <v>281</v>
      </c>
      <c r="B1455">
        <v>60</v>
      </c>
      <c r="C1455" t="s">
        <v>3</v>
      </c>
      <c r="D1455">
        <v>31</v>
      </c>
      <c r="E1455" t="s">
        <v>447</v>
      </c>
      <c r="F1455">
        <v>1612</v>
      </c>
      <c r="G1455" t="s">
        <v>1720</v>
      </c>
      <c r="I1455">
        <v>20004003</v>
      </c>
      <c r="J1455" t="s">
        <v>2791</v>
      </c>
      <c r="K1455">
        <v>800157</v>
      </c>
      <c r="L1455">
        <v>1</v>
      </c>
      <c r="M1455" t="s">
        <v>363</v>
      </c>
      <c r="N1455" t="s">
        <v>313</v>
      </c>
      <c r="O1455">
        <v>790400</v>
      </c>
    </row>
    <row r="1456" spans="1:15" x14ac:dyDescent="0.4">
      <c r="A1456" t="s">
        <v>220</v>
      </c>
      <c r="B1456">
        <v>76</v>
      </c>
      <c r="C1456" t="s">
        <v>6</v>
      </c>
      <c r="D1456">
        <v>61</v>
      </c>
      <c r="E1456" t="s">
        <v>703</v>
      </c>
      <c r="F1456">
        <v>1389</v>
      </c>
      <c r="G1456" t="s">
        <v>1197</v>
      </c>
      <c r="I1456">
        <v>10058624</v>
      </c>
      <c r="J1456" t="s">
        <v>2792</v>
      </c>
      <c r="K1456">
        <v>800159</v>
      </c>
      <c r="L1456">
        <v>1</v>
      </c>
      <c r="M1456" t="s">
        <v>203</v>
      </c>
      <c r="N1456" t="s">
        <v>208</v>
      </c>
      <c r="O1456">
        <v>1368600</v>
      </c>
    </row>
    <row r="1457" spans="1:15" x14ac:dyDescent="0.4">
      <c r="A1457" t="s">
        <v>1589</v>
      </c>
      <c r="B1457">
        <v>75</v>
      </c>
      <c r="C1457" t="s">
        <v>5</v>
      </c>
      <c r="D1457">
        <v>51</v>
      </c>
      <c r="E1457" t="s">
        <v>657</v>
      </c>
      <c r="F1457">
        <v>1365</v>
      </c>
      <c r="G1457" t="s">
        <v>1148</v>
      </c>
      <c r="I1457">
        <v>10033066</v>
      </c>
      <c r="J1457" t="s">
        <v>2793</v>
      </c>
      <c r="K1457">
        <v>800156</v>
      </c>
      <c r="L1457">
        <v>1</v>
      </c>
      <c r="M1457" t="s">
        <v>1594</v>
      </c>
      <c r="N1457" t="s">
        <v>291</v>
      </c>
      <c r="O1457">
        <v>487200</v>
      </c>
    </row>
    <row r="1458" spans="1:15" x14ac:dyDescent="0.4">
      <c r="A1458" t="s">
        <v>185</v>
      </c>
      <c r="B1458">
        <v>70</v>
      </c>
      <c r="C1458" t="s">
        <v>2</v>
      </c>
      <c r="D1458">
        <v>41</v>
      </c>
      <c r="E1458" t="s">
        <v>306</v>
      </c>
      <c r="F1458">
        <v>1552</v>
      </c>
      <c r="G1458" t="s">
        <v>929</v>
      </c>
      <c r="I1458">
        <v>20003650</v>
      </c>
      <c r="J1458" t="s">
        <v>2794</v>
      </c>
      <c r="K1458">
        <v>800159</v>
      </c>
      <c r="L1458">
        <v>1</v>
      </c>
      <c r="M1458" t="s">
        <v>275</v>
      </c>
      <c r="N1458" t="s">
        <v>234</v>
      </c>
      <c r="O1458">
        <v>1623200</v>
      </c>
    </row>
    <row r="1459" spans="1:15" x14ac:dyDescent="0.4">
      <c r="A1459" t="s">
        <v>363</v>
      </c>
      <c r="B1459">
        <v>76</v>
      </c>
      <c r="C1459" t="s">
        <v>6</v>
      </c>
      <c r="D1459">
        <v>61</v>
      </c>
      <c r="E1459" t="s">
        <v>703</v>
      </c>
      <c r="F1459">
        <v>1563</v>
      </c>
      <c r="G1459" t="s">
        <v>942</v>
      </c>
      <c r="I1459">
        <v>20009669</v>
      </c>
      <c r="J1459" t="s">
        <v>2795</v>
      </c>
      <c r="K1459">
        <v>800159</v>
      </c>
      <c r="L1459">
        <v>1</v>
      </c>
      <c r="M1459" t="s">
        <v>376</v>
      </c>
      <c r="N1459" t="s">
        <v>262</v>
      </c>
      <c r="O1459">
        <v>1579200</v>
      </c>
    </row>
    <row r="1460" spans="1:15" x14ac:dyDescent="0.4">
      <c r="A1460" t="s">
        <v>1479</v>
      </c>
      <c r="B1460">
        <v>75</v>
      </c>
      <c r="C1460" t="s">
        <v>5</v>
      </c>
      <c r="D1460">
        <v>51</v>
      </c>
      <c r="E1460" t="s">
        <v>657</v>
      </c>
      <c r="F1460">
        <v>1435</v>
      </c>
      <c r="G1460" t="s">
        <v>860</v>
      </c>
      <c r="I1460">
        <v>10041467</v>
      </c>
      <c r="J1460" t="s">
        <v>2796</v>
      </c>
      <c r="K1460">
        <v>800157</v>
      </c>
      <c r="L1460">
        <v>1</v>
      </c>
      <c r="M1460" t="s">
        <v>1487</v>
      </c>
      <c r="N1460" t="s">
        <v>243</v>
      </c>
      <c r="O1460">
        <v>784000</v>
      </c>
    </row>
    <row r="1461" spans="1:15" x14ac:dyDescent="0.4">
      <c r="A1461" t="s">
        <v>1548</v>
      </c>
      <c r="B1461">
        <v>76</v>
      </c>
      <c r="C1461" t="s">
        <v>6</v>
      </c>
      <c r="D1461">
        <v>61</v>
      </c>
      <c r="E1461" t="s">
        <v>703</v>
      </c>
      <c r="F1461">
        <v>1472</v>
      </c>
      <c r="G1461" t="s">
        <v>998</v>
      </c>
      <c r="I1461">
        <v>10064072</v>
      </c>
      <c r="J1461" t="s">
        <v>2797</v>
      </c>
      <c r="K1461">
        <v>800159</v>
      </c>
      <c r="L1461">
        <v>1</v>
      </c>
      <c r="M1461" t="s">
        <v>1586</v>
      </c>
      <c r="N1461" t="s">
        <v>224</v>
      </c>
      <c r="O1461">
        <v>1341600</v>
      </c>
    </row>
    <row r="1462" spans="1:15" x14ac:dyDescent="0.4">
      <c r="A1462" t="s">
        <v>1586</v>
      </c>
      <c r="B1462">
        <v>75</v>
      </c>
      <c r="C1462" t="s">
        <v>5</v>
      </c>
      <c r="D1462">
        <v>51</v>
      </c>
      <c r="E1462" t="s">
        <v>657</v>
      </c>
      <c r="F1462">
        <v>1415</v>
      </c>
      <c r="G1462" t="s">
        <v>1038</v>
      </c>
      <c r="I1462">
        <v>10013404</v>
      </c>
      <c r="J1462" t="s">
        <v>2798</v>
      </c>
      <c r="K1462">
        <v>800157</v>
      </c>
      <c r="L1462">
        <v>1</v>
      </c>
      <c r="M1462" t="s">
        <v>1589</v>
      </c>
      <c r="N1462" t="s">
        <v>205</v>
      </c>
      <c r="O1462">
        <v>784000</v>
      </c>
    </row>
    <row r="1463" spans="1:15" x14ac:dyDescent="0.4">
      <c r="A1463" t="s">
        <v>275</v>
      </c>
      <c r="B1463">
        <v>60</v>
      </c>
      <c r="C1463" t="s">
        <v>3</v>
      </c>
      <c r="D1463">
        <v>33</v>
      </c>
      <c r="E1463" t="s">
        <v>451</v>
      </c>
      <c r="F1463">
        <v>1273</v>
      </c>
      <c r="G1463" t="s">
        <v>1084</v>
      </c>
      <c r="I1463">
        <v>10056055</v>
      </c>
      <c r="J1463" t="s">
        <v>2799</v>
      </c>
      <c r="K1463">
        <v>800159</v>
      </c>
      <c r="L1463">
        <v>1</v>
      </c>
      <c r="M1463" t="s">
        <v>281</v>
      </c>
      <c r="N1463" t="s">
        <v>246</v>
      </c>
      <c r="O1463">
        <v>792000</v>
      </c>
    </row>
    <row r="1464" spans="1:15" x14ac:dyDescent="0.4">
      <c r="A1464" t="s">
        <v>1475</v>
      </c>
      <c r="B1464">
        <v>60</v>
      </c>
      <c r="C1464" t="s">
        <v>3</v>
      </c>
      <c r="D1464">
        <v>33</v>
      </c>
      <c r="E1464" t="s">
        <v>451</v>
      </c>
      <c r="F1464">
        <v>1220</v>
      </c>
      <c r="G1464" t="s">
        <v>1343</v>
      </c>
      <c r="I1464">
        <v>10027104</v>
      </c>
      <c r="J1464" t="s">
        <v>2527</v>
      </c>
      <c r="K1464">
        <v>800157</v>
      </c>
      <c r="L1464">
        <v>1</v>
      </c>
      <c r="M1464" t="s">
        <v>1479</v>
      </c>
      <c r="N1464" t="s">
        <v>231</v>
      </c>
      <c r="O1464">
        <v>956800</v>
      </c>
    </row>
    <row r="1465" spans="1:15" x14ac:dyDescent="0.4">
      <c r="A1465" t="s">
        <v>275</v>
      </c>
      <c r="B1465">
        <v>76</v>
      </c>
      <c r="C1465" t="s">
        <v>6</v>
      </c>
      <c r="D1465">
        <v>61</v>
      </c>
      <c r="E1465" t="s">
        <v>703</v>
      </c>
      <c r="F1465">
        <v>1472</v>
      </c>
      <c r="G1465" t="s">
        <v>998</v>
      </c>
      <c r="I1465">
        <v>20009734</v>
      </c>
      <c r="J1465" t="s">
        <v>2800</v>
      </c>
      <c r="K1465">
        <v>800159</v>
      </c>
      <c r="L1465">
        <v>1</v>
      </c>
      <c r="M1465" t="s">
        <v>281</v>
      </c>
      <c r="N1465" t="s">
        <v>246</v>
      </c>
      <c r="O1465">
        <v>1433400</v>
      </c>
    </row>
    <row r="1466" spans="1:15" x14ac:dyDescent="0.4">
      <c r="A1466" t="s">
        <v>258</v>
      </c>
      <c r="B1466">
        <v>76</v>
      </c>
      <c r="C1466" t="s">
        <v>6</v>
      </c>
      <c r="D1466">
        <v>61</v>
      </c>
      <c r="E1466" t="s">
        <v>703</v>
      </c>
      <c r="F1466">
        <v>1468</v>
      </c>
      <c r="G1466" t="s">
        <v>914</v>
      </c>
      <c r="I1466">
        <v>10059605</v>
      </c>
      <c r="J1466" t="s">
        <v>2161</v>
      </c>
      <c r="K1466">
        <v>800159</v>
      </c>
      <c r="L1466">
        <v>1</v>
      </c>
      <c r="M1466" t="s">
        <v>221</v>
      </c>
      <c r="N1466" t="s">
        <v>331</v>
      </c>
      <c r="O1466">
        <v>1320000</v>
      </c>
    </row>
    <row r="1467" spans="1:15" x14ac:dyDescent="0.4">
      <c r="A1467" t="s">
        <v>220</v>
      </c>
      <c r="B1467">
        <v>76</v>
      </c>
      <c r="C1467" t="s">
        <v>6</v>
      </c>
      <c r="D1467">
        <v>61</v>
      </c>
      <c r="E1467" t="s">
        <v>703</v>
      </c>
      <c r="F1467">
        <v>1389</v>
      </c>
      <c r="G1467" t="s">
        <v>1197</v>
      </c>
      <c r="I1467">
        <v>20003761</v>
      </c>
      <c r="J1467" t="s">
        <v>2801</v>
      </c>
      <c r="K1467">
        <v>800159</v>
      </c>
      <c r="L1467">
        <v>1</v>
      </c>
      <c r="M1467" t="s">
        <v>203</v>
      </c>
      <c r="N1467" t="s">
        <v>208</v>
      </c>
      <c r="O1467">
        <v>1379400</v>
      </c>
    </row>
    <row r="1468" spans="1:15" x14ac:dyDescent="0.4">
      <c r="A1468" t="s">
        <v>1548</v>
      </c>
      <c r="B1468">
        <v>80</v>
      </c>
      <c r="C1468" t="s">
        <v>4</v>
      </c>
      <c r="D1468">
        <v>81</v>
      </c>
      <c r="E1468" t="s">
        <v>550</v>
      </c>
      <c r="F1468">
        <v>1154</v>
      </c>
      <c r="G1468" t="s">
        <v>1044</v>
      </c>
      <c r="I1468">
        <v>10008358</v>
      </c>
      <c r="J1468" t="s">
        <v>2802</v>
      </c>
      <c r="K1468">
        <v>800159</v>
      </c>
      <c r="L1468">
        <v>1</v>
      </c>
      <c r="M1468" t="s">
        <v>1586</v>
      </c>
      <c r="N1468" t="s">
        <v>224</v>
      </c>
      <c r="O1468">
        <v>1325400</v>
      </c>
    </row>
    <row r="1469" spans="1:15" x14ac:dyDescent="0.4">
      <c r="A1469" t="s">
        <v>281</v>
      </c>
      <c r="B1469">
        <v>60</v>
      </c>
      <c r="C1469" t="s">
        <v>3</v>
      </c>
      <c r="D1469">
        <v>33</v>
      </c>
      <c r="E1469" t="s">
        <v>451</v>
      </c>
      <c r="F1469">
        <v>1372</v>
      </c>
      <c r="G1469" t="s">
        <v>992</v>
      </c>
      <c r="I1469">
        <v>10041497</v>
      </c>
      <c r="J1469" t="s">
        <v>2803</v>
      </c>
      <c r="K1469">
        <v>800159</v>
      </c>
      <c r="L1469">
        <v>1</v>
      </c>
      <c r="M1469" t="s">
        <v>363</v>
      </c>
      <c r="N1469" t="s">
        <v>315</v>
      </c>
      <c r="O1469">
        <v>1449600</v>
      </c>
    </row>
    <row r="1470" spans="1:15" x14ac:dyDescent="0.4">
      <c r="A1470" t="s">
        <v>220</v>
      </c>
      <c r="B1470">
        <v>80</v>
      </c>
      <c r="C1470" t="s">
        <v>4</v>
      </c>
      <c r="D1470">
        <v>81</v>
      </c>
      <c r="E1470" t="s">
        <v>550</v>
      </c>
      <c r="F1470">
        <v>1378</v>
      </c>
      <c r="G1470" t="s">
        <v>881</v>
      </c>
      <c r="I1470">
        <v>20009850</v>
      </c>
      <c r="J1470" t="s">
        <v>2804</v>
      </c>
      <c r="K1470">
        <v>800159</v>
      </c>
      <c r="L1470">
        <v>1</v>
      </c>
      <c r="M1470" t="s">
        <v>203</v>
      </c>
      <c r="N1470" t="s">
        <v>208</v>
      </c>
      <c r="O1470">
        <v>1444200</v>
      </c>
    </row>
    <row r="1471" spans="1:15" x14ac:dyDescent="0.4">
      <c r="A1471" t="s">
        <v>363</v>
      </c>
      <c r="B1471">
        <v>76</v>
      </c>
      <c r="C1471" t="s">
        <v>6</v>
      </c>
      <c r="D1471">
        <v>61</v>
      </c>
      <c r="E1471" t="s">
        <v>703</v>
      </c>
      <c r="F1471">
        <v>1475</v>
      </c>
      <c r="G1471" t="s">
        <v>909</v>
      </c>
      <c r="I1471">
        <v>10048388</v>
      </c>
      <c r="J1471" t="s">
        <v>2805</v>
      </c>
      <c r="K1471">
        <v>800159</v>
      </c>
      <c r="L1471">
        <v>1</v>
      </c>
      <c r="M1471" t="s">
        <v>376</v>
      </c>
      <c r="N1471" t="s">
        <v>262</v>
      </c>
      <c r="O1471">
        <v>1357800</v>
      </c>
    </row>
    <row r="1472" spans="1:15" x14ac:dyDescent="0.4">
      <c r="A1472" t="s">
        <v>1523</v>
      </c>
      <c r="B1472">
        <v>50</v>
      </c>
      <c r="C1472" t="s">
        <v>1</v>
      </c>
      <c r="D1472">
        <v>21</v>
      </c>
      <c r="E1472" t="s">
        <v>182</v>
      </c>
      <c r="F1472">
        <v>1166</v>
      </c>
      <c r="G1472" t="s">
        <v>1082</v>
      </c>
      <c r="I1472">
        <v>20003327</v>
      </c>
      <c r="J1472" t="s">
        <v>2806</v>
      </c>
      <c r="K1472">
        <v>800159</v>
      </c>
      <c r="L1472">
        <v>1</v>
      </c>
      <c r="M1472" t="s">
        <v>1587</v>
      </c>
      <c r="N1472" t="s">
        <v>261</v>
      </c>
      <c r="O1472">
        <v>1320000</v>
      </c>
    </row>
    <row r="1473" spans="1:15" x14ac:dyDescent="0.4">
      <c r="A1473" t="s">
        <v>203</v>
      </c>
      <c r="B1473">
        <v>70</v>
      </c>
      <c r="C1473" t="s">
        <v>2</v>
      </c>
      <c r="D1473">
        <v>41</v>
      </c>
      <c r="E1473" t="s">
        <v>306</v>
      </c>
      <c r="F1473">
        <v>1445</v>
      </c>
      <c r="G1473" t="s">
        <v>886</v>
      </c>
      <c r="I1473">
        <v>10048260</v>
      </c>
      <c r="J1473" t="s">
        <v>2807</v>
      </c>
      <c r="K1473">
        <v>800157</v>
      </c>
      <c r="L1473">
        <v>1</v>
      </c>
      <c r="M1473" t="s">
        <v>290</v>
      </c>
      <c r="N1473" t="s">
        <v>293</v>
      </c>
      <c r="O1473">
        <v>816000</v>
      </c>
    </row>
    <row r="1474" spans="1:15" x14ac:dyDescent="0.4">
      <c r="A1474" t="s">
        <v>353</v>
      </c>
      <c r="B1474">
        <v>60</v>
      </c>
      <c r="C1474" t="s">
        <v>3</v>
      </c>
      <c r="D1474">
        <v>31</v>
      </c>
      <c r="E1474" t="s">
        <v>447</v>
      </c>
      <c r="F1474">
        <v>1116</v>
      </c>
      <c r="G1474" t="s">
        <v>1075</v>
      </c>
      <c r="I1474">
        <v>20002810</v>
      </c>
      <c r="J1474" t="s">
        <v>2808</v>
      </c>
      <c r="K1474">
        <v>800159</v>
      </c>
      <c r="L1474">
        <v>1</v>
      </c>
      <c r="M1474" t="s">
        <v>220</v>
      </c>
      <c r="N1474" t="s">
        <v>225</v>
      </c>
      <c r="O1474">
        <v>1374000</v>
      </c>
    </row>
    <row r="1475" spans="1:15" x14ac:dyDescent="0.4">
      <c r="A1475" t="s">
        <v>353</v>
      </c>
      <c r="B1475">
        <v>75</v>
      </c>
      <c r="C1475" t="s">
        <v>5</v>
      </c>
      <c r="D1475">
        <v>51</v>
      </c>
      <c r="E1475" t="s">
        <v>657</v>
      </c>
      <c r="F1475">
        <v>1365</v>
      </c>
      <c r="G1475" t="s">
        <v>1148</v>
      </c>
      <c r="I1475">
        <v>10028406</v>
      </c>
      <c r="J1475" t="s">
        <v>2809</v>
      </c>
      <c r="K1475">
        <v>800159</v>
      </c>
      <c r="L1475">
        <v>1</v>
      </c>
      <c r="M1475" t="s">
        <v>220</v>
      </c>
      <c r="N1475" t="s">
        <v>225</v>
      </c>
      <c r="O1475">
        <v>1341600</v>
      </c>
    </row>
    <row r="1476" spans="1:15" x14ac:dyDescent="0.4">
      <c r="A1476" t="s">
        <v>290</v>
      </c>
      <c r="B1476">
        <v>70</v>
      </c>
      <c r="C1476" t="s">
        <v>2</v>
      </c>
      <c r="D1476">
        <v>41</v>
      </c>
      <c r="E1476" t="s">
        <v>306</v>
      </c>
      <c r="F1476">
        <v>1510</v>
      </c>
      <c r="G1476" t="s">
        <v>870</v>
      </c>
      <c r="I1476">
        <v>10009456</v>
      </c>
      <c r="J1476" t="s">
        <v>2810</v>
      </c>
      <c r="K1476">
        <v>800159</v>
      </c>
      <c r="L1476">
        <v>1</v>
      </c>
      <c r="M1476" t="s">
        <v>250</v>
      </c>
      <c r="N1476" t="s">
        <v>255</v>
      </c>
      <c r="O1476">
        <v>1320000</v>
      </c>
    </row>
    <row r="1477" spans="1:15" x14ac:dyDescent="0.4">
      <c r="A1477" t="s">
        <v>1475</v>
      </c>
      <c r="B1477">
        <v>80</v>
      </c>
      <c r="C1477" t="s">
        <v>4</v>
      </c>
      <c r="D1477">
        <v>71</v>
      </c>
      <c r="E1477" t="s">
        <v>556</v>
      </c>
      <c r="F1477">
        <v>1296</v>
      </c>
      <c r="G1477" t="s">
        <v>964</v>
      </c>
      <c r="I1477">
        <v>20007363</v>
      </c>
      <c r="J1477" t="s">
        <v>2811</v>
      </c>
      <c r="K1477">
        <v>800157</v>
      </c>
      <c r="L1477">
        <v>1</v>
      </c>
      <c r="M1477" t="s">
        <v>1479</v>
      </c>
      <c r="N1477" t="s">
        <v>231</v>
      </c>
      <c r="O1477">
        <v>806400</v>
      </c>
    </row>
    <row r="1478" spans="1:15" x14ac:dyDescent="0.4">
      <c r="A1478" t="s">
        <v>1587</v>
      </c>
      <c r="B1478">
        <v>60</v>
      </c>
      <c r="C1478" t="s">
        <v>3</v>
      </c>
      <c r="D1478">
        <v>33</v>
      </c>
      <c r="E1478" t="s">
        <v>451</v>
      </c>
      <c r="F1478">
        <v>1220</v>
      </c>
      <c r="G1478" t="s">
        <v>1343</v>
      </c>
      <c r="I1478">
        <v>20003858</v>
      </c>
      <c r="J1478" t="s">
        <v>2812</v>
      </c>
      <c r="K1478">
        <v>800159</v>
      </c>
      <c r="L1478">
        <v>1</v>
      </c>
      <c r="M1478" t="s">
        <v>1548</v>
      </c>
      <c r="N1478" t="s">
        <v>329</v>
      </c>
      <c r="O1478">
        <v>1260000</v>
      </c>
    </row>
    <row r="1479" spans="1:15" x14ac:dyDescent="0.4">
      <c r="A1479" t="s">
        <v>185</v>
      </c>
      <c r="B1479">
        <v>75</v>
      </c>
      <c r="C1479" t="s">
        <v>5</v>
      </c>
      <c r="D1479">
        <v>51</v>
      </c>
      <c r="E1479" t="s">
        <v>657</v>
      </c>
      <c r="F1479">
        <v>1435</v>
      </c>
      <c r="G1479" t="s">
        <v>860</v>
      </c>
      <c r="I1479">
        <v>10029522</v>
      </c>
      <c r="J1479" t="s">
        <v>2813</v>
      </c>
      <c r="K1479">
        <v>800159</v>
      </c>
      <c r="L1479">
        <v>1</v>
      </c>
      <c r="M1479" t="s">
        <v>275</v>
      </c>
      <c r="N1479" t="s">
        <v>234</v>
      </c>
      <c r="O1479">
        <v>1416000</v>
      </c>
    </row>
    <row r="1480" spans="1:15" x14ac:dyDescent="0.4">
      <c r="A1480" t="s">
        <v>220</v>
      </c>
      <c r="B1480">
        <v>60</v>
      </c>
      <c r="C1480" t="s">
        <v>3</v>
      </c>
      <c r="D1480">
        <v>33</v>
      </c>
      <c r="E1480" t="s">
        <v>451</v>
      </c>
      <c r="F1480">
        <v>1372</v>
      </c>
      <c r="G1480" t="s">
        <v>992</v>
      </c>
      <c r="I1480">
        <v>10013769</v>
      </c>
      <c r="J1480" t="s">
        <v>2814</v>
      </c>
      <c r="K1480">
        <v>800157</v>
      </c>
      <c r="L1480">
        <v>1</v>
      </c>
      <c r="M1480" t="s">
        <v>203</v>
      </c>
      <c r="N1480" t="s">
        <v>206</v>
      </c>
      <c r="O1480">
        <v>915200</v>
      </c>
    </row>
    <row r="1481" spans="1:15" x14ac:dyDescent="0.4">
      <c r="A1481" t="s">
        <v>1594</v>
      </c>
      <c r="B1481">
        <v>60</v>
      </c>
      <c r="C1481" t="s">
        <v>3</v>
      </c>
      <c r="D1481">
        <v>33</v>
      </c>
      <c r="E1481" t="s">
        <v>451</v>
      </c>
      <c r="F1481">
        <v>1220</v>
      </c>
      <c r="G1481" t="s">
        <v>1343</v>
      </c>
      <c r="I1481">
        <v>10025919</v>
      </c>
      <c r="J1481" t="s">
        <v>2815</v>
      </c>
      <c r="K1481">
        <v>800159</v>
      </c>
      <c r="L1481">
        <v>1</v>
      </c>
      <c r="M1481" t="s">
        <v>1596</v>
      </c>
      <c r="N1481" t="s">
        <v>254</v>
      </c>
      <c r="O1481">
        <v>1356000</v>
      </c>
    </row>
    <row r="1482" spans="1:15" x14ac:dyDescent="0.4">
      <c r="A1482" t="s">
        <v>195</v>
      </c>
      <c r="B1482">
        <v>60</v>
      </c>
      <c r="C1482" t="s">
        <v>3</v>
      </c>
      <c r="D1482">
        <v>31</v>
      </c>
      <c r="E1482" t="s">
        <v>447</v>
      </c>
      <c r="F1482">
        <v>1543</v>
      </c>
      <c r="G1482" t="s">
        <v>1183</v>
      </c>
      <c r="I1482">
        <v>10030556</v>
      </c>
      <c r="J1482" t="s">
        <v>2816</v>
      </c>
      <c r="K1482">
        <v>800159</v>
      </c>
      <c r="L1482">
        <v>1</v>
      </c>
      <c r="M1482" t="s">
        <v>185</v>
      </c>
      <c r="N1482" t="s">
        <v>190</v>
      </c>
      <c r="O1482">
        <v>1325400</v>
      </c>
    </row>
    <row r="1483" spans="1:15" x14ac:dyDescent="0.4">
      <c r="A1483" t="s">
        <v>376</v>
      </c>
      <c r="B1483">
        <v>76</v>
      </c>
      <c r="C1483" t="s">
        <v>6</v>
      </c>
      <c r="D1483">
        <v>61</v>
      </c>
      <c r="E1483" t="s">
        <v>703</v>
      </c>
      <c r="F1483">
        <v>1475</v>
      </c>
      <c r="G1483" t="s">
        <v>909</v>
      </c>
      <c r="I1483">
        <v>20003856</v>
      </c>
      <c r="J1483" t="s">
        <v>2817</v>
      </c>
      <c r="K1483">
        <v>800159</v>
      </c>
      <c r="L1483">
        <v>1</v>
      </c>
      <c r="M1483" t="s">
        <v>353</v>
      </c>
      <c r="N1483" t="s">
        <v>330</v>
      </c>
      <c r="O1483">
        <v>1368600</v>
      </c>
    </row>
    <row r="1484" spans="1:15" x14ac:dyDescent="0.4">
      <c r="A1484" t="s">
        <v>363</v>
      </c>
      <c r="B1484">
        <v>50</v>
      </c>
      <c r="C1484" t="s">
        <v>1</v>
      </c>
      <c r="D1484">
        <v>21</v>
      </c>
      <c r="E1484" t="s">
        <v>182</v>
      </c>
      <c r="F1484">
        <v>1345</v>
      </c>
      <c r="G1484" t="s">
        <v>874</v>
      </c>
      <c r="I1484">
        <v>20003898</v>
      </c>
      <c r="J1484" t="s">
        <v>2818</v>
      </c>
      <c r="K1484">
        <v>800157</v>
      </c>
      <c r="L1484">
        <v>1</v>
      </c>
      <c r="M1484" t="s">
        <v>376</v>
      </c>
      <c r="N1484" t="s">
        <v>260</v>
      </c>
      <c r="O1484">
        <v>944000</v>
      </c>
    </row>
    <row r="1485" spans="1:15" x14ac:dyDescent="0.4">
      <c r="A1485" t="s">
        <v>220</v>
      </c>
      <c r="B1485">
        <v>60</v>
      </c>
      <c r="C1485" t="s">
        <v>3</v>
      </c>
      <c r="D1485">
        <v>33</v>
      </c>
      <c r="E1485" t="s">
        <v>451</v>
      </c>
      <c r="F1485">
        <v>1372</v>
      </c>
      <c r="G1485" t="s">
        <v>992</v>
      </c>
      <c r="I1485">
        <v>10020219</v>
      </c>
      <c r="J1485" t="s">
        <v>209</v>
      </c>
      <c r="K1485">
        <v>800157</v>
      </c>
      <c r="L1485">
        <v>1</v>
      </c>
      <c r="M1485" t="s">
        <v>203</v>
      </c>
      <c r="N1485" t="s">
        <v>206</v>
      </c>
      <c r="O1485">
        <v>892800</v>
      </c>
    </row>
    <row r="1486" spans="1:15" x14ac:dyDescent="0.4">
      <c r="A1486" t="s">
        <v>363</v>
      </c>
      <c r="B1486">
        <v>60</v>
      </c>
      <c r="C1486" t="s">
        <v>3</v>
      </c>
      <c r="D1486">
        <v>33</v>
      </c>
      <c r="E1486" t="s">
        <v>451</v>
      </c>
      <c r="F1486">
        <v>1505</v>
      </c>
      <c r="G1486" t="s">
        <v>900</v>
      </c>
      <c r="I1486">
        <v>10008131</v>
      </c>
      <c r="J1486" t="s">
        <v>2819</v>
      </c>
      <c r="K1486">
        <v>800157</v>
      </c>
      <c r="L1486">
        <v>1</v>
      </c>
      <c r="M1486" t="s">
        <v>376</v>
      </c>
      <c r="N1486" t="s">
        <v>260</v>
      </c>
      <c r="O1486">
        <v>784000</v>
      </c>
    </row>
    <row r="1487" spans="1:15" x14ac:dyDescent="0.4">
      <c r="A1487" t="s">
        <v>221</v>
      </c>
      <c r="B1487">
        <v>60</v>
      </c>
      <c r="C1487" t="s">
        <v>3</v>
      </c>
      <c r="D1487">
        <v>31</v>
      </c>
      <c r="E1487" t="s">
        <v>447</v>
      </c>
      <c r="F1487">
        <v>1299</v>
      </c>
      <c r="G1487" t="s">
        <v>947</v>
      </c>
      <c r="I1487">
        <v>10045399</v>
      </c>
      <c r="J1487" t="s">
        <v>2820</v>
      </c>
      <c r="K1487">
        <v>800157</v>
      </c>
      <c r="L1487">
        <v>1</v>
      </c>
      <c r="M1487" t="s">
        <v>204</v>
      </c>
      <c r="O1487">
        <v>432000</v>
      </c>
    </row>
    <row r="1488" spans="1:15" x14ac:dyDescent="0.4">
      <c r="A1488" t="s">
        <v>196</v>
      </c>
      <c r="B1488">
        <v>76</v>
      </c>
      <c r="C1488" t="s">
        <v>6</v>
      </c>
      <c r="D1488">
        <v>61</v>
      </c>
      <c r="E1488" t="s">
        <v>703</v>
      </c>
      <c r="F1488">
        <v>1475</v>
      </c>
      <c r="G1488" t="s">
        <v>909</v>
      </c>
      <c r="I1488">
        <v>20003900</v>
      </c>
      <c r="J1488" t="s">
        <v>2821</v>
      </c>
      <c r="K1488">
        <v>800157</v>
      </c>
      <c r="L1488">
        <v>1</v>
      </c>
      <c r="M1488" t="s">
        <v>186</v>
      </c>
      <c r="N1488" t="s">
        <v>199</v>
      </c>
      <c r="O1488">
        <v>787200</v>
      </c>
    </row>
    <row r="1489" spans="1:15" x14ac:dyDescent="0.4">
      <c r="A1489" t="s">
        <v>1594</v>
      </c>
      <c r="B1489">
        <v>76</v>
      </c>
      <c r="C1489" t="s">
        <v>6</v>
      </c>
      <c r="D1489">
        <v>61</v>
      </c>
      <c r="E1489" t="s">
        <v>703</v>
      </c>
      <c r="F1489">
        <v>1475</v>
      </c>
      <c r="G1489" t="s">
        <v>909</v>
      </c>
      <c r="I1489">
        <v>20003222</v>
      </c>
      <c r="J1489" t="s">
        <v>2822</v>
      </c>
      <c r="K1489">
        <v>800157</v>
      </c>
      <c r="L1489">
        <v>1</v>
      </c>
      <c r="M1489" t="s">
        <v>1596</v>
      </c>
      <c r="N1489" t="s">
        <v>252</v>
      </c>
      <c r="O1489">
        <v>848000</v>
      </c>
    </row>
    <row r="1490" spans="1:15" x14ac:dyDescent="0.4">
      <c r="A1490" t="s">
        <v>1479</v>
      </c>
      <c r="B1490">
        <v>75</v>
      </c>
      <c r="C1490" t="s">
        <v>5</v>
      </c>
      <c r="D1490">
        <v>51</v>
      </c>
      <c r="E1490" t="s">
        <v>657</v>
      </c>
      <c r="F1490">
        <v>1435</v>
      </c>
      <c r="G1490" t="s">
        <v>860</v>
      </c>
      <c r="I1490">
        <v>10050483</v>
      </c>
      <c r="J1490" t="s">
        <v>2823</v>
      </c>
      <c r="K1490">
        <v>800157</v>
      </c>
      <c r="L1490">
        <v>1</v>
      </c>
      <c r="M1490" t="s">
        <v>1487</v>
      </c>
      <c r="N1490" t="s">
        <v>243</v>
      </c>
      <c r="O1490">
        <v>886400</v>
      </c>
    </row>
    <row r="1491" spans="1:15" x14ac:dyDescent="0.4">
      <c r="A1491" t="s">
        <v>250</v>
      </c>
      <c r="B1491">
        <v>60</v>
      </c>
      <c r="C1491" t="s">
        <v>3</v>
      </c>
      <c r="D1491">
        <v>33</v>
      </c>
      <c r="E1491" t="s">
        <v>451</v>
      </c>
      <c r="F1491">
        <v>1220</v>
      </c>
      <c r="G1491" t="s">
        <v>1343</v>
      </c>
      <c r="I1491">
        <v>10036427</v>
      </c>
      <c r="J1491" t="s">
        <v>2824</v>
      </c>
      <c r="K1491">
        <v>800159</v>
      </c>
      <c r="L1491">
        <v>1</v>
      </c>
      <c r="M1491" t="s">
        <v>196</v>
      </c>
      <c r="N1491" t="s">
        <v>215</v>
      </c>
      <c r="O1491">
        <v>1390200</v>
      </c>
    </row>
    <row r="1492" spans="1:15" x14ac:dyDescent="0.4">
      <c r="A1492" t="s">
        <v>290</v>
      </c>
      <c r="B1492">
        <v>76</v>
      </c>
      <c r="C1492" t="s">
        <v>6</v>
      </c>
      <c r="D1492">
        <v>61</v>
      </c>
      <c r="E1492" t="s">
        <v>703</v>
      </c>
      <c r="F1492">
        <v>1563</v>
      </c>
      <c r="G1492" t="s">
        <v>942</v>
      </c>
      <c r="I1492">
        <v>10030295</v>
      </c>
      <c r="J1492" t="s">
        <v>2825</v>
      </c>
      <c r="K1492">
        <v>800159</v>
      </c>
      <c r="L1492">
        <v>1</v>
      </c>
      <c r="M1492" t="s">
        <v>250</v>
      </c>
      <c r="N1492" t="s">
        <v>255</v>
      </c>
      <c r="O1492">
        <v>1336200</v>
      </c>
    </row>
    <row r="1493" spans="1:15" x14ac:dyDescent="0.4">
      <c r="A1493" t="s">
        <v>230</v>
      </c>
      <c r="B1493">
        <v>76</v>
      </c>
      <c r="C1493" t="s">
        <v>6</v>
      </c>
      <c r="D1493">
        <v>61</v>
      </c>
      <c r="E1493" t="s">
        <v>703</v>
      </c>
      <c r="F1493">
        <v>1475</v>
      </c>
      <c r="G1493" t="s">
        <v>909</v>
      </c>
      <c r="I1493">
        <v>10057066</v>
      </c>
      <c r="J1493" t="s">
        <v>2826</v>
      </c>
      <c r="K1493">
        <v>800159</v>
      </c>
      <c r="L1493">
        <v>1</v>
      </c>
      <c r="M1493" t="s">
        <v>242</v>
      </c>
      <c r="N1493" t="s">
        <v>247</v>
      </c>
      <c r="O1493">
        <v>1390200</v>
      </c>
    </row>
    <row r="1494" spans="1:15" x14ac:dyDescent="0.4">
      <c r="A1494" t="s">
        <v>220</v>
      </c>
      <c r="B1494">
        <v>80</v>
      </c>
      <c r="C1494" t="s">
        <v>4</v>
      </c>
      <c r="D1494">
        <v>71</v>
      </c>
      <c r="E1494" t="s">
        <v>556</v>
      </c>
      <c r="F1494">
        <v>1296</v>
      </c>
      <c r="G1494" t="s">
        <v>964</v>
      </c>
      <c r="I1494">
        <v>20003871</v>
      </c>
      <c r="J1494" t="s">
        <v>1542</v>
      </c>
      <c r="K1494">
        <v>800159</v>
      </c>
      <c r="L1494">
        <v>1</v>
      </c>
      <c r="M1494" t="s">
        <v>203</v>
      </c>
      <c r="N1494" t="s">
        <v>208</v>
      </c>
      <c r="O1494">
        <v>1395600</v>
      </c>
    </row>
    <row r="1495" spans="1:15" x14ac:dyDescent="0.4">
      <c r="A1495" t="s">
        <v>185</v>
      </c>
      <c r="B1495">
        <v>60</v>
      </c>
      <c r="C1495" t="s">
        <v>3</v>
      </c>
      <c r="D1495">
        <v>31</v>
      </c>
      <c r="E1495" t="s">
        <v>447</v>
      </c>
      <c r="F1495">
        <v>1543</v>
      </c>
      <c r="G1495" t="s">
        <v>1183</v>
      </c>
      <c r="I1495">
        <v>20003455</v>
      </c>
      <c r="J1495" t="s">
        <v>2827</v>
      </c>
      <c r="K1495">
        <v>800157</v>
      </c>
      <c r="L1495">
        <v>1</v>
      </c>
      <c r="M1495" t="s">
        <v>275</v>
      </c>
      <c r="N1495" t="s">
        <v>232</v>
      </c>
      <c r="O1495">
        <v>784000</v>
      </c>
    </row>
    <row r="1496" spans="1:15" x14ac:dyDescent="0.4">
      <c r="A1496" t="s">
        <v>1475</v>
      </c>
      <c r="B1496">
        <v>80</v>
      </c>
      <c r="C1496" t="s">
        <v>4</v>
      </c>
      <c r="D1496">
        <v>81</v>
      </c>
      <c r="E1496" t="s">
        <v>550</v>
      </c>
      <c r="F1496">
        <v>1436</v>
      </c>
      <c r="G1496" t="s">
        <v>918</v>
      </c>
      <c r="I1496">
        <v>20003945</v>
      </c>
      <c r="J1496" t="s">
        <v>2828</v>
      </c>
      <c r="K1496">
        <v>800157</v>
      </c>
      <c r="L1496">
        <v>1</v>
      </c>
      <c r="M1496" t="s">
        <v>1479</v>
      </c>
      <c r="N1496" t="s">
        <v>231</v>
      </c>
      <c r="O1496">
        <v>832000</v>
      </c>
    </row>
    <row r="1497" spans="1:15" x14ac:dyDescent="0.4">
      <c r="A1497" t="s">
        <v>1479</v>
      </c>
      <c r="B1497">
        <v>76</v>
      </c>
      <c r="C1497" t="s">
        <v>6</v>
      </c>
      <c r="D1497">
        <v>61</v>
      </c>
      <c r="E1497" t="s">
        <v>703</v>
      </c>
      <c r="F1497">
        <v>1563</v>
      </c>
      <c r="G1497" t="s">
        <v>942</v>
      </c>
      <c r="I1497">
        <v>20008604</v>
      </c>
      <c r="J1497" t="s">
        <v>2829</v>
      </c>
      <c r="K1497">
        <v>800157</v>
      </c>
      <c r="L1497">
        <v>1</v>
      </c>
      <c r="M1497" t="s">
        <v>1487</v>
      </c>
      <c r="N1497" t="s">
        <v>243</v>
      </c>
      <c r="O1497">
        <v>860800</v>
      </c>
    </row>
    <row r="1498" spans="1:15" x14ac:dyDescent="0.4">
      <c r="A1498" t="s">
        <v>363</v>
      </c>
      <c r="B1498">
        <v>60</v>
      </c>
      <c r="C1498" t="s">
        <v>3</v>
      </c>
      <c r="D1498">
        <v>33</v>
      </c>
      <c r="E1498" t="s">
        <v>451</v>
      </c>
      <c r="F1498">
        <v>1372</v>
      </c>
      <c r="G1498" t="s">
        <v>992</v>
      </c>
      <c r="I1498">
        <v>10025561</v>
      </c>
      <c r="J1498" t="s">
        <v>2830</v>
      </c>
      <c r="K1498">
        <v>800157</v>
      </c>
      <c r="L1498">
        <v>1</v>
      </c>
      <c r="M1498" t="s">
        <v>376</v>
      </c>
      <c r="N1498" t="s">
        <v>260</v>
      </c>
      <c r="O1498">
        <v>763200</v>
      </c>
    </row>
    <row r="1499" spans="1:15" x14ac:dyDescent="0.4">
      <c r="A1499" t="s">
        <v>185</v>
      </c>
      <c r="B1499">
        <v>75</v>
      </c>
      <c r="C1499" t="s">
        <v>5</v>
      </c>
      <c r="D1499">
        <v>52</v>
      </c>
      <c r="E1499" t="s">
        <v>665</v>
      </c>
      <c r="F1499">
        <v>1403</v>
      </c>
      <c r="G1499" t="s">
        <v>925</v>
      </c>
      <c r="I1499">
        <v>20003965</v>
      </c>
      <c r="J1499" t="s">
        <v>2831</v>
      </c>
      <c r="K1499">
        <v>800157</v>
      </c>
      <c r="L1499">
        <v>1</v>
      </c>
      <c r="M1499" t="s">
        <v>275</v>
      </c>
      <c r="N1499" t="s">
        <v>232</v>
      </c>
      <c r="O1499">
        <v>787200</v>
      </c>
    </row>
    <row r="1500" spans="1:15" x14ac:dyDescent="0.4">
      <c r="A1500" t="s">
        <v>1596</v>
      </c>
      <c r="B1500">
        <v>70</v>
      </c>
      <c r="C1500" t="s">
        <v>2</v>
      </c>
      <c r="D1500">
        <v>41</v>
      </c>
      <c r="E1500" t="s">
        <v>306</v>
      </c>
      <c r="F1500">
        <v>1445</v>
      </c>
      <c r="G1500" t="s">
        <v>886</v>
      </c>
      <c r="I1500">
        <v>20003872</v>
      </c>
      <c r="J1500" t="s">
        <v>2832</v>
      </c>
      <c r="K1500">
        <v>800159</v>
      </c>
      <c r="L1500">
        <v>1</v>
      </c>
      <c r="M1500" t="s">
        <v>268</v>
      </c>
      <c r="N1500" t="s">
        <v>214</v>
      </c>
      <c r="O1500">
        <v>1341600</v>
      </c>
    </row>
    <row r="1501" spans="1:15" x14ac:dyDescent="0.4">
      <c r="A1501" t="s">
        <v>268</v>
      </c>
      <c r="B1501">
        <v>60</v>
      </c>
      <c r="C1501" t="s">
        <v>3</v>
      </c>
      <c r="D1501">
        <v>31</v>
      </c>
      <c r="E1501" t="s">
        <v>447</v>
      </c>
      <c r="F1501">
        <v>1543</v>
      </c>
      <c r="G1501" t="s">
        <v>1183</v>
      </c>
      <c r="I1501">
        <v>10022995</v>
      </c>
      <c r="J1501" t="s">
        <v>2833</v>
      </c>
      <c r="K1501">
        <v>800159</v>
      </c>
      <c r="L1501">
        <v>1</v>
      </c>
      <c r="M1501" t="s">
        <v>195</v>
      </c>
      <c r="N1501" t="s">
        <v>200</v>
      </c>
      <c r="O1501">
        <v>732000</v>
      </c>
    </row>
    <row r="1502" spans="1:15" x14ac:dyDescent="0.4">
      <c r="A1502" t="s">
        <v>1586</v>
      </c>
      <c r="B1502">
        <v>75</v>
      </c>
      <c r="C1502" t="s">
        <v>5</v>
      </c>
      <c r="D1502">
        <v>51</v>
      </c>
      <c r="E1502" t="s">
        <v>657</v>
      </c>
      <c r="F1502">
        <v>1365</v>
      </c>
      <c r="G1502" t="s">
        <v>1148</v>
      </c>
      <c r="I1502">
        <v>10021448</v>
      </c>
      <c r="J1502" t="s">
        <v>2834</v>
      </c>
      <c r="K1502">
        <v>800159</v>
      </c>
      <c r="L1502">
        <v>1</v>
      </c>
      <c r="M1502" t="s">
        <v>1589</v>
      </c>
      <c r="N1502" t="s">
        <v>207</v>
      </c>
      <c r="O1502">
        <v>1395600</v>
      </c>
    </row>
    <row r="1503" spans="1:15" x14ac:dyDescent="0.4">
      <c r="A1503" t="s">
        <v>185</v>
      </c>
      <c r="B1503">
        <v>60</v>
      </c>
      <c r="C1503" t="s">
        <v>3</v>
      </c>
      <c r="D1503">
        <v>31</v>
      </c>
      <c r="E1503" t="s">
        <v>447</v>
      </c>
      <c r="F1503">
        <v>1543</v>
      </c>
      <c r="G1503" t="s">
        <v>1183</v>
      </c>
      <c r="I1503">
        <v>20003890</v>
      </c>
      <c r="J1503" t="s">
        <v>2369</v>
      </c>
      <c r="K1503">
        <v>800159</v>
      </c>
      <c r="L1503">
        <v>1</v>
      </c>
      <c r="M1503" t="s">
        <v>275</v>
      </c>
      <c r="N1503" t="s">
        <v>234</v>
      </c>
      <c r="O1503">
        <v>1336200</v>
      </c>
    </row>
    <row r="1504" spans="1:15" x14ac:dyDescent="0.4">
      <c r="A1504" t="s">
        <v>185</v>
      </c>
      <c r="B1504">
        <v>70</v>
      </c>
      <c r="C1504" t="s">
        <v>2</v>
      </c>
      <c r="D1504">
        <v>41</v>
      </c>
      <c r="E1504" t="s">
        <v>306</v>
      </c>
      <c r="F1504">
        <v>1610</v>
      </c>
      <c r="G1504" t="s">
        <v>1352</v>
      </c>
      <c r="I1504">
        <v>20009629</v>
      </c>
      <c r="J1504" t="s">
        <v>2835</v>
      </c>
      <c r="K1504">
        <v>800157</v>
      </c>
      <c r="L1504">
        <v>1</v>
      </c>
      <c r="M1504" t="s">
        <v>275</v>
      </c>
      <c r="N1504" t="s">
        <v>232</v>
      </c>
      <c r="O1504">
        <v>787200</v>
      </c>
    </row>
    <row r="1505" spans="1:15" x14ac:dyDescent="0.4">
      <c r="A1505" t="s">
        <v>185</v>
      </c>
      <c r="B1505">
        <v>80</v>
      </c>
      <c r="C1505" t="s">
        <v>4</v>
      </c>
      <c r="D1505">
        <v>81</v>
      </c>
      <c r="E1505" t="s">
        <v>550</v>
      </c>
      <c r="F1505">
        <v>1154</v>
      </c>
      <c r="G1505" t="s">
        <v>1044</v>
      </c>
      <c r="I1505">
        <v>20003857</v>
      </c>
      <c r="J1505" t="s">
        <v>2836</v>
      </c>
      <c r="K1505">
        <v>800155</v>
      </c>
      <c r="L1505">
        <v>1</v>
      </c>
      <c r="M1505" t="s">
        <v>275</v>
      </c>
      <c r="N1505" t="s">
        <v>238</v>
      </c>
      <c r="O1505">
        <v>132000</v>
      </c>
    </row>
    <row r="1506" spans="1:15" x14ac:dyDescent="0.4">
      <c r="A1506" t="s">
        <v>1587</v>
      </c>
      <c r="B1506">
        <v>50</v>
      </c>
      <c r="C1506" t="s">
        <v>1</v>
      </c>
      <c r="D1506">
        <v>11</v>
      </c>
      <c r="E1506" t="s">
        <v>192</v>
      </c>
      <c r="F1506">
        <v>1353</v>
      </c>
      <c r="G1506" t="s">
        <v>1017</v>
      </c>
      <c r="I1506">
        <v>20003902</v>
      </c>
      <c r="J1506" t="s">
        <v>2837</v>
      </c>
      <c r="K1506">
        <v>800159</v>
      </c>
      <c r="L1506">
        <v>1</v>
      </c>
      <c r="M1506" t="s">
        <v>1548</v>
      </c>
      <c r="N1506" t="s">
        <v>329</v>
      </c>
      <c r="O1506">
        <v>954000</v>
      </c>
    </row>
    <row r="1507" spans="1:15" x14ac:dyDescent="0.4">
      <c r="A1507" t="s">
        <v>203</v>
      </c>
      <c r="B1507">
        <v>75</v>
      </c>
      <c r="C1507" t="s">
        <v>5</v>
      </c>
      <c r="D1507">
        <v>51</v>
      </c>
      <c r="E1507" t="s">
        <v>657</v>
      </c>
      <c r="F1507">
        <v>1365</v>
      </c>
      <c r="G1507" t="s">
        <v>1148</v>
      </c>
      <c r="I1507">
        <v>10022145</v>
      </c>
      <c r="J1507" t="s">
        <v>2838</v>
      </c>
      <c r="K1507">
        <v>800159</v>
      </c>
      <c r="L1507">
        <v>1</v>
      </c>
      <c r="M1507" t="s">
        <v>290</v>
      </c>
      <c r="N1507" t="s">
        <v>295</v>
      </c>
      <c r="O1507">
        <v>1406400</v>
      </c>
    </row>
    <row r="1508" spans="1:15" x14ac:dyDescent="0.4">
      <c r="A1508" t="s">
        <v>1479</v>
      </c>
      <c r="B1508">
        <v>80</v>
      </c>
      <c r="C1508" t="s">
        <v>4</v>
      </c>
      <c r="D1508">
        <v>71</v>
      </c>
      <c r="E1508" t="s">
        <v>556</v>
      </c>
      <c r="F1508">
        <v>1296</v>
      </c>
      <c r="G1508" t="s">
        <v>964</v>
      </c>
      <c r="I1508">
        <v>20003924</v>
      </c>
      <c r="J1508" t="s">
        <v>2839</v>
      </c>
      <c r="K1508">
        <v>800157</v>
      </c>
      <c r="L1508">
        <v>1</v>
      </c>
      <c r="M1508" t="s">
        <v>1487</v>
      </c>
      <c r="N1508" t="s">
        <v>243</v>
      </c>
      <c r="O1508">
        <v>784000</v>
      </c>
    </row>
    <row r="1509" spans="1:15" x14ac:dyDescent="0.4">
      <c r="A1509" t="s">
        <v>1589</v>
      </c>
      <c r="B1509">
        <v>80</v>
      </c>
      <c r="C1509" t="s">
        <v>4</v>
      </c>
      <c r="D1509">
        <v>81</v>
      </c>
      <c r="E1509" t="s">
        <v>550</v>
      </c>
      <c r="F1509">
        <v>1154</v>
      </c>
      <c r="G1509" t="s">
        <v>1044</v>
      </c>
      <c r="I1509">
        <v>10048529</v>
      </c>
      <c r="J1509" t="s">
        <v>2840</v>
      </c>
      <c r="K1509">
        <v>800157</v>
      </c>
      <c r="L1509">
        <v>1</v>
      </c>
      <c r="M1509" t="s">
        <v>1594</v>
      </c>
      <c r="N1509" t="s">
        <v>292</v>
      </c>
      <c r="O1509">
        <v>784000</v>
      </c>
    </row>
    <row r="1510" spans="1:15" x14ac:dyDescent="0.4">
      <c r="A1510" t="s">
        <v>195</v>
      </c>
      <c r="B1510">
        <v>70</v>
      </c>
      <c r="C1510" t="s">
        <v>2</v>
      </c>
      <c r="D1510">
        <v>41</v>
      </c>
      <c r="E1510" t="s">
        <v>306</v>
      </c>
      <c r="F1510">
        <v>1298</v>
      </c>
      <c r="G1510" t="s">
        <v>1277</v>
      </c>
      <c r="I1510">
        <v>10009402</v>
      </c>
      <c r="J1510" t="s">
        <v>2841</v>
      </c>
      <c r="K1510">
        <v>800157</v>
      </c>
      <c r="L1510">
        <v>1</v>
      </c>
      <c r="M1510" t="s">
        <v>185</v>
      </c>
      <c r="N1510" t="s">
        <v>188</v>
      </c>
      <c r="O1510">
        <v>886400</v>
      </c>
    </row>
    <row r="1511" spans="1:15" x14ac:dyDescent="0.4">
      <c r="A1511" t="s">
        <v>238</v>
      </c>
      <c r="B1511">
        <v>76</v>
      </c>
      <c r="C1511" t="s">
        <v>6</v>
      </c>
      <c r="D1511">
        <v>61</v>
      </c>
      <c r="E1511" t="s">
        <v>703</v>
      </c>
      <c r="F1511">
        <v>1475</v>
      </c>
      <c r="G1511" t="s">
        <v>909</v>
      </c>
      <c r="I1511">
        <v>10006693</v>
      </c>
      <c r="J1511" t="s">
        <v>2842</v>
      </c>
      <c r="K1511">
        <v>800157</v>
      </c>
      <c r="L1511">
        <v>1</v>
      </c>
      <c r="M1511" t="s">
        <v>230</v>
      </c>
      <c r="N1511" t="s">
        <v>233</v>
      </c>
      <c r="O1511">
        <v>784000</v>
      </c>
    </row>
    <row r="1512" spans="1:15" x14ac:dyDescent="0.4">
      <c r="A1512" t="s">
        <v>195</v>
      </c>
      <c r="B1512">
        <v>60</v>
      </c>
      <c r="C1512" t="s">
        <v>3</v>
      </c>
      <c r="D1512">
        <v>33</v>
      </c>
      <c r="E1512" t="s">
        <v>451</v>
      </c>
      <c r="F1512">
        <v>1372</v>
      </c>
      <c r="G1512" t="s">
        <v>992</v>
      </c>
      <c r="I1512">
        <v>10051843</v>
      </c>
      <c r="J1512" t="s">
        <v>2843</v>
      </c>
      <c r="K1512">
        <v>800159</v>
      </c>
      <c r="L1512">
        <v>1</v>
      </c>
      <c r="M1512" t="s">
        <v>185</v>
      </c>
      <c r="N1512" t="s">
        <v>190</v>
      </c>
      <c r="O1512">
        <v>1347000</v>
      </c>
    </row>
    <row r="1513" spans="1:15" x14ac:dyDescent="0.4">
      <c r="A1513" t="s">
        <v>185</v>
      </c>
      <c r="B1513">
        <v>70</v>
      </c>
      <c r="C1513" t="s">
        <v>2</v>
      </c>
      <c r="D1513">
        <v>41</v>
      </c>
      <c r="E1513" t="s">
        <v>306</v>
      </c>
      <c r="F1513">
        <v>1118</v>
      </c>
      <c r="G1513" t="s">
        <v>1471</v>
      </c>
      <c r="I1513">
        <v>20003823</v>
      </c>
      <c r="J1513" t="s">
        <v>2844</v>
      </c>
      <c r="K1513">
        <v>800159</v>
      </c>
      <c r="L1513">
        <v>1</v>
      </c>
      <c r="M1513" t="s">
        <v>275</v>
      </c>
      <c r="N1513" t="s">
        <v>234</v>
      </c>
      <c r="O1513">
        <v>1465800</v>
      </c>
    </row>
    <row r="1514" spans="1:15" x14ac:dyDescent="0.4">
      <c r="A1514" t="s">
        <v>268</v>
      </c>
      <c r="B1514">
        <v>50</v>
      </c>
      <c r="C1514" t="s">
        <v>1</v>
      </c>
      <c r="D1514">
        <v>21</v>
      </c>
      <c r="E1514" t="s">
        <v>182</v>
      </c>
      <c r="F1514">
        <v>1345</v>
      </c>
      <c r="G1514" t="s">
        <v>874</v>
      </c>
      <c r="I1514">
        <v>10068562</v>
      </c>
      <c r="J1514" t="s">
        <v>2845</v>
      </c>
      <c r="K1514">
        <v>800159</v>
      </c>
      <c r="L1514">
        <v>1</v>
      </c>
      <c r="M1514" t="s">
        <v>195</v>
      </c>
      <c r="N1514" t="s">
        <v>200</v>
      </c>
      <c r="O1514">
        <v>1492800</v>
      </c>
    </row>
    <row r="1515" spans="1:15" x14ac:dyDescent="0.4">
      <c r="A1515" t="s">
        <v>1594</v>
      </c>
      <c r="B1515">
        <v>70</v>
      </c>
      <c r="C1515" t="s">
        <v>2</v>
      </c>
      <c r="D1515">
        <v>41</v>
      </c>
      <c r="E1515" t="s">
        <v>306</v>
      </c>
      <c r="F1515">
        <v>1561</v>
      </c>
      <c r="G1515" t="s">
        <v>1070</v>
      </c>
      <c r="I1515">
        <v>20004005</v>
      </c>
      <c r="J1515" t="s">
        <v>2846</v>
      </c>
      <c r="K1515">
        <v>800157</v>
      </c>
      <c r="L1515">
        <v>1</v>
      </c>
      <c r="M1515" t="s">
        <v>1596</v>
      </c>
      <c r="N1515" t="s">
        <v>252</v>
      </c>
      <c r="O1515">
        <v>867200</v>
      </c>
    </row>
    <row r="1516" spans="1:15" x14ac:dyDescent="0.4">
      <c r="A1516" t="s">
        <v>250</v>
      </c>
      <c r="B1516">
        <v>70</v>
      </c>
      <c r="C1516" t="s">
        <v>2</v>
      </c>
      <c r="D1516">
        <v>41</v>
      </c>
      <c r="E1516" t="s">
        <v>306</v>
      </c>
      <c r="F1516">
        <v>1445</v>
      </c>
      <c r="G1516" t="s">
        <v>886</v>
      </c>
      <c r="I1516">
        <v>20003995</v>
      </c>
      <c r="J1516" t="s">
        <v>2847</v>
      </c>
      <c r="K1516">
        <v>800159</v>
      </c>
      <c r="L1516">
        <v>1</v>
      </c>
      <c r="M1516" t="s">
        <v>196</v>
      </c>
      <c r="N1516" t="s">
        <v>215</v>
      </c>
      <c r="O1516">
        <v>1573800</v>
      </c>
    </row>
    <row r="1517" spans="1:15" x14ac:dyDescent="0.4">
      <c r="A1517" t="s">
        <v>185</v>
      </c>
      <c r="B1517">
        <v>50</v>
      </c>
      <c r="C1517" t="s">
        <v>1</v>
      </c>
      <c r="D1517">
        <v>21</v>
      </c>
      <c r="E1517" t="s">
        <v>182</v>
      </c>
      <c r="F1517">
        <v>1264</v>
      </c>
      <c r="G1517" t="s">
        <v>1023</v>
      </c>
      <c r="I1517">
        <v>20004165</v>
      </c>
      <c r="J1517" t="s">
        <v>2146</v>
      </c>
      <c r="K1517">
        <v>800159</v>
      </c>
      <c r="L1517">
        <v>1</v>
      </c>
      <c r="M1517" t="s">
        <v>275</v>
      </c>
      <c r="N1517" t="s">
        <v>234</v>
      </c>
      <c r="O1517">
        <v>1320000</v>
      </c>
    </row>
    <row r="1518" spans="1:15" x14ac:dyDescent="0.4">
      <c r="A1518" t="s">
        <v>1594</v>
      </c>
      <c r="B1518">
        <v>70</v>
      </c>
      <c r="C1518" t="s">
        <v>2</v>
      </c>
      <c r="D1518">
        <v>41</v>
      </c>
      <c r="E1518" t="s">
        <v>306</v>
      </c>
      <c r="F1518">
        <v>1445</v>
      </c>
      <c r="G1518" t="s">
        <v>886</v>
      </c>
      <c r="I1518">
        <v>20003932</v>
      </c>
      <c r="J1518" t="s">
        <v>2848</v>
      </c>
      <c r="K1518">
        <v>800157</v>
      </c>
      <c r="L1518">
        <v>1</v>
      </c>
      <c r="M1518" t="s">
        <v>1596</v>
      </c>
      <c r="N1518" t="s">
        <v>252</v>
      </c>
      <c r="O1518">
        <v>876800</v>
      </c>
    </row>
    <row r="1519" spans="1:15" x14ac:dyDescent="0.4">
      <c r="A1519" t="s">
        <v>1596</v>
      </c>
      <c r="B1519">
        <v>60</v>
      </c>
      <c r="C1519" t="s">
        <v>3</v>
      </c>
      <c r="D1519">
        <v>31</v>
      </c>
      <c r="E1519" t="s">
        <v>447</v>
      </c>
      <c r="F1519">
        <v>1116</v>
      </c>
      <c r="G1519" t="s">
        <v>1075</v>
      </c>
      <c r="I1519">
        <v>10065854</v>
      </c>
      <c r="J1519" t="s">
        <v>2849</v>
      </c>
      <c r="K1519">
        <v>800159</v>
      </c>
      <c r="L1519">
        <v>1</v>
      </c>
      <c r="M1519" t="s">
        <v>268</v>
      </c>
      <c r="N1519" t="s">
        <v>214</v>
      </c>
      <c r="O1519">
        <v>1320000</v>
      </c>
    </row>
    <row r="1520" spans="1:15" x14ac:dyDescent="0.4">
      <c r="A1520" t="s">
        <v>1589</v>
      </c>
      <c r="B1520">
        <v>60</v>
      </c>
      <c r="C1520" t="s">
        <v>3</v>
      </c>
      <c r="D1520">
        <v>31</v>
      </c>
      <c r="E1520" t="s">
        <v>447</v>
      </c>
      <c r="F1520">
        <v>1367</v>
      </c>
      <c r="G1520" t="s">
        <v>977</v>
      </c>
      <c r="I1520">
        <v>20004058</v>
      </c>
      <c r="J1520" t="s">
        <v>2850</v>
      </c>
      <c r="K1520">
        <v>800159</v>
      </c>
      <c r="L1520">
        <v>1</v>
      </c>
      <c r="M1520" t="s">
        <v>1594</v>
      </c>
      <c r="N1520" t="s">
        <v>294</v>
      </c>
      <c r="O1520">
        <v>1460400</v>
      </c>
    </row>
    <row r="1521" spans="1:15" x14ac:dyDescent="0.4">
      <c r="A1521" t="s">
        <v>1594</v>
      </c>
      <c r="B1521">
        <v>70</v>
      </c>
      <c r="C1521" t="s">
        <v>2</v>
      </c>
      <c r="D1521">
        <v>41</v>
      </c>
      <c r="E1521" t="s">
        <v>306</v>
      </c>
      <c r="F1521">
        <v>1510</v>
      </c>
      <c r="G1521" t="s">
        <v>870</v>
      </c>
      <c r="I1521">
        <v>20004023</v>
      </c>
      <c r="J1521" t="s">
        <v>2851</v>
      </c>
      <c r="K1521">
        <v>800157</v>
      </c>
      <c r="L1521">
        <v>1</v>
      </c>
      <c r="M1521" t="s">
        <v>1596</v>
      </c>
      <c r="N1521" t="s">
        <v>252</v>
      </c>
      <c r="O1521">
        <v>902400</v>
      </c>
    </row>
    <row r="1522" spans="1:15" x14ac:dyDescent="0.4">
      <c r="A1522" t="s">
        <v>195</v>
      </c>
      <c r="B1522">
        <v>80</v>
      </c>
      <c r="C1522" t="s">
        <v>4</v>
      </c>
      <c r="D1522">
        <v>81</v>
      </c>
      <c r="E1522" t="s">
        <v>550</v>
      </c>
      <c r="F1522">
        <v>1378</v>
      </c>
      <c r="G1522" t="s">
        <v>881</v>
      </c>
      <c r="I1522">
        <v>10041692</v>
      </c>
      <c r="J1522" t="s">
        <v>2852</v>
      </c>
      <c r="K1522">
        <v>800159</v>
      </c>
      <c r="L1522">
        <v>1</v>
      </c>
      <c r="M1522" t="s">
        <v>185</v>
      </c>
      <c r="N1522" t="s">
        <v>190</v>
      </c>
      <c r="O1522">
        <v>1330800</v>
      </c>
    </row>
    <row r="1523" spans="1:15" x14ac:dyDescent="0.4">
      <c r="A1523" t="s">
        <v>311</v>
      </c>
      <c r="B1523">
        <v>50</v>
      </c>
      <c r="C1523" t="s">
        <v>1</v>
      </c>
      <c r="D1523">
        <v>11</v>
      </c>
      <c r="E1523" t="s">
        <v>192</v>
      </c>
      <c r="F1523">
        <v>1085</v>
      </c>
      <c r="G1523" t="s">
        <v>854</v>
      </c>
      <c r="I1523">
        <v>10060243</v>
      </c>
      <c r="J1523" t="s">
        <v>2853</v>
      </c>
      <c r="K1523">
        <v>800159</v>
      </c>
      <c r="L1523">
        <v>1</v>
      </c>
      <c r="M1523" t="s">
        <v>258</v>
      </c>
      <c r="N1523" t="s">
        <v>263</v>
      </c>
      <c r="O1523">
        <v>888000</v>
      </c>
    </row>
    <row r="1524" spans="1:15" x14ac:dyDescent="0.4">
      <c r="A1524" t="s">
        <v>185</v>
      </c>
      <c r="B1524">
        <v>76</v>
      </c>
      <c r="C1524" t="s">
        <v>6</v>
      </c>
      <c r="D1524">
        <v>61</v>
      </c>
      <c r="E1524" t="s">
        <v>703</v>
      </c>
      <c r="F1524">
        <v>1602</v>
      </c>
      <c r="G1524" t="s">
        <v>1013</v>
      </c>
      <c r="I1524">
        <v>10061997</v>
      </c>
      <c r="J1524" t="s">
        <v>784</v>
      </c>
      <c r="K1524">
        <v>800159</v>
      </c>
      <c r="L1524">
        <v>1</v>
      </c>
      <c r="M1524" t="s">
        <v>275</v>
      </c>
      <c r="N1524" t="s">
        <v>234</v>
      </c>
      <c r="O1524">
        <v>1465800</v>
      </c>
    </row>
    <row r="1525" spans="1:15" x14ac:dyDescent="0.4">
      <c r="A1525" t="s">
        <v>242</v>
      </c>
      <c r="B1525">
        <v>60</v>
      </c>
      <c r="C1525" t="s">
        <v>3</v>
      </c>
      <c r="D1525">
        <v>31</v>
      </c>
      <c r="E1525" t="s">
        <v>447</v>
      </c>
      <c r="F1525">
        <v>1116</v>
      </c>
      <c r="G1525" t="s">
        <v>1075</v>
      </c>
      <c r="I1525">
        <v>20004118</v>
      </c>
      <c r="J1525" t="s">
        <v>2854</v>
      </c>
      <c r="K1525">
        <v>800159</v>
      </c>
      <c r="L1525">
        <v>1</v>
      </c>
      <c r="M1525" t="s">
        <v>311</v>
      </c>
      <c r="N1525" t="s">
        <v>316</v>
      </c>
      <c r="O1525">
        <v>1352400</v>
      </c>
    </row>
    <row r="1526" spans="1:15" x14ac:dyDescent="0.4">
      <c r="A1526" t="s">
        <v>1587</v>
      </c>
      <c r="B1526">
        <v>80</v>
      </c>
      <c r="C1526" t="s">
        <v>4</v>
      </c>
      <c r="D1526">
        <v>81</v>
      </c>
      <c r="E1526" t="s">
        <v>550</v>
      </c>
      <c r="F1526">
        <v>1154</v>
      </c>
      <c r="G1526" t="s">
        <v>1044</v>
      </c>
      <c r="I1526">
        <v>10017366</v>
      </c>
      <c r="J1526" t="s">
        <v>2855</v>
      </c>
      <c r="K1526">
        <v>800157</v>
      </c>
      <c r="L1526">
        <v>1</v>
      </c>
      <c r="M1526" t="s">
        <v>1548</v>
      </c>
      <c r="N1526" t="s">
        <v>327</v>
      </c>
      <c r="O1526">
        <v>848000</v>
      </c>
    </row>
    <row r="1527" spans="1:15" x14ac:dyDescent="0.4">
      <c r="A1527" t="s">
        <v>1589</v>
      </c>
      <c r="B1527">
        <v>60</v>
      </c>
      <c r="C1527" t="s">
        <v>3</v>
      </c>
      <c r="D1527">
        <v>33</v>
      </c>
      <c r="E1527" t="s">
        <v>451</v>
      </c>
      <c r="F1527">
        <v>1273</v>
      </c>
      <c r="G1527" t="s">
        <v>1084</v>
      </c>
      <c r="I1527">
        <v>20004171</v>
      </c>
      <c r="J1527" t="s">
        <v>2856</v>
      </c>
      <c r="K1527">
        <v>800157</v>
      </c>
      <c r="L1527">
        <v>1</v>
      </c>
      <c r="M1527" t="s">
        <v>1594</v>
      </c>
      <c r="N1527" t="s">
        <v>292</v>
      </c>
      <c r="O1527">
        <v>738000</v>
      </c>
    </row>
    <row r="1528" spans="1:15" x14ac:dyDescent="0.4">
      <c r="A1528" t="s">
        <v>220</v>
      </c>
      <c r="B1528">
        <v>80</v>
      </c>
      <c r="C1528" t="s">
        <v>4</v>
      </c>
      <c r="D1528">
        <v>71</v>
      </c>
      <c r="E1528" t="s">
        <v>556</v>
      </c>
      <c r="F1528">
        <v>1296</v>
      </c>
      <c r="G1528" t="s">
        <v>964</v>
      </c>
      <c r="I1528">
        <v>10012880</v>
      </c>
      <c r="J1528" t="s">
        <v>2857</v>
      </c>
      <c r="K1528">
        <v>800159</v>
      </c>
      <c r="L1528">
        <v>1</v>
      </c>
      <c r="M1528" t="s">
        <v>203</v>
      </c>
      <c r="N1528" t="s">
        <v>208</v>
      </c>
      <c r="O1528">
        <v>1320000</v>
      </c>
    </row>
    <row r="1529" spans="1:15" x14ac:dyDescent="0.4">
      <c r="A1529" t="s">
        <v>1469</v>
      </c>
      <c r="B1529">
        <v>70</v>
      </c>
      <c r="C1529" t="s">
        <v>2</v>
      </c>
      <c r="D1529">
        <v>41</v>
      </c>
      <c r="E1529" t="s">
        <v>306</v>
      </c>
      <c r="F1529">
        <v>1383</v>
      </c>
      <c r="G1529" t="s">
        <v>957</v>
      </c>
      <c r="I1529">
        <v>10059847</v>
      </c>
      <c r="J1529" t="s">
        <v>2858</v>
      </c>
      <c r="K1529">
        <v>800157</v>
      </c>
      <c r="L1529">
        <v>1</v>
      </c>
      <c r="M1529" t="s">
        <v>1475</v>
      </c>
      <c r="N1529" t="s">
        <v>187</v>
      </c>
      <c r="O1529">
        <v>810000</v>
      </c>
    </row>
    <row r="1530" spans="1:15" x14ac:dyDescent="0.4">
      <c r="A1530" t="s">
        <v>1589</v>
      </c>
      <c r="B1530">
        <v>75</v>
      </c>
      <c r="C1530" t="s">
        <v>5</v>
      </c>
      <c r="D1530">
        <v>51</v>
      </c>
      <c r="E1530" t="s">
        <v>657</v>
      </c>
      <c r="F1530">
        <v>1365</v>
      </c>
      <c r="G1530" t="s">
        <v>1148</v>
      </c>
      <c r="I1530">
        <v>10062793</v>
      </c>
      <c r="J1530" t="s">
        <v>2859</v>
      </c>
      <c r="K1530">
        <v>800157</v>
      </c>
      <c r="L1530">
        <v>1</v>
      </c>
      <c r="M1530" t="s">
        <v>1594</v>
      </c>
      <c r="N1530" t="s">
        <v>292</v>
      </c>
      <c r="O1530">
        <v>784000</v>
      </c>
    </row>
    <row r="1531" spans="1:15" x14ac:dyDescent="0.4">
      <c r="A1531" t="s">
        <v>275</v>
      </c>
      <c r="B1531">
        <v>60</v>
      </c>
      <c r="C1531" t="s">
        <v>3</v>
      </c>
      <c r="D1531">
        <v>33</v>
      </c>
      <c r="E1531" t="s">
        <v>451</v>
      </c>
      <c r="F1531">
        <v>1220</v>
      </c>
      <c r="G1531" t="s">
        <v>1343</v>
      </c>
      <c r="I1531">
        <v>10025956</v>
      </c>
      <c r="J1531" t="s">
        <v>2860</v>
      </c>
      <c r="K1531">
        <v>800159</v>
      </c>
      <c r="L1531">
        <v>1</v>
      </c>
      <c r="M1531" t="s">
        <v>281</v>
      </c>
      <c r="N1531" t="s">
        <v>246</v>
      </c>
      <c r="O1531">
        <v>1362000</v>
      </c>
    </row>
    <row r="1532" spans="1:15" x14ac:dyDescent="0.4">
      <c r="A1532" t="s">
        <v>1548</v>
      </c>
      <c r="B1532">
        <v>76</v>
      </c>
      <c r="C1532" t="s">
        <v>6</v>
      </c>
      <c r="D1532">
        <v>61</v>
      </c>
      <c r="E1532" t="s">
        <v>703</v>
      </c>
      <c r="F1532">
        <v>1475</v>
      </c>
      <c r="G1532" t="s">
        <v>909</v>
      </c>
      <c r="I1532">
        <v>10065676</v>
      </c>
      <c r="J1532" t="s">
        <v>2861</v>
      </c>
      <c r="K1532">
        <v>800157</v>
      </c>
      <c r="L1532">
        <v>1</v>
      </c>
      <c r="M1532" t="s">
        <v>1586</v>
      </c>
      <c r="N1532" t="s">
        <v>222</v>
      </c>
      <c r="O1532">
        <v>784000</v>
      </c>
    </row>
    <row r="1533" spans="1:15" x14ac:dyDescent="0.4">
      <c r="A1533" t="s">
        <v>1586</v>
      </c>
      <c r="B1533">
        <v>70</v>
      </c>
      <c r="C1533" t="s">
        <v>2</v>
      </c>
      <c r="D1533">
        <v>41</v>
      </c>
      <c r="E1533" t="s">
        <v>306</v>
      </c>
      <c r="F1533">
        <v>1445</v>
      </c>
      <c r="G1533" t="s">
        <v>886</v>
      </c>
      <c r="I1533">
        <v>20002516</v>
      </c>
      <c r="J1533" t="s">
        <v>2862</v>
      </c>
      <c r="K1533">
        <v>800159</v>
      </c>
      <c r="L1533">
        <v>1</v>
      </c>
      <c r="M1533" t="s">
        <v>1589</v>
      </c>
      <c r="N1533" t="s">
        <v>207</v>
      </c>
      <c r="O1533">
        <v>1347000</v>
      </c>
    </row>
    <row r="1534" spans="1:15" x14ac:dyDescent="0.4">
      <c r="A1534" t="s">
        <v>196</v>
      </c>
      <c r="B1534">
        <v>60</v>
      </c>
      <c r="C1534" t="s">
        <v>3</v>
      </c>
      <c r="D1534">
        <v>31</v>
      </c>
      <c r="E1534" t="s">
        <v>447</v>
      </c>
      <c r="F1534">
        <v>1116</v>
      </c>
      <c r="G1534" t="s">
        <v>1075</v>
      </c>
      <c r="I1534">
        <v>10059489</v>
      </c>
      <c r="J1534" t="s">
        <v>2216</v>
      </c>
      <c r="K1534">
        <v>800157</v>
      </c>
      <c r="L1534">
        <v>1</v>
      </c>
      <c r="M1534" t="s">
        <v>186</v>
      </c>
      <c r="N1534" t="s">
        <v>199</v>
      </c>
      <c r="O1534">
        <v>927000</v>
      </c>
    </row>
    <row r="1535" spans="1:15" x14ac:dyDescent="0.4">
      <c r="A1535" t="s">
        <v>1487</v>
      </c>
      <c r="B1535">
        <v>80</v>
      </c>
      <c r="C1535" t="s">
        <v>4</v>
      </c>
      <c r="D1535">
        <v>81</v>
      </c>
      <c r="E1535" t="s">
        <v>550</v>
      </c>
      <c r="F1535">
        <v>1154</v>
      </c>
      <c r="G1535" t="s">
        <v>1044</v>
      </c>
      <c r="I1535">
        <v>10032075</v>
      </c>
      <c r="J1535" t="s">
        <v>2863</v>
      </c>
      <c r="K1535">
        <v>800159</v>
      </c>
      <c r="L1535">
        <v>1</v>
      </c>
      <c r="M1535" t="s">
        <v>1523</v>
      </c>
      <c r="N1535" t="s">
        <v>314</v>
      </c>
      <c r="O1535">
        <v>1363200</v>
      </c>
    </row>
    <row r="1536" spans="1:15" x14ac:dyDescent="0.4">
      <c r="A1536" t="s">
        <v>353</v>
      </c>
      <c r="B1536">
        <v>75</v>
      </c>
      <c r="C1536" t="s">
        <v>5</v>
      </c>
      <c r="D1536">
        <v>51</v>
      </c>
      <c r="E1536" t="s">
        <v>657</v>
      </c>
      <c r="F1536">
        <v>1415</v>
      </c>
      <c r="G1536" t="s">
        <v>1038</v>
      </c>
      <c r="I1536">
        <v>10008898</v>
      </c>
      <c r="J1536" t="s">
        <v>2864</v>
      </c>
      <c r="K1536">
        <v>800159</v>
      </c>
      <c r="L1536">
        <v>1</v>
      </c>
      <c r="M1536" t="s">
        <v>220</v>
      </c>
      <c r="N1536" t="s">
        <v>225</v>
      </c>
      <c r="O1536">
        <v>1341600</v>
      </c>
    </row>
    <row r="1537" spans="1:15" x14ac:dyDescent="0.4">
      <c r="A1537" t="s">
        <v>376</v>
      </c>
      <c r="B1537">
        <v>75</v>
      </c>
      <c r="C1537" t="s">
        <v>5</v>
      </c>
      <c r="D1537">
        <v>51</v>
      </c>
      <c r="E1537" t="s">
        <v>657</v>
      </c>
      <c r="F1537">
        <v>1415</v>
      </c>
      <c r="G1537" t="s">
        <v>1038</v>
      </c>
      <c r="I1537">
        <v>10032334</v>
      </c>
      <c r="J1537" t="s">
        <v>2865</v>
      </c>
      <c r="K1537">
        <v>800157</v>
      </c>
      <c r="L1537">
        <v>1</v>
      </c>
      <c r="M1537" t="s">
        <v>353</v>
      </c>
      <c r="N1537" t="s">
        <v>328</v>
      </c>
      <c r="O1537">
        <v>784000</v>
      </c>
    </row>
    <row r="1538" spans="1:15" x14ac:dyDescent="0.4">
      <c r="A1538" t="s">
        <v>238</v>
      </c>
      <c r="B1538">
        <v>70</v>
      </c>
      <c r="C1538" t="s">
        <v>2</v>
      </c>
      <c r="D1538">
        <v>41</v>
      </c>
      <c r="E1538" t="s">
        <v>306</v>
      </c>
      <c r="F1538">
        <v>1510</v>
      </c>
      <c r="G1538" t="s">
        <v>870</v>
      </c>
      <c r="I1538">
        <v>10035369</v>
      </c>
      <c r="J1538" t="s">
        <v>2866</v>
      </c>
      <c r="K1538">
        <v>800159</v>
      </c>
      <c r="L1538">
        <v>1</v>
      </c>
      <c r="M1538" t="s">
        <v>230</v>
      </c>
      <c r="N1538" t="s">
        <v>235</v>
      </c>
      <c r="O1538">
        <v>1330800</v>
      </c>
    </row>
    <row r="1539" spans="1:15" x14ac:dyDescent="0.4">
      <c r="A1539" t="s">
        <v>1523</v>
      </c>
      <c r="B1539">
        <v>60</v>
      </c>
      <c r="C1539" t="s">
        <v>3</v>
      </c>
      <c r="D1539">
        <v>31</v>
      </c>
      <c r="E1539" t="s">
        <v>447</v>
      </c>
      <c r="F1539">
        <v>1299</v>
      </c>
      <c r="G1539" t="s">
        <v>947</v>
      </c>
      <c r="I1539">
        <v>10047180</v>
      </c>
      <c r="J1539" t="s">
        <v>2867</v>
      </c>
      <c r="K1539">
        <v>800159</v>
      </c>
      <c r="L1539">
        <v>1</v>
      </c>
      <c r="M1539" t="s">
        <v>1587</v>
      </c>
      <c r="N1539" t="s">
        <v>261</v>
      </c>
      <c r="O1539">
        <v>1266000</v>
      </c>
    </row>
    <row r="1540" spans="1:15" x14ac:dyDescent="0.4">
      <c r="A1540" t="s">
        <v>203</v>
      </c>
      <c r="B1540">
        <v>50</v>
      </c>
      <c r="C1540" t="s">
        <v>1</v>
      </c>
      <c r="D1540">
        <v>21</v>
      </c>
      <c r="E1540" t="s">
        <v>182</v>
      </c>
      <c r="F1540">
        <v>1264</v>
      </c>
      <c r="G1540" t="s">
        <v>1023</v>
      </c>
      <c r="I1540">
        <v>10049206</v>
      </c>
      <c r="J1540" t="s">
        <v>2868</v>
      </c>
      <c r="K1540">
        <v>800159</v>
      </c>
      <c r="L1540">
        <v>1</v>
      </c>
      <c r="M1540" t="s">
        <v>290</v>
      </c>
      <c r="N1540" t="s">
        <v>295</v>
      </c>
      <c r="O1540">
        <v>1336200</v>
      </c>
    </row>
    <row r="1541" spans="1:15" x14ac:dyDescent="0.4">
      <c r="A1541" t="s">
        <v>242</v>
      </c>
      <c r="B1541">
        <v>80</v>
      </c>
      <c r="C1541" t="s">
        <v>4</v>
      </c>
      <c r="D1541">
        <v>81</v>
      </c>
      <c r="E1541" t="s">
        <v>550</v>
      </c>
      <c r="F1541">
        <v>1154</v>
      </c>
      <c r="G1541" t="s">
        <v>1044</v>
      </c>
      <c r="I1541">
        <v>10017332</v>
      </c>
      <c r="J1541" t="s">
        <v>2869</v>
      </c>
      <c r="K1541">
        <v>800159</v>
      </c>
      <c r="L1541">
        <v>1</v>
      </c>
      <c r="M1541" t="s">
        <v>311</v>
      </c>
      <c r="N1541" t="s">
        <v>316</v>
      </c>
      <c r="O1541">
        <v>1341600</v>
      </c>
    </row>
    <row r="1542" spans="1:15" x14ac:dyDescent="0.4">
      <c r="A1542" t="s">
        <v>1469</v>
      </c>
      <c r="B1542">
        <v>50</v>
      </c>
      <c r="C1542" t="s">
        <v>1</v>
      </c>
      <c r="D1542">
        <v>21</v>
      </c>
      <c r="E1542" t="s">
        <v>182</v>
      </c>
      <c r="F1542">
        <v>1166</v>
      </c>
      <c r="G1542" t="s">
        <v>1082</v>
      </c>
      <c r="I1542">
        <v>10058468</v>
      </c>
      <c r="J1542" t="s">
        <v>2870</v>
      </c>
      <c r="K1542">
        <v>800157</v>
      </c>
      <c r="L1542">
        <v>1</v>
      </c>
      <c r="M1542" t="s">
        <v>1475</v>
      </c>
      <c r="N1542" t="s">
        <v>187</v>
      </c>
      <c r="O1542">
        <v>790400</v>
      </c>
    </row>
    <row r="1543" spans="1:15" x14ac:dyDescent="0.4">
      <c r="A1543" t="s">
        <v>250</v>
      </c>
      <c r="B1543">
        <v>60</v>
      </c>
      <c r="C1543" t="s">
        <v>3</v>
      </c>
      <c r="D1543">
        <v>33</v>
      </c>
      <c r="E1543" t="s">
        <v>451</v>
      </c>
      <c r="F1543">
        <v>1505</v>
      </c>
      <c r="G1543" t="s">
        <v>900</v>
      </c>
      <c r="I1543">
        <v>20002639</v>
      </c>
      <c r="J1543" t="s">
        <v>2871</v>
      </c>
      <c r="K1543">
        <v>800159</v>
      </c>
      <c r="L1543">
        <v>1</v>
      </c>
      <c r="M1543" t="s">
        <v>196</v>
      </c>
      <c r="N1543" t="s">
        <v>215</v>
      </c>
      <c r="O1543">
        <v>1341600</v>
      </c>
    </row>
    <row r="1544" spans="1:15" x14ac:dyDescent="0.4">
      <c r="A1544" t="s">
        <v>290</v>
      </c>
      <c r="B1544">
        <v>75</v>
      </c>
      <c r="C1544" t="s">
        <v>5</v>
      </c>
      <c r="D1544">
        <v>51</v>
      </c>
      <c r="E1544" t="s">
        <v>657</v>
      </c>
      <c r="F1544">
        <v>1435</v>
      </c>
      <c r="G1544" t="s">
        <v>860</v>
      </c>
      <c r="I1544">
        <v>10006752</v>
      </c>
      <c r="J1544" t="s">
        <v>2872</v>
      </c>
      <c r="K1544">
        <v>800159</v>
      </c>
      <c r="L1544">
        <v>1</v>
      </c>
      <c r="M1544" t="s">
        <v>250</v>
      </c>
      <c r="N1544" t="s">
        <v>255</v>
      </c>
      <c r="O1544">
        <v>1320000</v>
      </c>
    </row>
    <row r="1545" spans="1:15" x14ac:dyDescent="0.4">
      <c r="A1545" t="s">
        <v>195</v>
      </c>
      <c r="B1545">
        <v>60</v>
      </c>
      <c r="C1545" t="s">
        <v>3</v>
      </c>
      <c r="D1545">
        <v>31</v>
      </c>
      <c r="E1545" t="s">
        <v>447</v>
      </c>
      <c r="F1545">
        <v>1299</v>
      </c>
      <c r="G1545" t="s">
        <v>947</v>
      </c>
      <c r="I1545">
        <v>10054522</v>
      </c>
      <c r="J1545" t="s">
        <v>2873</v>
      </c>
      <c r="K1545">
        <v>800159</v>
      </c>
      <c r="L1545">
        <v>1</v>
      </c>
      <c r="M1545" t="s">
        <v>185</v>
      </c>
      <c r="N1545" t="s">
        <v>190</v>
      </c>
      <c r="O1545">
        <v>1380000</v>
      </c>
    </row>
    <row r="1546" spans="1:15" x14ac:dyDescent="0.4">
      <c r="A1546" t="s">
        <v>1475</v>
      </c>
      <c r="B1546">
        <v>80</v>
      </c>
      <c r="C1546" t="s">
        <v>4</v>
      </c>
      <c r="D1546">
        <v>71</v>
      </c>
      <c r="E1546" t="s">
        <v>556</v>
      </c>
      <c r="F1546">
        <v>1296</v>
      </c>
      <c r="G1546" t="s">
        <v>964</v>
      </c>
      <c r="I1546">
        <v>10051607</v>
      </c>
      <c r="J1546" t="s">
        <v>2874</v>
      </c>
      <c r="K1546">
        <v>800157</v>
      </c>
      <c r="L1546">
        <v>1</v>
      </c>
      <c r="M1546" t="s">
        <v>1479</v>
      </c>
      <c r="N1546" t="s">
        <v>231</v>
      </c>
      <c r="O1546">
        <v>803200</v>
      </c>
    </row>
    <row r="1547" spans="1:15" x14ac:dyDescent="0.4">
      <c r="A1547" t="s">
        <v>1596</v>
      </c>
      <c r="B1547">
        <v>80</v>
      </c>
      <c r="C1547" t="s">
        <v>4</v>
      </c>
      <c r="D1547">
        <v>81</v>
      </c>
      <c r="E1547" t="s">
        <v>550</v>
      </c>
      <c r="F1547">
        <v>1154</v>
      </c>
      <c r="G1547" t="s">
        <v>1044</v>
      </c>
      <c r="I1547">
        <v>10034167</v>
      </c>
      <c r="J1547" t="s">
        <v>2370</v>
      </c>
      <c r="K1547">
        <v>800159</v>
      </c>
      <c r="L1547">
        <v>1</v>
      </c>
      <c r="M1547" t="s">
        <v>268</v>
      </c>
      <c r="N1547" t="s">
        <v>214</v>
      </c>
      <c r="O1547">
        <v>1320000</v>
      </c>
    </row>
    <row r="1548" spans="1:15" x14ac:dyDescent="0.4">
      <c r="A1548" t="s">
        <v>1523</v>
      </c>
      <c r="B1548">
        <v>80</v>
      </c>
      <c r="C1548" t="s">
        <v>4</v>
      </c>
      <c r="D1548">
        <v>81</v>
      </c>
      <c r="E1548" t="s">
        <v>550</v>
      </c>
      <c r="F1548">
        <v>1154</v>
      </c>
      <c r="G1548" t="s">
        <v>1044</v>
      </c>
      <c r="I1548">
        <v>20002769</v>
      </c>
      <c r="J1548" t="s">
        <v>2875</v>
      </c>
      <c r="K1548">
        <v>800159</v>
      </c>
      <c r="L1548">
        <v>1</v>
      </c>
      <c r="M1548" t="s">
        <v>1587</v>
      </c>
      <c r="N1548" t="s">
        <v>261</v>
      </c>
      <c r="O1548">
        <v>1336200</v>
      </c>
    </row>
    <row r="1549" spans="1:15" x14ac:dyDescent="0.4">
      <c r="A1549" t="s">
        <v>185</v>
      </c>
      <c r="B1549">
        <v>70</v>
      </c>
      <c r="C1549" t="s">
        <v>2</v>
      </c>
      <c r="D1549">
        <v>41</v>
      </c>
      <c r="E1549" t="s">
        <v>306</v>
      </c>
      <c r="F1549">
        <v>1445</v>
      </c>
      <c r="G1549" t="s">
        <v>886</v>
      </c>
      <c r="I1549">
        <v>20002808</v>
      </c>
      <c r="J1549" t="s">
        <v>1709</v>
      </c>
      <c r="K1549">
        <v>800157</v>
      </c>
      <c r="L1549">
        <v>1</v>
      </c>
      <c r="M1549" t="s">
        <v>275</v>
      </c>
      <c r="N1549" t="s">
        <v>232</v>
      </c>
      <c r="O1549">
        <v>832000</v>
      </c>
    </row>
    <row r="1550" spans="1:15" x14ac:dyDescent="0.4">
      <c r="A1550" t="s">
        <v>1523</v>
      </c>
      <c r="B1550">
        <v>76</v>
      </c>
      <c r="C1550" t="s">
        <v>6</v>
      </c>
      <c r="D1550">
        <v>61</v>
      </c>
      <c r="E1550" t="s">
        <v>703</v>
      </c>
      <c r="F1550">
        <v>1563</v>
      </c>
      <c r="G1550" t="s">
        <v>942</v>
      </c>
      <c r="I1550">
        <v>20002817</v>
      </c>
      <c r="J1550" t="s">
        <v>2876</v>
      </c>
      <c r="K1550">
        <v>800157</v>
      </c>
      <c r="L1550">
        <v>1</v>
      </c>
      <c r="M1550" t="s">
        <v>1587</v>
      </c>
      <c r="N1550" t="s">
        <v>259</v>
      </c>
      <c r="O1550">
        <v>822400</v>
      </c>
    </row>
    <row r="1551" spans="1:15" x14ac:dyDescent="0.4">
      <c r="A1551" t="s">
        <v>281</v>
      </c>
      <c r="B1551">
        <v>80</v>
      </c>
      <c r="C1551" t="s">
        <v>4</v>
      </c>
      <c r="D1551">
        <v>81</v>
      </c>
      <c r="E1551" t="s">
        <v>550</v>
      </c>
      <c r="F1551">
        <v>1322</v>
      </c>
      <c r="G1551" t="s">
        <v>961</v>
      </c>
      <c r="I1551">
        <v>20009853</v>
      </c>
      <c r="J1551" t="s">
        <v>2877</v>
      </c>
      <c r="K1551">
        <v>800159</v>
      </c>
      <c r="L1551">
        <v>1</v>
      </c>
      <c r="M1551" t="s">
        <v>363</v>
      </c>
      <c r="N1551" t="s">
        <v>315</v>
      </c>
      <c r="O1551">
        <v>1546800</v>
      </c>
    </row>
    <row r="1552" spans="1:15" x14ac:dyDescent="0.4">
      <c r="A1552" t="s">
        <v>242</v>
      </c>
      <c r="B1552">
        <v>75</v>
      </c>
      <c r="C1552" t="s">
        <v>5</v>
      </c>
      <c r="D1552">
        <v>51</v>
      </c>
      <c r="E1552" t="s">
        <v>657</v>
      </c>
      <c r="F1552">
        <v>1365</v>
      </c>
      <c r="G1552" t="s">
        <v>1148</v>
      </c>
      <c r="I1552">
        <v>10088614</v>
      </c>
      <c r="J1552" t="s">
        <v>2878</v>
      </c>
      <c r="K1552">
        <v>800159</v>
      </c>
      <c r="L1552">
        <v>1</v>
      </c>
      <c r="M1552" t="s">
        <v>311</v>
      </c>
      <c r="N1552" t="s">
        <v>316</v>
      </c>
      <c r="O1552">
        <v>1320000</v>
      </c>
    </row>
    <row r="1553" spans="1:15" x14ac:dyDescent="0.4">
      <c r="A1553" t="s">
        <v>195</v>
      </c>
      <c r="B1553">
        <v>76</v>
      </c>
      <c r="C1553" t="s">
        <v>6</v>
      </c>
      <c r="D1553">
        <v>61</v>
      </c>
      <c r="E1553" t="s">
        <v>703</v>
      </c>
      <c r="F1553">
        <v>1563</v>
      </c>
      <c r="G1553" t="s">
        <v>942</v>
      </c>
      <c r="I1553">
        <v>20002845</v>
      </c>
      <c r="J1553" t="s">
        <v>2879</v>
      </c>
      <c r="K1553">
        <v>800159</v>
      </c>
      <c r="L1553">
        <v>1</v>
      </c>
      <c r="M1553" t="s">
        <v>185</v>
      </c>
      <c r="N1553" t="s">
        <v>190</v>
      </c>
      <c r="O1553">
        <v>1325400</v>
      </c>
    </row>
    <row r="1554" spans="1:15" x14ac:dyDescent="0.4">
      <c r="A1554" t="s">
        <v>185</v>
      </c>
      <c r="B1554">
        <v>76</v>
      </c>
      <c r="C1554" t="s">
        <v>6</v>
      </c>
      <c r="D1554">
        <v>61</v>
      </c>
      <c r="E1554" t="s">
        <v>703</v>
      </c>
      <c r="F1554">
        <v>1389</v>
      </c>
      <c r="G1554" t="s">
        <v>1197</v>
      </c>
      <c r="I1554">
        <v>10066478</v>
      </c>
      <c r="J1554" t="s">
        <v>2880</v>
      </c>
      <c r="K1554">
        <v>800159</v>
      </c>
      <c r="L1554">
        <v>1</v>
      </c>
      <c r="M1554" t="s">
        <v>275</v>
      </c>
      <c r="N1554" t="s">
        <v>234</v>
      </c>
      <c r="O1554">
        <v>1374000</v>
      </c>
    </row>
    <row r="1555" spans="1:15" x14ac:dyDescent="0.4">
      <c r="A1555" t="s">
        <v>220</v>
      </c>
      <c r="B1555">
        <v>70</v>
      </c>
      <c r="C1555" t="s">
        <v>2</v>
      </c>
      <c r="D1555">
        <v>41</v>
      </c>
      <c r="E1555" t="s">
        <v>306</v>
      </c>
      <c r="F1555">
        <v>1613</v>
      </c>
      <c r="G1555" t="s">
        <v>1413</v>
      </c>
      <c r="I1555">
        <v>20002900</v>
      </c>
      <c r="J1555" t="s">
        <v>2881</v>
      </c>
      <c r="K1555">
        <v>800159</v>
      </c>
      <c r="L1555">
        <v>1</v>
      </c>
      <c r="M1555" t="s">
        <v>203</v>
      </c>
      <c r="N1555" t="s">
        <v>208</v>
      </c>
      <c r="O1555">
        <v>1706400</v>
      </c>
    </row>
    <row r="1556" spans="1:15" x14ac:dyDescent="0.4">
      <c r="A1556" t="s">
        <v>196</v>
      </c>
      <c r="B1556">
        <v>70</v>
      </c>
      <c r="C1556" t="s">
        <v>2</v>
      </c>
      <c r="D1556">
        <v>41</v>
      </c>
      <c r="E1556" t="s">
        <v>306</v>
      </c>
      <c r="F1556">
        <v>1552</v>
      </c>
      <c r="G1556" t="s">
        <v>929</v>
      </c>
      <c r="I1556">
        <v>10023963</v>
      </c>
      <c r="J1556" t="s">
        <v>2882</v>
      </c>
      <c r="K1556">
        <v>800159</v>
      </c>
      <c r="L1556">
        <v>1</v>
      </c>
      <c r="M1556" t="s">
        <v>186</v>
      </c>
      <c r="N1556" t="s">
        <v>302</v>
      </c>
      <c r="O1556">
        <v>1401000</v>
      </c>
    </row>
    <row r="1557" spans="1:15" x14ac:dyDescent="0.4">
      <c r="A1557" t="s">
        <v>1523</v>
      </c>
      <c r="B1557">
        <v>80</v>
      </c>
      <c r="C1557" t="s">
        <v>4</v>
      </c>
      <c r="D1557">
        <v>71</v>
      </c>
      <c r="E1557" t="s">
        <v>556</v>
      </c>
      <c r="F1557">
        <v>1296</v>
      </c>
      <c r="G1557" t="s">
        <v>964</v>
      </c>
      <c r="I1557">
        <v>10054163</v>
      </c>
      <c r="J1557" t="s">
        <v>2883</v>
      </c>
      <c r="K1557">
        <v>800157</v>
      </c>
      <c r="L1557">
        <v>1</v>
      </c>
      <c r="M1557" t="s">
        <v>1587</v>
      </c>
      <c r="N1557" t="s">
        <v>259</v>
      </c>
      <c r="O1557">
        <v>787200</v>
      </c>
    </row>
    <row r="1558" spans="1:15" x14ac:dyDescent="0.4">
      <c r="A1558" t="s">
        <v>1475</v>
      </c>
      <c r="B1558">
        <v>76</v>
      </c>
      <c r="C1558" t="s">
        <v>6</v>
      </c>
      <c r="D1558">
        <v>61</v>
      </c>
      <c r="E1558" t="s">
        <v>703</v>
      </c>
      <c r="F1558">
        <v>1389</v>
      </c>
      <c r="G1558" t="s">
        <v>1197</v>
      </c>
      <c r="I1558">
        <v>20002857</v>
      </c>
      <c r="J1558" t="s">
        <v>2884</v>
      </c>
      <c r="K1558">
        <v>800157</v>
      </c>
      <c r="L1558">
        <v>1</v>
      </c>
      <c r="M1558" t="s">
        <v>1479</v>
      </c>
      <c r="N1558" t="s">
        <v>231</v>
      </c>
      <c r="O1558">
        <v>787200</v>
      </c>
    </row>
    <row r="1559" spans="1:15" x14ac:dyDescent="0.4">
      <c r="A1559" t="s">
        <v>353</v>
      </c>
      <c r="B1559">
        <v>76</v>
      </c>
      <c r="C1559" t="s">
        <v>6</v>
      </c>
      <c r="D1559">
        <v>61</v>
      </c>
      <c r="E1559" t="s">
        <v>703</v>
      </c>
      <c r="F1559">
        <v>1472</v>
      </c>
      <c r="G1559" t="s">
        <v>998</v>
      </c>
      <c r="I1559">
        <v>10013180</v>
      </c>
      <c r="J1559" t="s">
        <v>2885</v>
      </c>
      <c r="K1559">
        <v>800157</v>
      </c>
      <c r="L1559">
        <v>1</v>
      </c>
      <c r="M1559" t="s">
        <v>220</v>
      </c>
      <c r="N1559" t="s">
        <v>223</v>
      </c>
      <c r="O1559">
        <v>816000</v>
      </c>
    </row>
    <row r="1560" spans="1:15" x14ac:dyDescent="0.4">
      <c r="A1560" t="s">
        <v>1594</v>
      </c>
      <c r="B1560">
        <v>70</v>
      </c>
      <c r="C1560" t="s">
        <v>2</v>
      </c>
      <c r="D1560">
        <v>41</v>
      </c>
      <c r="E1560" t="s">
        <v>306</v>
      </c>
      <c r="F1560">
        <v>1561</v>
      </c>
      <c r="G1560" t="s">
        <v>1070</v>
      </c>
      <c r="I1560">
        <v>20002993</v>
      </c>
      <c r="J1560" t="s">
        <v>2886</v>
      </c>
      <c r="K1560">
        <v>800157</v>
      </c>
      <c r="L1560">
        <v>1</v>
      </c>
      <c r="M1560" t="s">
        <v>1596</v>
      </c>
      <c r="N1560" t="s">
        <v>252</v>
      </c>
      <c r="O1560">
        <v>784000</v>
      </c>
    </row>
    <row r="1561" spans="1:15" x14ac:dyDescent="0.4">
      <c r="A1561" t="s">
        <v>185</v>
      </c>
      <c r="B1561">
        <v>50</v>
      </c>
      <c r="C1561" t="s">
        <v>1</v>
      </c>
      <c r="D1561">
        <v>21</v>
      </c>
      <c r="E1561" t="s">
        <v>182</v>
      </c>
      <c r="F1561">
        <v>1264</v>
      </c>
      <c r="G1561" t="s">
        <v>1023</v>
      </c>
      <c r="I1561">
        <v>20003001</v>
      </c>
      <c r="J1561" t="s">
        <v>2887</v>
      </c>
      <c r="K1561">
        <v>800159</v>
      </c>
      <c r="L1561">
        <v>1</v>
      </c>
      <c r="M1561" t="s">
        <v>275</v>
      </c>
      <c r="N1561" t="s">
        <v>234</v>
      </c>
      <c r="O1561">
        <v>1336200</v>
      </c>
    </row>
    <row r="1562" spans="1:15" x14ac:dyDescent="0.4">
      <c r="A1562" t="s">
        <v>1589</v>
      </c>
      <c r="B1562">
        <v>76</v>
      </c>
      <c r="C1562" t="s">
        <v>6</v>
      </c>
      <c r="D1562">
        <v>61</v>
      </c>
      <c r="E1562" t="s">
        <v>703</v>
      </c>
      <c r="F1562">
        <v>1475</v>
      </c>
      <c r="G1562" t="s">
        <v>909</v>
      </c>
      <c r="I1562">
        <v>20008398</v>
      </c>
      <c r="J1562" t="s">
        <v>2888</v>
      </c>
      <c r="K1562">
        <v>800159</v>
      </c>
      <c r="L1562">
        <v>1</v>
      </c>
      <c r="M1562" t="s">
        <v>1594</v>
      </c>
      <c r="N1562" t="s">
        <v>294</v>
      </c>
      <c r="O1562">
        <v>1347000</v>
      </c>
    </row>
    <row r="1563" spans="1:15" x14ac:dyDescent="0.4">
      <c r="A1563" t="s">
        <v>196</v>
      </c>
      <c r="B1563">
        <v>50</v>
      </c>
      <c r="C1563" t="s">
        <v>1</v>
      </c>
      <c r="D1563">
        <v>21</v>
      </c>
      <c r="E1563" t="s">
        <v>182</v>
      </c>
      <c r="F1563">
        <v>1264</v>
      </c>
      <c r="G1563" t="s">
        <v>1023</v>
      </c>
      <c r="I1563">
        <v>10026017</v>
      </c>
      <c r="J1563" t="s">
        <v>2889</v>
      </c>
      <c r="K1563">
        <v>800159</v>
      </c>
      <c r="L1563">
        <v>1</v>
      </c>
      <c r="M1563" t="s">
        <v>186</v>
      </c>
      <c r="N1563" t="s">
        <v>302</v>
      </c>
      <c r="O1563">
        <v>1379400</v>
      </c>
    </row>
    <row r="1564" spans="1:15" x14ac:dyDescent="0.4">
      <c r="A1564" t="s">
        <v>353</v>
      </c>
      <c r="B1564">
        <v>50</v>
      </c>
      <c r="C1564" t="s">
        <v>1</v>
      </c>
      <c r="D1564">
        <v>21</v>
      </c>
      <c r="E1564" t="s">
        <v>182</v>
      </c>
      <c r="F1564">
        <v>1345</v>
      </c>
      <c r="G1564" t="s">
        <v>874</v>
      </c>
      <c r="I1564">
        <v>10010593</v>
      </c>
      <c r="J1564" t="s">
        <v>2890</v>
      </c>
      <c r="K1564">
        <v>800157</v>
      </c>
      <c r="L1564">
        <v>1</v>
      </c>
      <c r="M1564" t="s">
        <v>220</v>
      </c>
      <c r="N1564" t="s">
        <v>223</v>
      </c>
      <c r="O1564">
        <v>796800</v>
      </c>
    </row>
    <row r="1565" spans="1:15" x14ac:dyDescent="0.4">
      <c r="A1565" t="s">
        <v>281</v>
      </c>
      <c r="B1565">
        <v>80</v>
      </c>
      <c r="C1565" t="s">
        <v>4</v>
      </c>
      <c r="D1565">
        <v>71</v>
      </c>
      <c r="E1565" t="s">
        <v>556</v>
      </c>
      <c r="F1565">
        <v>1296</v>
      </c>
      <c r="G1565" t="s">
        <v>964</v>
      </c>
      <c r="I1565">
        <v>20003037</v>
      </c>
      <c r="J1565" t="s">
        <v>2891</v>
      </c>
      <c r="K1565">
        <v>800159</v>
      </c>
      <c r="L1565">
        <v>1</v>
      </c>
      <c r="M1565" t="s">
        <v>363</v>
      </c>
      <c r="N1565" t="s">
        <v>315</v>
      </c>
      <c r="O1565">
        <v>1460400</v>
      </c>
    </row>
    <row r="1566" spans="1:15" x14ac:dyDescent="0.4">
      <c r="A1566" t="s">
        <v>242</v>
      </c>
      <c r="B1566">
        <v>60</v>
      </c>
      <c r="C1566" t="s">
        <v>3</v>
      </c>
      <c r="D1566">
        <v>31</v>
      </c>
      <c r="E1566" t="s">
        <v>447</v>
      </c>
      <c r="F1566">
        <v>1299</v>
      </c>
      <c r="G1566" t="s">
        <v>947</v>
      </c>
      <c r="I1566">
        <v>10064970</v>
      </c>
      <c r="J1566" t="s">
        <v>2892</v>
      </c>
      <c r="K1566">
        <v>800159</v>
      </c>
      <c r="L1566">
        <v>1</v>
      </c>
      <c r="M1566" t="s">
        <v>311</v>
      </c>
      <c r="N1566" t="s">
        <v>316</v>
      </c>
      <c r="O1566">
        <v>1476600</v>
      </c>
    </row>
    <row r="1567" spans="1:15" x14ac:dyDescent="0.4">
      <c r="A1567" t="s">
        <v>195</v>
      </c>
      <c r="B1567">
        <v>60</v>
      </c>
      <c r="C1567" t="s">
        <v>3</v>
      </c>
      <c r="D1567">
        <v>33</v>
      </c>
      <c r="E1567" t="s">
        <v>451</v>
      </c>
      <c r="F1567">
        <v>1220</v>
      </c>
      <c r="G1567" t="s">
        <v>1343</v>
      </c>
      <c r="I1567">
        <v>20003147</v>
      </c>
      <c r="J1567" t="s">
        <v>2893</v>
      </c>
      <c r="K1567">
        <v>800159</v>
      </c>
      <c r="L1567">
        <v>1</v>
      </c>
      <c r="M1567" t="s">
        <v>185</v>
      </c>
      <c r="N1567" t="s">
        <v>190</v>
      </c>
      <c r="O1567">
        <v>1460400</v>
      </c>
    </row>
    <row r="1568" spans="1:15" x14ac:dyDescent="0.4">
      <c r="A1568" t="s">
        <v>258</v>
      </c>
      <c r="B1568">
        <v>70</v>
      </c>
      <c r="C1568" t="s">
        <v>2</v>
      </c>
      <c r="D1568">
        <v>41</v>
      </c>
      <c r="E1568" t="s">
        <v>306</v>
      </c>
      <c r="F1568">
        <v>1445</v>
      </c>
      <c r="G1568" t="s">
        <v>886</v>
      </c>
      <c r="I1568">
        <v>20003992</v>
      </c>
      <c r="J1568" t="s">
        <v>2894</v>
      </c>
      <c r="K1568">
        <v>800157</v>
      </c>
      <c r="L1568">
        <v>1</v>
      </c>
      <c r="M1568" t="s">
        <v>221</v>
      </c>
      <c r="N1568" t="s">
        <v>329</v>
      </c>
      <c r="O1568">
        <v>800000</v>
      </c>
    </row>
    <row r="1569" spans="1:15" x14ac:dyDescent="0.4">
      <c r="A1569" t="s">
        <v>1589</v>
      </c>
      <c r="B1569">
        <v>60</v>
      </c>
      <c r="C1569" t="s">
        <v>3</v>
      </c>
      <c r="D1569">
        <v>31</v>
      </c>
      <c r="E1569" t="s">
        <v>447</v>
      </c>
      <c r="F1569">
        <v>1543</v>
      </c>
      <c r="G1569" t="s">
        <v>1183</v>
      </c>
      <c r="I1569">
        <v>10008943</v>
      </c>
      <c r="J1569" t="s">
        <v>2649</v>
      </c>
      <c r="K1569">
        <v>800159</v>
      </c>
      <c r="L1569">
        <v>1</v>
      </c>
      <c r="M1569" t="s">
        <v>1594</v>
      </c>
      <c r="N1569" t="s">
        <v>294</v>
      </c>
      <c r="O1569">
        <v>1320000</v>
      </c>
    </row>
    <row r="1570" spans="1:15" x14ac:dyDescent="0.4">
      <c r="A1570" t="s">
        <v>220</v>
      </c>
      <c r="B1570">
        <v>80</v>
      </c>
      <c r="C1570" t="s">
        <v>4</v>
      </c>
      <c r="D1570">
        <v>81</v>
      </c>
      <c r="E1570" t="s">
        <v>550</v>
      </c>
      <c r="F1570">
        <v>1378</v>
      </c>
      <c r="G1570" t="s">
        <v>881</v>
      </c>
      <c r="I1570">
        <v>10049390</v>
      </c>
      <c r="J1570" t="s">
        <v>2895</v>
      </c>
      <c r="K1570">
        <v>800159</v>
      </c>
      <c r="L1570">
        <v>1</v>
      </c>
      <c r="M1570" t="s">
        <v>203</v>
      </c>
      <c r="N1570" t="s">
        <v>208</v>
      </c>
      <c r="O1570">
        <v>1347000</v>
      </c>
    </row>
    <row r="1571" spans="1:15" x14ac:dyDescent="0.4">
      <c r="A1571" t="s">
        <v>363</v>
      </c>
      <c r="B1571">
        <v>60</v>
      </c>
      <c r="C1571" t="s">
        <v>3</v>
      </c>
      <c r="D1571">
        <v>33</v>
      </c>
      <c r="E1571" t="s">
        <v>451</v>
      </c>
      <c r="F1571">
        <v>1372</v>
      </c>
      <c r="G1571" t="s">
        <v>992</v>
      </c>
      <c r="I1571">
        <v>10006978</v>
      </c>
      <c r="J1571" t="s">
        <v>1622</v>
      </c>
      <c r="K1571">
        <v>800159</v>
      </c>
      <c r="L1571">
        <v>1</v>
      </c>
      <c r="M1571" t="s">
        <v>376</v>
      </c>
      <c r="N1571" t="s">
        <v>262</v>
      </c>
      <c r="O1571">
        <v>1320000</v>
      </c>
    </row>
    <row r="1572" spans="1:15" x14ac:dyDescent="0.4">
      <c r="A1572" t="s">
        <v>1589</v>
      </c>
      <c r="B1572">
        <v>76</v>
      </c>
      <c r="C1572" t="s">
        <v>6</v>
      </c>
      <c r="D1572">
        <v>61</v>
      </c>
      <c r="E1572" t="s">
        <v>703</v>
      </c>
      <c r="F1572">
        <v>1472</v>
      </c>
      <c r="G1572" t="s">
        <v>998</v>
      </c>
      <c r="I1572">
        <v>20004268</v>
      </c>
      <c r="J1572" t="s">
        <v>2896</v>
      </c>
      <c r="K1572">
        <v>800159</v>
      </c>
      <c r="L1572">
        <v>1</v>
      </c>
      <c r="M1572" t="s">
        <v>1594</v>
      </c>
      <c r="N1572" t="s">
        <v>294</v>
      </c>
      <c r="O1572">
        <v>1438800</v>
      </c>
    </row>
    <row r="1573" spans="1:15" x14ac:dyDescent="0.4">
      <c r="A1573" t="s">
        <v>258</v>
      </c>
      <c r="B1573">
        <v>76</v>
      </c>
      <c r="C1573" t="s">
        <v>6</v>
      </c>
      <c r="D1573">
        <v>61</v>
      </c>
      <c r="E1573" t="s">
        <v>703</v>
      </c>
      <c r="F1573">
        <v>1563</v>
      </c>
      <c r="G1573" t="s">
        <v>942</v>
      </c>
      <c r="I1573">
        <v>20010226</v>
      </c>
      <c r="J1573" t="s">
        <v>1731</v>
      </c>
      <c r="K1573">
        <v>800159</v>
      </c>
      <c r="L1573">
        <v>1</v>
      </c>
      <c r="M1573" t="s">
        <v>221</v>
      </c>
      <c r="N1573" t="s">
        <v>331</v>
      </c>
      <c r="O1573">
        <v>1336200</v>
      </c>
    </row>
    <row r="1574" spans="1:15" x14ac:dyDescent="0.4">
      <c r="A1574" t="s">
        <v>1548</v>
      </c>
      <c r="B1574">
        <v>50</v>
      </c>
      <c r="C1574" t="s">
        <v>1</v>
      </c>
      <c r="D1574">
        <v>21</v>
      </c>
      <c r="E1574" t="s">
        <v>182</v>
      </c>
      <c r="F1574">
        <v>1264</v>
      </c>
      <c r="G1574" t="s">
        <v>1023</v>
      </c>
      <c r="I1574">
        <v>20004281</v>
      </c>
      <c r="J1574" t="s">
        <v>2897</v>
      </c>
      <c r="K1574">
        <v>800157</v>
      </c>
      <c r="L1574">
        <v>1</v>
      </c>
      <c r="M1574" t="s">
        <v>1586</v>
      </c>
      <c r="N1574" t="s">
        <v>222</v>
      </c>
      <c r="O1574">
        <v>475200</v>
      </c>
    </row>
    <row r="1575" spans="1:15" x14ac:dyDescent="0.4">
      <c r="A1575" t="s">
        <v>230</v>
      </c>
      <c r="B1575">
        <v>70</v>
      </c>
      <c r="C1575" t="s">
        <v>2</v>
      </c>
      <c r="D1575">
        <v>41</v>
      </c>
      <c r="E1575" t="s">
        <v>306</v>
      </c>
      <c r="F1575">
        <v>1610</v>
      </c>
      <c r="G1575" t="s">
        <v>1352</v>
      </c>
      <c r="I1575">
        <v>10006798</v>
      </c>
      <c r="J1575" t="s">
        <v>2898</v>
      </c>
      <c r="K1575">
        <v>800159</v>
      </c>
      <c r="L1575">
        <v>1</v>
      </c>
      <c r="M1575" t="s">
        <v>242</v>
      </c>
      <c r="N1575" t="s">
        <v>247</v>
      </c>
      <c r="O1575">
        <v>1401000</v>
      </c>
    </row>
    <row r="1576" spans="1:15" x14ac:dyDescent="0.4">
      <c r="A1576" t="s">
        <v>290</v>
      </c>
      <c r="B1576">
        <v>80</v>
      </c>
      <c r="C1576" t="s">
        <v>4</v>
      </c>
      <c r="D1576">
        <v>81</v>
      </c>
      <c r="E1576" t="s">
        <v>550</v>
      </c>
      <c r="F1576">
        <v>1322</v>
      </c>
      <c r="G1576" t="s">
        <v>961</v>
      </c>
      <c r="I1576">
        <v>10064815</v>
      </c>
      <c r="J1576" t="s">
        <v>2899</v>
      </c>
      <c r="K1576">
        <v>800159</v>
      </c>
      <c r="L1576">
        <v>1</v>
      </c>
      <c r="M1576" t="s">
        <v>250</v>
      </c>
      <c r="N1576" t="s">
        <v>255</v>
      </c>
      <c r="O1576">
        <v>1374000</v>
      </c>
    </row>
    <row r="1577" spans="1:15" x14ac:dyDescent="0.4">
      <c r="A1577" t="s">
        <v>230</v>
      </c>
      <c r="B1577">
        <v>75</v>
      </c>
      <c r="C1577" t="s">
        <v>5</v>
      </c>
      <c r="D1577">
        <v>51</v>
      </c>
      <c r="E1577" t="s">
        <v>657</v>
      </c>
      <c r="F1577">
        <v>1415</v>
      </c>
      <c r="G1577" t="s">
        <v>1038</v>
      </c>
      <c r="I1577">
        <v>10050290</v>
      </c>
      <c r="J1577" t="s">
        <v>2900</v>
      </c>
      <c r="K1577">
        <v>800157</v>
      </c>
      <c r="L1577">
        <v>1</v>
      </c>
      <c r="M1577" t="s">
        <v>242</v>
      </c>
      <c r="N1577" t="s">
        <v>245</v>
      </c>
      <c r="O1577">
        <v>784000</v>
      </c>
    </row>
    <row r="1578" spans="1:15" x14ac:dyDescent="0.4">
      <c r="A1578" t="s">
        <v>1594</v>
      </c>
      <c r="B1578">
        <v>76</v>
      </c>
      <c r="C1578" t="s">
        <v>6</v>
      </c>
      <c r="D1578">
        <v>61</v>
      </c>
      <c r="E1578" t="s">
        <v>703</v>
      </c>
      <c r="F1578">
        <v>1468</v>
      </c>
      <c r="G1578" t="s">
        <v>914</v>
      </c>
      <c r="I1578">
        <v>10017040</v>
      </c>
      <c r="J1578" t="s">
        <v>2901</v>
      </c>
      <c r="K1578">
        <v>800157</v>
      </c>
      <c r="L1578">
        <v>1</v>
      </c>
      <c r="M1578" t="s">
        <v>1596</v>
      </c>
      <c r="N1578" t="s">
        <v>252</v>
      </c>
      <c r="O1578">
        <v>784000</v>
      </c>
    </row>
    <row r="1579" spans="1:15" x14ac:dyDescent="0.4">
      <c r="A1579" t="s">
        <v>1475</v>
      </c>
      <c r="B1579">
        <v>76</v>
      </c>
      <c r="C1579" t="s">
        <v>6</v>
      </c>
      <c r="D1579">
        <v>61</v>
      </c>
      <c r="E1579" t="s">
        <v>703</v>
      </c>
      <c r="F1579">
        <v>1563</v>
      </c>
      <c r="G1579" t="s">
        <v>942</v>
      </c>
      <c r="I1579">
        <v>10023348</v>
      </c>
      <c r="J1579" t="s">
        <v>708</v>
      </c>
      <c r="K1579">
        <v>800157</v>
      </c>
      <c r="L1579">
        <v>1</v>
      </c>
      <c r="M1579" t="s">
        <v>1479</v>
      </c>
      <c r="N1579" t="s">
        <v>231</v>
      </c>
      <c r="O1579">
        <v>784000</v>
      </c>
    </row>
    <row r="1580" spans="1:15" x14ac:dyDescent="0.4">
      <c r="A1580" t="s">
        <v>1586</v>
      </c>
      <c r="B1580">
        <v>50</v>
      </c>
      <c r="C1580" t="s">
        <v>1</v>
      </c>
      <c r="D1580">
        <v>11</v>
      </c>
      <c r="E1580" t="s">
        <v>192</v>
      </c>
      <c r="F1580">
        <v>1353</v>
      </c>
      <c r="G1580" t="s">
        <v>1017</v>
      </c>
      <c r="I1580">
        <v>10028091</v>
      </c>
      <c r="J1580" t="s">
        <v>713</v>
      </c>
      <c r="K1580">
        <v>800159</v>
      </c>
      <c r="L1580">
        <v>1</v>
      </c>
      <c r="M1580" t="s">
        <v>1589</v>
      </c>
      <c r="N1580" t="s">
        <v>207</v>
      </c>
      <c r="O1580">
        <v>1325400</v>
      </c>
    </row>
    <row r="1581" spans="1:15" x14ac:dyDescent="0.4">
      <c r="A1581" t="s">
        <v>1548</v>
      </c>
      <c r="B1581">
        <v>76</v>
      </c>
      <c r="C1581" t="s">
        <v>6</v>
      </c>
      <c r="D1581">
        <v>61</v>
      </c>
      <c r="E1581" t="s">
        <v>703</v>
      </c>
      <c r="F1581">
        <v>1602</v>
      </c>
      <c r="G1581" t="s">
        <v>1013</v>
      </c>
      <c r="I1581">
        <v>20004476</v>
      </c>
      <c r="J1581" t="s">
        <v>2902</v>
      </c>
      <c r="K1581">
        <v>800159</v>
      </c>
      <c r="L1581">
        <v>1</v>
      </c>
      <c r="M1581" t="s">
        <v>1586</v>
      </c>
      <c r="N1581" t="s">
        <v>224</v>
      </c>
      <c r="O1581">
        <v>1519800</v>
      </c>
    </row>
    <row r="1582" spans="1:15" x14ac:dyDescent="0.4">
      <c r="A1582" t="s">
        <v>230</v>
      </c>
      <c r="B1582">
        <v>80</v>
      </c>
      <c r="C1582" t="s">
        <v>4</v>
      </c>
      <c r="D1582">
        <v>81</v>
      </c>
      <c r="E1582" t="s">
        <v>550</v>
      </c>
      <c r="F1582">
        <v>1322</v>
      </c>
      <c r="G1582" t="s">
        <v>961</v>
      </c>
      <c r="I1582">
        <v>10023354</v>
      </c>
      <c r="J1582" t="s">
        <v>2903</v>
      </c>
      <c r="K1582">
        <v>800159</v>
      </c>
      <c r="L1582">
        <v>1</v>
      </c>
      <c r="M1582" t="s">
        <v>242</v>
      </c>
      <c r="N1582" t="s">
        <v>247</v>
      </c>
      <c r="O1582">
        <v>1320000</v>
      </c>
    </row>
    <row r="1583" spans="1:15" x14ac:dyDescent="0.4">
      <c r="A1583" t="s">
        <v>363</v>
      </c>
      <c r="B1583">
        <v>60</v>
      </c>
      <c r="C1583" t="s">
        <v>3</v>
      </c>
      <c r="D1583">
        <v>33</v>
      </c>
      <c r="E1583" t="s">
        <v>451</v>
      </c>
      <c r="F1583">
        <v>1505</v>
      </c>
      <c r="G1583" t="s">
        <v>900</v>
      </c>
      <c r="I1583">
        <v>20004478</v>
      </c>
      <c r="J1583" t="s">
        <v>2904</v>
      </c>
      <c r="K1583">
        <v>800157</v>
      </c>
      <c r="L1583">
        <v>1</v>
      </c>
      <c r="M1583" t="s">
        <v>376</v>
      </c>
      <c r="N1583" t="s">
        <v>260</v>
      </c>
      <c r="O1583">
        <v>684000</v>
      </c>
    </row>
    <row r="1584" spans="1:15" x14ac:dyDescent="0.4">
      <c r="A1584" t="s">
        <v>363</v>
      </c>
      <c r="B1584">
        <v>70</v>
      </c>
      <c r="C1584" t="s">
        <v>2</v>
      </c>
      <c r="D1584">
        <v>41</v>
      </c>
      <c r="E1584" t="s">
        <v>306</v>
      </c>
      <c r="F1584">
        <v>1118</v>
      </c>
      <c r="G1584" t="s">
        <v>1471</v>
      </c>
      <c r="I1584">
        <v>10042175</v>
      </c>
      <c r="J1584" t="s">
        <v>2905</v>
      </c>
      <c r="K1584">
        <v>800157</v>
      </c>
      <c r="L1584">
        <v>1</v>
      </c>
      <c r="M1584" t="s">
        <v>376</v>
      </c>
      <c r="N1584" t="s">
        <v>260</v>
      </c>
      <c r="O1584">
        <v>784000</v>
      </c>
    </row>
    <row r="1585" spans="1:15" x14ac:dyDescent="0.4">
      <c r="A1585" t="s">
        <v>281</v>
      </c>
      <c r="B1585">
        <v>76</v>
      </c>
      <c r="C1585" t="s">
        <v>6</v>
      </c>
      <c r="D1585">
        <v>61</v>
      </c>
      <c r="E1585" t="s">
        <v>703</v>
      </c>
      <c r="F1585">
        <v>1475</v>
      </c>
      <c r="G1585" t="s">
        <v>909</v>
      </c>
      <c r="I1585">
        <v>10059933</v>
      </c>
      <c r="J1585" t="s">
        <v>2906</v>
      </c>
      <c r="K1585">
        <v>800159</v>
      </c>
      <c r="L1585">
        <v>1</v>
      </c>
      <c r="M1585" t="s">
        <v>363</v>
      </c>
      <c r="N1585" t="s">
        <v>315</v>
      </c>
      <c r="O1585">
        <v>1330800</v>
      </c>
    </row>
    <row r="1586" spans="1:15" x14ac:dyDescent="0.4">
      <c r="A1586" t="s">
        <v>221</v>
      </c>
      <c r="B1586">
        <v>60</v>
      </c>
      <c r="C1586" t="s">
        <v>3</v>
      </c>
      <c r="D1586">
        <v>31</v>
      </c>
      <c r="E1586" t="s">
        <v>447</v>
      </c>
      <c r="F1586">
        <v>1299</v>
      </c>
      <c r="G1586" t="s">
        <v>947</v>
      </c>
      <c r="I1586">
        <v>10044014</v>
      </c>
      <c r="J1586" t="s">
        <v>2907</v>
      </c>
      <c r="K1586">
        <v>800157</v>
      </c>
      <c r="L1586">
        <v>1</v>
      </c>
      <c r="M1586" t="s">
        <v>204</v>
      </c>
      <c r="O1586">
        <v>475200</v>
      </c>
    </row>
    <row r="1587" spans="1:15" x14ac:dyDescent="0.4">
      <c r="A1587" t="s">
        <v>186</v>
      </c>
      <c r="B1587">
        <v>80</v>
      </c>
      <c r="C1587" t="s">
        <v>4</v>
      </c>
      <c r="D1587">
        <v>71</v>
      </c>
      <c r="E1587" t="s">
        <v>556</v>
      </c>
      <c r="F1587">
        <v>1296</v>
      </c>
      <c r="G1587" t="s">
        <v>964</v>
      </c>
      <c r="I1587">
        <v>10008168</v>
      </c>
      <c r="J1587" t="s">
        <v>2908</v>
      </c>
      <c r="K1587">
        <v>800159</v>
      </c>
      <c r="L1587">
        <v>1</v>
      </c>
      <c r="M1587" t="s">
        <v>238</v>
      </c>
      <c r="N1587" t="s">
        <v>239</v>
      </c>
      <c r="O1587">
        <v>912000</v>
      </c>
    </row>
    <row r="1588" spans="1:15" x14ac:dyDescent="0.4">
      <c r="A1588" t="s">
        <v>195</v>
      </c>
      <c r="B1588">
        <v>50</v>
      </c>
      <c r="C1588" t="s">
        <v>1</v>
      </c>
      <c r="D1588">
        <v>11</v>
      </c>
      <c r="E1588" t="s">
        <v>192</v>
      </c>
      <c r="F1588">
        <v>1353</v>
      </c>
      <c r="G1588" t="s">
        <v>1017</v>
      </c>
      <c r="I1588">
        <v>10032580</v>
      </c>
      <c r="J1588" t="s">
        <v>1506</v>
      </c>
      <c r="K1588">
        <v>800155</v>
      </c>
      <c r="L1588">
        <v>1</v>
      </c>
      <c r="M1588" t="s">
        <v>185</v>
      </c>
      <c r="N1588" t="s">
        <v>186</v>
      </c>
      <c r="O1588">
        <v>148800</v>
      </c>
    </row>
    <row r="1589" spans="1:15" x14ac:dyDescent="0.4">
      <c r="A1589" t="s">
        <v>186</v>
      </c>
      <c r="B1589">
        <v>50</v>
      </c>
      <c r="C1589" t="s">
        <v>1</v>
      </c>
      <c r="D1589">
        <v>11</v>
      </c>
      <c r="E1589" t="s">
        <v>192</v>
      </c>
      <c r="F1589">
        <v>1353</v>
      </c>
      <c r="G1589" t="s">
        <v>1017</v>
      </c>
      <c r="I1589">
        <v>10032580</v>
      </c>
      <c r="J1589" t="s">
        <v>1506</v>
      </c>
      <c r="K1589">
        <v>800155</v>
      </c>
      <c r="L1589">
        <v>1</v>
      </c>
      <c r="M1589" t="s">
        <v>238</v>
      </c>
      <c r="N1589" t="s">
        <v>187</v>
      </c>
      <c r="O1589">
        <v>148800</v>
      </c>
    </row>
    <row r="1590" spans="1:15" x14ac:dyDescent="0.4">
      <c r="A1590" t="s">
        <v>230</v>
      </c>
      <c r="B1590">
        <v>76</v>
      </c>
      <c r="C1590" t="s">
        <v>6</v>
      </c>
      <c r="D1590">
        <v>61</v>
      </c>
      <c r="E1590" t="s">
        <v>703</v>
      </c>
      <c r="F1590">
        <v>1468</v>
      </c>
      <c r="G1590" t="s">
        <v>914</v>
      </c>
      <c r="I1590">
        <v>10057233</v>
      </c>
      <c r="J1590" t="s">
        <v>2909</v>
      </c>
      <c r="K1590">
        <v>800159</v>
      </c>
      <c r="L1590">
        <v>1</v>
      </c>
      <c r="M1590" t="s">
        <v>242</v>
      </c>
      <c r="N1590" t="s">
        <v>247</v>
      </c>
      <c r="O1590">
        <v>1557600</v>
      </c>
    </row>
    <row r="1591" spans="1:15" x14ac:dyDescent="0.4">
      <c r="A1591" t="s">
        <v>203</v>
      </c>
      <c r="B1591">
        <v>60</v>
      </c>
      <c r="C1591" t="s">
        <v>3</v>
      </c>
      <c r="D1591">
        <v>31</v>
      </c>
      <c r="E1591" t="s">
        <v>447</v>
      </c>
      <c r="F1591">
        <v>1299</v>
      </c>
      <c r="G1591" t="s">
        <v>947</v>
      </c>
      <c r="I1591">
        <v>20006996</v>
      </c>
      <c r="J1591" t="s">
        <v>2910</v>
      </c>
      <c r="K1591">
        <v>800159</v>
      </c>
      <c r="L1591">
        <v>1</v>
      </c>
      <c r="M1591" t="s">
        <v>290</v>
      </c>
      <c r="N1591" t="s">
        <v>295</v>
      </c>
      <c r="O1591">
        <v>1357800</v>
      </c>
    </row>
    <row r="1592" spans="1:15" x14ac:dyDescent="0.4">
      <c r="A1592" t="s">
        <v>268</v>
      </c>
      <c r="B1592">
        <v>70</v>
      </c>
      <c r="C1592" t="s">
        <v>2</v>
      </c>
      <c r="D1592">
        <v>41</v>
      </c>
      <c r="E1592" t="s">
        <v>306</v>
      </c>
      <c r="F1592">
        <v>1613</v>
      </c>
      <c r="G1592" t="s">
        <v>1413</v>
      </c>
      <c r="I1592">
        <v>20007979</v>
      </c>
      <c r="J1592" t="s">
        <v>2911</v>
      </c>
      <c r="K1592">
        <v>800159</v>
      </c>
      <c r="L1592">
        <v>1</v>
      </c>
      <c r="M1592" t="s">
        <v>195</v>
      </c>
      <c r="N1592" t="s">
        <v>200</v>
      </c>
      <c r="O1592">
        <v>1590000</v>
      </c>
    </row>
    <row r="1593" spans="1:15" x14ac:dyDescent="0.4">
      <c r="A1593" t="s">
        <v>363</v>
      </c>
      <c r="B1593">
        <v>60</v>
      </c>
      <c r="C1593" t="s">
        <v>3</v>
      </c>
      <c r="D1593">
        <v>31</v>
      </c>
      <c r="E1593" t="s">
        <v>447</v>
      </c>
      <c r="F1593">
        <v>1367</v>
      </c>
      <c r="G1593" t="s">
        <v>977</v>
      </c>
      <c r="I1593">
        <v>10040648</v>
      </c>
      <c r="J1593" t="s">
        <v>2912</v>
      </c>
      <c r="K1593">
        <v>800157</v>
      </c>
      <c r="L1593">
        <v>1</v>
      </c>
      <c r="M1593" t="s">
        <v>376</v>
      </c>
      <c r="N1593" t="s">
        <v>260</v>
      </c>
      <c r="O1593">
        <v>787200</v>
      </c>
    </row>
    <row r="1594" spans="1:15" x14ac:dyDescent="0.4">
      <c r="A1594" t="s">
        <v>250</v>
      </c>
      <c r="B1594">
        <v>80</v>
      </c>
      <c r="C1594" t="s">
        <v>4</v>
      </c>
      <c r="D1594">
        <v>71</v>
      </c>
      <c r="E1594" t="s">
        <v>556</v>
      </c>
      <c r="F1594">
        <v>1296</v>
      </c>
      <c r="G1594" t="s">
        <v>964</v>
      </c>
      <c r="I1594">
        <v>20007069</v>
      </c>
      <c r="J1594" t="s">
        <v>2913</v>
      </c>
      <c r="K1594">
        <v>800159</v>
      </c>
      <c r="L1594">
        <v>1</v>
      </c>
      <c r="M1594" t="s">
        <v>196</v>
      </c>
      <c r="N1594" t="s">
        <v>215</v>
      </c>
      <c r="O1594">
        <v>1320000</v>
      </c>
    </row>
    <row r="1595" spans="1:15" x14ac:dyDescent="0.4">
      <c r="A1595" t="s">
        <v>1586</v>
      </c>
      <c r="B1595">
        <v>50</v>
      </c>
      <c r="C1595" t="s">
        <v>1</v>
      </c>
      <c r="D1595">
        <v>21</v>
      </c>
      <c r="E1595" t="s">
        <v>182</v>
      </c>
      <c r="F1595">
        <v>1264</v>
      </c>
      <c r="G1595" t="s">
        <v>1023</v>
      </c>
      <c r="I1595">
        <v>20007074</v>
      </c>
      <c r="J1595" t="s">
        <v>2914</v>
      </c>
      <c r="K1595">
        <v>800159</v>
      </c>
      <c r="L1595">
        <v>1</v>
      </c>
      <c r="M1595" t="s">
        <v>1589</v>
      </c>
      <c r="N1595" t="s">
        <v>207</v>
      </c>
      <c r="O1595">
        <v>1325400</v>
      </c>
    </row>
    <row r="1596" spans="1:15" x14ac:dyDescent="0.4">
      <c r="A1596" t="s">
        <v>242</v>
      </c>
      <c r="B1596">
        <v>80</v>
      </c>
      <c r="C1596" t="s">
        <v>4</v>
      </c>
      <c r="D1596">
        <v>71</v>
      </c>
      <c r="E1596" t="s">
        <v>556</v>
      </c>
      <c r="F1596">
        <v>1296</v>
      </c>
      <c r="G1596" t="s">
        <v>964</v>
      </c>
      <c r="I1596">
        <v>10037410</v>
      </c>
      <c r="J1596" t="s">
        <v>2915</v>
      </c>
      <c r="K1596">
        <v>800159</v>
      </c>
      <c r="L1596">
        <v>1</v>
      </c>
      <c r="M1596" t="s">
        <v>311</v>
      </c>
      <c r="N1596" t="s">
        <v>316</v>
      </c>
      <c r="O1596">
        <v>1320000</v>
      </c>
    </row>
    <row r="1597" spans="1:15" x14ac:dyDescent="0.4">
      <c r="A1597" t="s">
        <v>363</v>
      </c>
      <c r="B1597">
        <v>76</v>
      </c>
      <c r="C1597" t="s">
        <v>6</v>
      </c>
      <c r="D1597">
        <v>61</v>
      </c>
      <c r="E1597" t="s">
        <v>703</v>
      </c>
      <c r="F1597">
        <v>1475</v>
      </c>
      <c r="G1597" t="s">
        <v>909</v>
      </c>
      <c r="I1597">
        <v>20009015</v>
      </c>
      <c r="J1597" t="s">
        <v>2916</v>
      </c>
      <c r="K1597">
        <v>800159</v>
      </c>
      <c r="L1597">
        <v>1</v>
      </c>
      <c r="M1597" t="s">
        <v>376</v>
      </c>
      <c r="N1597" t="s">
        <v>262</v>
      </c>
      <c r="O1597">
        <v>1411800</v>
      </c>
    </row>
    <row r="1598" spans="1:15" x14ac:dyDescent="0.4">
      <c r="A1598" t="s">
        <v>1479</v>
      </c>
      <c r="B1598">
        <v>80</v>
      </c>
      <c r="C1598" t="s">
        <v>4</v>
      </c>
      <c r="D1598">
        <v>81</v>
      </c>
      <c r="E1598" t="s">
        <v>550</v>
      </c>
      <c r="F1598">
        <v>1436</v>
      </c>
      <c r="G1598" t="s">
        <v>918</v>
      </c>
      <c r="I1598">
        <v>20004515</v>
      </c>
      <c r="J1598" t="s">
        <v>2917</v>
      </c>
      <c r="K1598">
        <v>800157</v>
      </c>
      <c r="L1598">
        <v>1</v>
      </c>
      <c r="M1598" t="s">
        <v>1487</v>
      </c>
      <c r="N1598" t="s">
        <v>243</v>
      </c>
      <c r="O1598">
        <v>784000</v>
      </c>
    </row>
    <row r="1599" spans="1:15" x14ac:dyDescent="0.4">
      <c r="A1599" t="s">
        <v>196</v>
      </c>
      <c r="B1599">
        <v>76</v>
      </c>
      <c r="C1599" t="s">
        <v>6</v>
      </c>
      <c r="D1599">
        <v>61</v>
      </c>
      <c r="E1599" t="s">
        <v>703</v>
      </c>
      <c r="F1599">
        <v>1472</v>
      </c>
      <c r="G1599" t="s">
        <v>998</v>
      </c>
      <c r="I1599">
        <v>10043196</v>
      </c>
      <c r="J1599" t="s">
        <v>2918</v>
      </c>
      <c r="K1599">
        <v>800157</v>
      </c>
      <c r="L1599">
        <v>1</v>
      </c>
      <c r="M1599" t="s">
        <v>186</v>
      </c>
      <c r="N1599" t="s">
        <v>199</v>
      </c>
      <c r="O1599">
        <v>784000</v>
      </c>
    </row>
    <row r="1600" spans="1:15" x14ac:dyDescent="0.4">
      <c r="A1600" t="s">
        <v>281</v>
      </c>
      <c r="B1600">
        <v>60</v>
      </c>
      <c r="C1600" t="s">
        <v>3</v>
      </c>
      <c r="D1600">
        <v>31</v>
      </c>
      <c r="E1600" t="s">
        <v>447</v>
      </c>
      <c r="F1600">
        <v>1116</v>
      </c>
      <c r="G1600" t="s">
        <v>1075</v>
      </c>
      <c r="I1600">
        <v>10017972</v>
      </c>
      <c r="J1600" t="s">
        <v>2919</v>
      </c>
      <c r="K1600">
        <v>800159</v>
      </c>
      <c r="L1600">
        <v>1</v>
      </c>
      <c r="M1600" t="s">
        <v>363</v>
      </c>
      <c r="N1600" t="s">
        <v>315</v>
      </c>
      <c r="O1600">
        <v>1384800</v>
      </c>
    </row>
    <row r="1601" spans="1:15" x14ac:dyDescent="0.4">
      <c r="A1601" t="s">
        <v>195</v>
      </c>
      <c r="B1601">
        <v>70</v>
      </c>
      <c r="C1601" t="s">
        <v>2</v>
      </c>
      <c r="D1601">
        <v>41</v>
      </c>
      <c r="E1601" t="s">
        <v>306</v>
      </c>
      <c r="F1601">
        <v>1298</v>
      </c>
      <c r="G1601" t="s">
        <v>1277</v>
      </c>
      <c r="I1601">
        <v>10048953</v>
      </c>
      <c r="J1601" t="s">
        <v>2920</v>
      </c>
      <c r="K1601">
        <v>800159</v>
      </c>
      <c r="L1601">
        <v>1</v>
      </c>
      <c r="M1601" t="s">
        <v>185</v>
      </c>
      <c r="N1601" t="s">
        <v>190</v>
      </c>
      <c r="O1601">
        <v>1014000</v>
      </c>
    </row>
    <row r="1602" spans="1:15" x14ac:dyDescent="0.4">
      <c r="A1602" t="s">
        <v>1596</v>
      </c>
      <c r="B1602">
        <v>50</v>
      </c>
      <c r="C1602" t="s">
        <v>1</v>
      </c>
      <c r="D1602">
        <v>21</v>
      </c>
      <c r="E1602" t="s">
        <v>182</v>
      </c>
      <c r="F1602">
        <v>1166</v>
      </c>
      <c r="G1602" t="s">
        <v>1082</v>
      </c>
      <c r="I1602">
        <v>20004653</v>
      </c>
      <c r="J1602" t="s">
        <v>2921</v>
      </c>
      <c r="K1602">
        <v>800159</v>
      </c>
      <c r="L1602">
        <v>1</v>
      </c>
      <c r="M1602" t="s">
        <v>268</v>
      </c>
      <c r="N1602" t="s">
        <v>214</v>
      </c>
      <c r="O1602">
        <v>1320000</v>
      </c>
    </row>
    <row r="1603" spans="1:15" x14ac:dyDescent="0.4">
      <c r="A1603" t="s">
        <v>275</v>
      </c>
      <c r="B1603">
        <v>70</v>
      </c>
      <c r="C1603" t="s">
        <v>2</v>
      </c>
      <c r="D1603">
        <v>41</v>
      </c>
      <c r="E1603" t="s">
        <v>306</v>
      </c>
      <c r="F1603">
        <v>1510</v>
      </c>
      <c r="G1603" t="s">
        <v>870</v>
      </c>
      <c r="I1603">
        <v>20004639</v>
      </c>
      <c r="J1603" t="s">
        <v>1543</v>
      </c>
      <c r="K1603">
        <v>800159</v>
      </c>
      <c r="L1603">
        <v>1</v>
      </c>
      <c r="M1603" t="s">
        <v>281</v>
      </c>
      <c r="N1603" t="s">
        <v>246</v>
      </c>
      <c r="O1603">
        <v>1325400</v>
      </c>
    </row>
    <row r="1604" spans="1:15" x14ac:dyDescent="0.4">
      <c r="A1604" t="s">
        <v>186</v>
      </c>
      <c r="B1604">
        <v>80</v>
      </c>
      <c r="C1604" t="s">
        <v>4</v>
      </c>
      <c r="D1604">
        <v>71</v>
      </c>
      <c r="E1604" t="s">
        <v>556</v>
      </c>
      <c r="F1604">
        <v>1296</v>
      </c>
      <c r="G1604" t="s">
        <v>964</v>
      </c>
      <c r="I1604">
        <v>20004679</v>
      </c>
      <c r="J1604" t="s">
        <v>2256</v>
      </c>
      <c r="K1604">
        <v>800157</v>
      </c>
      <c r="L1604">
        <v>1</v>
      </c>
      <c r="M1604" t="s">
        <v>238</v>
      </c>
      <c r="N1604" t="s">
        <v>189</v>
      </c>
      <c r="O1604">
        <v>784000</v>
      </c>
    </row>
    <row r="1605" spans="1:15" x14ac:dyDescent="0.4">
      <c r="A1605" t="s">
        <v>185</v>
      </c>
      <c r="B1605">
        <v>80</v>
      </c>
      <c r="C1605" t="s">
        <v>4</v>
      </c>
      <c r="D1605">
        <v>81</v>
      </c>
      <c r="E1605" t="s">
        <v>550</v>
      </c>
      <c r="F1605">
        <v>1154</v>
      </c>
      <c r="G1605" t="s">
        <v>1044</v>
      </c>
      <c r="I1605">
        <v>20004694</v>
      </c>
      <c r="J1605" t="s">
        <v>2922</v>
      </c>
      <c r="K1605">
        <v>800159</v>
      </c>
      <c r="L1605">
        <v>1</v>
      </c>
      <c r="M1605" t="s">
        <v>275</v>
      </c>
      <c r="N1605" t="s">
        <v>234</v>
      </c>
      <c r="O1605">
        <v>1320000</v>
      </c>
    </row>
    <row r="1606" spans="1:15" x14ac:dyDescent="0.4">
      <c r="A1606" t="s">
        <v>1548</v>
      </c>
      <c r="B1606">
        <v>60</v>
      </c>
      <c r="C1606" t="s">
        <v>3</v>
      </c>
      <c r="D1606">
        <v>33</v>
      </c>
      <c r="E1606" t="s">
        <v>451</v>
      </c>
      <c r="F1606">
        <v>1273</v>
      </c>
      <c r="G1606" t="s">
        <v>1084</v>
      </c>
      <c r="I1606">
        <v>20004778</v>
      </c>
      <c r="J1606" t="s">
        <v>2923</v>
      </c>
      <c r="K1606">
        <v>800157</v>
      </c>
      <c r="L1606">
        <v>1</v>
      </c>
      <c r="M1606" t="s">
        <v>1586</v>
      </c>
      <c r="N1606" t="s">
        <v>222</v>
      </c>
      <c r="O1606">
        <v>784000</v>
      </c>
    </row>
    <row r="1607" spans="1:15" x14ac:dyDescent="0.4">
      <c r="A1607" t="s">
        <v>376</v>
      </c>
      <c r="B1607">
        <v>60</v>
      </c>
      <c r="C1607" t="s">
        <v>3</v>
      </c>
      <c r="D1607">
        <v>33</v>
      </c>
      <c r="E1607" t="s">
        <v>451</v>
      </c>
      <c r="F1607">
        <v>1372</v>
      </c>
      <c r="G1607" t="s">
        <v>992</v>
      </c>
      <c r="I1607">
        <v>10038277</v>
      </c>
      <c r="J1607" t="s">
        <v>2924</v>
      </c>
      <c r="K1607">
        <v>800159</v>
      </c>
      <c r="L1607">
        <v>1</v>
      </c>
      <c r="M1607" t="s">
        <v>353</v>
      </c>
      <c r="N1607" t="s">
        <v>330</v>
      </c>
      <c r="O1607">
        <v>1140000</v>
      </c>
    </row>
    <row r="1608" spans="1:15" x14ac:dyDescent="0.4">
      <c r="A1608" t="s">
        <v>203</v>
      </c>
      <c r="B1608">
        <v>60</v>
      </c>
      <c r="C1608" t="s">
        <v>3</v>
      </c>
      <c r="D1608">
        <v>31</v>
      </c>
      <c r="E1608" t="s">
        <v>447</v>
      </c>
      <c r="F1608">
        <v>1299</v>
      </c>
      <c r="G1608" t="s">
        <v>947</v>
      </c>
      <c r="I1608">
        <v>20004784</v>
      </c>
      <c r="J1608" t="s">
        <v>2925</v>
      </c>
      <c r="K1608">
        <v>800159</v>
      </c>
      <c r="L1608">
        <v>1</v>
      </c>
      <c r="M1608" t="s">
        <v>290</v>
      </c>
      <c r="N1608" t="s">
        <v>295</v>
      </c>
      <c r="O1608">
        <v>1514400</v>
      </c>
    </row>
    <row r="1609" spans="1:15" x14ac:dyDescent="0.4">
      <c r="A1609" t="s">
        <v>1594</v>
      </c>
      <c r="B1609">
        <v>70</v>
      </c>
      <c r="C1609" t="s">
        <v>2</v>
      </c>
      <c r="D1609">
        <v>41</v>
      </c>
      <c r="E1609" t="s">
        <v>306</v>
      </c>
      <c r="F1609">
        <v>1610</v>
      </c>
      <c r="G1609" t="s">
        <v>1352</v>
      </c>
      <c r="I1609">
        <v>10009400</v>
      </c>
      <c r="J1609" t="s">
        <v>2841</v>
      </c>
      <c r="K1609">
        <v>800157</v>
      </c>
      <c r="L1609">
        <v>1</v>
      </c>
      <c r="M1609" t="s">
        <v>1596</v>
      </c>
      <c r="N1609" t="s">
        <v>252</v>
      </c>
      <c r="O1609">
        <v>931200</v>
      </c>
    </row>
    <row r="1610" spans="1:15" x14ac:dyDescent="0.4">
      <c r="A1610" t="s">
        <v>203</v>
      </c>
      <c r="B1610">
        <v>76</v>
      </c>
      <c r="C1610" t="s">
        <v>6</v>
      </c>
      <c r="D1610">
        <v>61</v>
      </c>
      <c r="E1610" t="s">
        <v>703</v>
      </c>
      <c r="F1610">
        <v>1472</v>
      </c>
      <c r="G1610" t="s">
        <v>998</v>
      </c>
      <c r="I1610">
        <v>10013188</v>
      </c>
      <c r="J1610" t="s">
        <v>2926</v>
      </c>
      <c r="K1610">
        <v>800159</v>
      </c>
      <c r="L1610">
        <v>1</v>
      </c>
      <c r="M1610" t="s">
        <v>290</v>
      </c>
      <c r="N1610" t="s">
        <v>295</v>
      </c>
      <c r="O1610">
        <v>1401000</v>
      </c>
    </row>
    <row r="1611" spans="1:15" x14ac:dyDescent="0.4">
      <c r="A1611" t="s">
        <v>1596</v>
      </c>
      <c r="B1611">
        <v>60</v>
      </c>
      <c r="C1611" t="s">
        <v>3</v>
      </c>
      <c r="D1611">
        <v>33</v>
      </c>
      <c r="E1611" t="s">
        <v>451</v>
      </c>
      <c r="F1611">
        <v>1505</v>
      </c>
      <c r="G1611" t="s">
        <v>900</v>
      </c>
      <c r="I1611">
        <v>20004641</v>
      </c>
      <c r="J1611" t="s">
        <v>2927</v>
      </c>
      <c r="K1611">
        <v>800157</v>
      </c>
      <c r="L1611">
        <v>1</v>
      </c>
      <c r="M1611" t="s">
        <v>268</v>
      </c>
      <c r="N1611" t="s">
        <v>212</v>
      </c>
      <c r="O1611">
        <v>784000</v>
      </c>
    </row>
    <row r="1612" spans="1:15" x14ac:dyDescent="0.4">
      <c r="A1612" t="s">
        <v>363</v>
      </c>
      <c r="B1612">
        <v>76</v>
      </c>
      <c r="C1612" t="s">
        <v>6</v>
      </c>
      <c r="D1612">
        <v>61</v>
      </c>
      <c r="E1612" t="s">
        <v>703</v>
      </c>
      <c r="F1612">
        <v>1563</v>
      </c>
      <c r="G1612" t="s">
        <v>942</v>
      </c>
      <c r="I1612">
        <v>10034185</v>
      </c>
      <c r="J1612" t="s">
        <v>2928</v>
      </c>
      <c r="K1612">
        <v>800159</v>
      </c>
      <c r="L1612">
        <v>1</v>
      </c>
      <c r="M1612" t="s">
        <v>376</v>
      </c>
      <c r="N1612" t="s">
        <v>262</v>
      </c>
      <c r="O1612">
        <v>1395600</v>
      </c>
    </row>
    <row r="1613" spans="1:15" x14ac:dyDescent="0.4">
      <c r="A1613" t="s">
        <v>203</v>
      </c>
      <c r="B1613">
        <v>80</v>
      </c>
      <c r="C1613" t="s">
        <v>4</v>
      </c>
      <c r="D1613">
        <v>71</v>
      </c>
      <c r="E1613" t="s">
        <v>556</v>
      </c>
      <c r="F1613">
        <v>1296</v>
      </c>
      <c r="G1613" t="s">
        <v>964</v>
      </c>
      <c r="I1613">
        <v>10048356</v>
      </c>
      <c r="J1613" t="s">
        <v>2929</v>
      </c>
      <c r="K1613">
        <v>800159</v>
      </c>
      <c r="L1613">
        <v>1</v>
      </c>
      <c r="M1613" t="s">
        <v>290</v>
      </c>
      <c r="N1613" t="s">
        <v>295</v>
      </c>
      <c r="O1613">
        <v>1347000</v>
      </c>
    </row>
    <row r="1614" spans="1:15" x14ac:dyDescent="0.4">
      <c r="A1614" t="s">
        <v>230</v>
      </c>
      <c r="B1614">
        <v>60</v>
      </c>
      <c r="C1614" t="s">
        <v>3</v>
      </c>
      <c r="D1614">
        <v>31</v>
      </c>
      <c r="E1614" t="s">
        <v>447</v>
      </c>
      <c r="F1614">
        <v>1543</v>
      </c>
      <c r="G1614" t="s">
        <v>1183</v>
      </c>
      <c r="I1614">
        <v>20004613</v>
      </c>
      <c r="J1614" t="s">
        <v>2930</v>
      </c>
      <c r="K1614">
        <v>800157</v>
      </c>
      <c r="L1614">
        <v>1</v>
      </c>
      <c r="M1614" t="s">
        <v>242</v>
      </c>
      <c r="N1614" t="s">
        <v>245</v>
      </c>
      <c r="O1614">
        <v>796800</v>
      </c>
    </row>
    <row r="1615" spans="1:15" x14ac:dyDescent="0.4">
      <c r="A1615" t="s">
        <v>220</v>
      </c>
      <c r="B1615">
        <v>80</v>
      </c>
      <c r="C1615" t="s">
        <v>4</v>
      </c>
      <c r="D1615">
        <v>71</v>
      </c>
      <c r="E1615" t="s">
        <v>556</v>
      </c>
      <c r="F1615">
        <v>1296</v>
      </c>
      <c r="G1615" t="s">
        <v>964</v>
      </c>
      <c r="I1615">
        <v>20004031</v>
      </c>
      <c r="J1615" t="s">
        <v>2931</v>
      </c>
      <c r="K1615">
        <v>800159</v>
      </c>
      <c r="L1615">
        <v>1</v>
      </c>
      <c r="M1615" t="s">
        <v>203</v>
      </c>
      <c r="N1615" t="s">
        <v>208</v>
      </c>
      <c r="O1615">
        <v>1525200</v>
      </c>
    </row>
    <row r="1616" spans="1:15" x14ac:dyDescent="0.4">
      <c r="A1616" t="s">
        <v>195</v>
      </c>
      <c r="B1616">
        <v>75</v>
      </c>
      <c r="C1616" t="s">
        <v>5</v>
      </c>
      <c r="D1616">
        <v>51</v>
      </c>
      <c r="E1616" t="s">
        <v>657</v>
      </c>
      <c r="F1616">
        <v>1415</v>
      </c>
      <c r="G1616" t="s">
        <v>1038</v>
      </c>
      <c r="I1616">
        <v>10008196</v>
      </c>
      <c r="J1616" t="s">
        <v>2932</v>
      </c>
      <c r="K1616">
        <v>800159</v>
      </c>
      <c r="L1616">
        <v>1</v>
      </c>
      <c r="M1616" t="s">
        <v>185</v>
      </c>
      <c r="N1616" t="s">
        <v>190</v>
      </c>
      <c r="O1616">
        <v>1320000</v>
      </c>
    </row>
    <row r="1617" spans="1:15" x14ac:dyDescent="0.4">
      <c r="A1617" t="s">
        <v>238</v>
      </c>
      <c r="B1617">
        <v>70</v>
      </c>
      <c r="C1617" t="s">
        <v>2</v>
      </c>
      <c r="D1617">
        <v>41</v>
      </c>
      <c r="E1617" t="s">
        <v>306</v>
      </c>
      <c r="F1617">
        <v>1552</v>
      </c>
      <c r="G1617" t="s">
        <v>929</v>
      </c>
      <c r="I1617">
        <v>10028070</v>
      </c>
      <c r="J1617" t="s">
        <v>713</v>
      </c>
      <c r="K1617">
        <v>800157</v>
      </c>
      <c r="L1617">
        <v>1</v>
      </c>
      <c r="M1617" t="s">
        <v>230</v>
      </c>
      <c r="N1617" t="s">
        <v>233</v>
      </c>
      <c r="O1617">
        <v>784000</v>
      </c>
    </row>
    <row r="1618" spans="1:15" x14ac:dyDescent="0.4">
      <c r="A1618" t="s">
        <v>196</v>
      </c>
      <c r="B1618">
        <v>76</v>
      </c>
      <c r="C1618" t="s">
        <v>6</v>
      </c>
      <c r="D1618">
        <v>61</v>
      </c>
      <c r="E1618" t="s">
        <v>703</v>
      </c>
      <c r="F1618">
        <v>1216</v>
      </c>
      <c r="G1618" t="s">
        <v>1803</v>
      </c>
      <c r="I1618">
        <v>10010343</v>
      </c>
      <c r="J1618" t="s">
        <v>2369</v>
      </c>
      <c r="K1618">
        <v>800159</v>
      </c>
      <c r="L1618">
        <v>1</v>
      </c>
      <c r="M1618" t="s">
        <v>186</v>
      </c>
      <c r="N1618" t="s">
        <v>302</v>
      </c>
      <c r="O1618">
        <v>1417200</v>
      </c>
    </row>
    <row r="1619" spans="1:15" x14ac:dyDescent="0.4">
      <c r="A1619" t="s">
        <v>290</v>
      </c>
      <c r="B1619">
        <v>76</v>
      </c>
      <c r="C1619" t="s">
        <v>6</v>
      </c>
      <c r="D1619">
        <v>61</v>
      </c>
      <c r="E1619" t="s">
        <v>703</v>
      </c>
      <c r="F1619">
        <v>1472</v>
      </c>
      <c r="G1619" t="s">
        <v>998</v>
      </c>
      <c r="I1619">
        <v>10011600</v>
      </c>
      <c r="J1619" t="s">
        <v>2531</v>
      </c>
      <c r="K1619">
        <v>800159</v>
      </c>
      <c r="L1619">
        <v>1</v>
      </c>
      <c r="M1619" t="s">
        <v>250</v>
      </c>
      <c r="N1619" t="s">
        <v>255</v>
      </c>
      <c r="O1619">
        <v>1368600</v>
      </c>
    </row>
    <row r="1620" spans="1:15" x14ac:dyDescent="0.4">
      <c r="A1620" t="s">
        <v>230</v>
      </c>
      <c r="B1620">
        <v>75</v>
      </c>
      <c r="C1620" t="s">
        <v>5</v>
      </c>
      <c r="D1620">
        <v>51</v>
      </c>
      <c r="E1620" t="s">
        <v>657</v>
      </c>
      <c r="F1620">
        <v>1435</v>
      </c>
      <c r="G1620" t="s">
        <v>860</v>
      </c>
      <c r="I1620">
        <v>20006840</v>
      </c>
      <c r="J1620" t="s">
        <v>2933</v>
      </c>
      <c r="K1620">
        <v>800159</v>
      </c>
      <c r="L1620">
        <v>1</v>
      </c>
      <c r="M1620" t="s">
        <v>242</v>
      </c>
      <c r="N1620" t="s">
        <v>247</v>
      </c>
      <c r="O1620">
        <v>1633600</v>
      </c>
    </row>
    <row r="1621" spans="1:15" x14ac:dyDescent="0.4">
      <c r="A1621" t="s">
        <v>353</v>
      </c>
      <c r="B1621">
        <v>50</v>
      </c>
      <c r="C1621" t="s">
        <v>1</v>
      </c>
      <c r="D1621">
        <v>11</v>
      </c>
      <c r="E1621" t="s">
        <v>192</v>
      </c>
      <c r="F1621">
        <v>1353</v>
      </c>
      <c r="G1621" t="s">
        <v>1017</v>
      </c>
      <c r="I1621">
        <v>20004758</v>
      </c>
      <c r="J1621" t="s">
        <v>2934</v>
      </c>
      <c r="K1621">
        <v>800157</v>
      </c>
      <c r="L1621">
        <v>1</v>
      </c>
      <c r="M1621" t="s">
        <v>220</v>
      </c>
      <c r="N1621" t="s">
        <v>223</v>
      </c>
      <c r="O1621">
        <v>784000</v>
      </c>
    </row>
    <row r="1622" spans="1:15" x14ac:dyDescent="0.4">
      <c r="A1622" t="s">
        <v>376</v>
      </c>
      <c r="B1622">
        <v>60</v>
      </c>
      <c r="C1622" t="s">
        <v>3</v>
      </c>
      <c r="D1622">
        <v>33</v>
      </c>
      <c r="E1622" t="s">
        <v>451</v>
      </c>
      <c r="F1622">
        <v>1505</v>
      </c>
      <c r="G1622" t="s">
        <v>900</v>
      </c>
      <c r="I1622">
        <v>20007129</v>
      </c>
      <c r="J1622" t="s">
        <v>2935</v>
      </c>
      <c r="K1622">
        <v>800157</v>
      </c>
      <c r="L1622">
        <v>1</v>
      </c>
      <c r="M1622" t="s">
        <v>353</v>
      </c>
      <c r="N1622" t="s">
        <v>328</v>
      </c>
      <c r="O1622">
        <v>784000</v>
      </c>
    </row>
    <row r="1623" spans="1:15" x14ac:dyDescent="0.4">
      <c r="A1623" t="s">
        <v>258</v>
      </c>
      <c r="B1623">
        <v>76</v>
      </c>
      <c r="C1623" t="s">
        <v>6</v>
      </c>
      <c r="D1623">
        <v>61</v>
      </c>
      <c r="E1623" t="s">
        <v>703</v>
      </c>
      <c r="F1623">
        <v>1602</v>
      </c>
      <c r="G1623" t="s">
        <v>1013</v>
      </c>
      <c r="I1623">
        <v>10030818</v>
      </c>
      <c r="J1623" t="s">
        <v>2936</v>
      </c>
      <c r="K1623">
        <v>800157</v>
      </c>
      <c r="L1623">
        <v>1</v>
      </c>
      <c r="M1623" t="s">
        <v>221</v>
      </c>
      <c r="N1623" t="s">
        <v>329</v>
      </c>
      <c r="O1623">
        <v>784000</v>
      </c>
    </row>
    <row r="1624" spans="1:15" x14ac:dyDescent="0.4">
      <c r="A1624" t="s">
        <v>1479</v>
      </c>
      <c r="B1624">
        <v>70</v>
      </c>
      <c r="C1624" t="s">
        <v>2</v>
      </c>
      <c r="D1624">
        <v>41</v>
      </c>
      <c r="E1624" t="s">
        <v>306</v>
      </c>
      <c r="F1624">
        <v>1510</v>
      </c>
      <c r="G1624" t="s">
        <v>870</v>
      </c>
      <c r="I1624">
        <v>20006148</v>
      </c>
      <c r="J1624" t="s">
        <v>2937</v>
      </c>
      <c r="K1624">
        <v>800157</v>
      </c>
      <c r="L1624">
        <v>1</v>
      </c>
      <c r="M1624" t="s">
        <v>1487</v>
      </c>
      <c r="N1624" t="s">
        <v>243</v>
      </c>
      <c r="O1624">
        <v>790400</v>
      </c>
    </row>
    <row r="1625" spans="1:15" x14ac:dyDescent="0.4">
      <c r="A1625" t="s">
        <v>238</v>
      </c>
      <c r="B1625">
        <v>60</v>
      </c>
      <c r="C1625" t="s">
        <v>3</v>
      </c>
      <c r="D1625">
        <v>33</v>
      </c>
      <c r="E1625" t="s">
        <v>451</v>
      </c>
      <c r="F1625">
        <v>1505</v>
      </c>
      <c r="G1625" t="s">
        <v>900</v>
      </c>
      <c r="I1625">
        <v>20006875</v>
      </c>
      <c r="J1625" t="s">
        <v>2938</v>
      </c>
      <c r="K1625">
        <v>800157</v>
      </c>
      <c r="L1625">
        <v>1</v>
      </c>
      <c r="M1625" t="s">
        <v>230</v>
      </c>
      <c r="N1625" t="s">
        <v>233</v>
      </c>
      <c r="O1625">
        <v>867200</v>
      </c>
    </row>
    <row r="1626" spans="1:15" x14ac:dyDescent="0.4">
      <c r="A1626" t="s">
        <v>1479</v>
      </c>
      <c r="B1626">
        <v>50</v>
      </c>
      <c r="C1626" t="s">
        <v>1</v>
      </c>
      <c r="D1626">
        <v>21</v>
      </c>
      <c r="E1626" t="s">
        <v>182</v>
      </c>
      <c r="F1626">
        <v>1166</v>
      </c>
      <c r="G1626" t="s">
        <v>1082</v>
      </c>
      <c r="I1626">
        <v>20007546</v>
      </c>
      <c r="J1626" t="s">
        <v>2939</v>
      </c>
      <c r="K1626">
        <v>800157</v>
      </c>
      <c r="L1626">
        <v>1</v>
      </c>
      <c r="M1626" t="s">
        <v>1487</v>
      </c>
      <c r="N1626" t="s">
        <v>243</v>
      </c>
      <c r="O1626">
        <v>809600</v>
      </c>
    </row>
    <row r="1627" spans="1:15" x14ac:dyDescent="0.4">
      <c r="A1627" t="s">
        <v>1479</v>
      </c>
      <c r="B1627">
        <v>76</v>
      </c>
      <c r="C1627" t="s">
        <v>6</v>
      </c>
      <c r="D1627">
        <v>61</v>
      </c>
      <c r="E1627" t="s">
        <v>703</v>
      </c>
      <c r="F1627">
        <v>1472</v>
      </c>
      <c r="G1627" t="s">
        <v>998</v>
      </c>
      <c r="I1627">
        <v>10016647</v>
      </c>
      <c r="J1627" t="s">
        <v>2940</v>
      </c>
      <c r="K1627">
        <v>800157</v>
      </c>
      <c r="L1627">
        <v>1</v>
      </c>
      <c r="M1627" t="s">
        <v>1487</v>
      </c>
      <c r="N1627" t="s">
        <v>243</v>
      </c>
      <c r="O1627">
        <v>809600</v>
      </c>
    </row>
    <row r="1628" spans="1:15" x14ac:dyDescent="0.4">
      <c r="A1628" t="s">
        <v>1589</v>
      </c>
      <c r="B1628">
        <v>76</v>
      </c>
      <c r="C1628" t="s">
        <v>6</v>
      </c>
      <c r="D1628">
        <v>61</v>
      </c>
      <c r="E1628" t="s">
        <v>703</v>
      </c>
      <c r="F1628">
        <v>1602</v>
      </c>
      <c r="G1628" t="s">
        <v>1013</v>
      </c>
      <c r="I1628">
        <v>20006412</v>
      </c>
      <c r="J1628" t="s">
        <v>2691</v>
      </c>
      <c r="K1628">
        <v>800159</v>
      </c>
      <c r="L1628">
        <v>1</v>
      </c>
      <c r="M1628" t="s">
        <v>1594</v>
      </c>
      <c r="N1628" t="s">
        <v>294</v>
      </c>
      <c r="O1628">
        <v>1352400</v>
      </c>
    </row>
    <row r="1629" spans="1:15" x14ac:dyDescent="0.4">
      <c r="A1629" t="s">
        <v>268</v>
      </c>
      <c r="B1629">
        <v>70</v>
      </c>
      <c r="C1629" t="s">
        <v>2</v>
      </c>
      <c r="D1629">
        <v>41</v>
      </c>
      <c r="E1629" t="s">
        <v>306</v>
      </c>
      <c r="F1629">
        <v>1561</v>
      </c>
      <c r="G1629" t="s">
        <v>1070</v>
      </c>
      <c r="I1629">
        <v>20008841</v>
      </c>
      <c r="J1629" t="s">
        <v>2941</v>
      </c>
      <c r="K1629">
        <v>800157</v>
      </c>
      <c r="L1629">
        <v>1</v>
      </c>
      <c r="M1629" t="s">
        <v>195</v>
      </c>
      <c r="N1629" t="s">
        <v>198</v>
      </c>
      <c r="O1629">
        <v>803200</v>
      </c>
    </row>
    <row r="1630" spans="1:15" x14ac:dyDescent="0.4">
      <c r="A1630" t="s">
        <v>1586</v>
      </c>
      <c r="B1630">
        <v>50</v>
      </c>
      <c r="C1630" t="s">
        <v>1</v>
      </c>
      <c r="D1630">
        <v>21</v>
      </c>
      <c r="E1630" t="s">
        <v>182</v>
      </c>
      <c r="F1630">
        <v>1166</v>
      </c>
      <c r="G1630" t="s">
        <v>1082</v>
      </c>
      <c r="I1630">
        <v>10064325</v>
      </c>
      <c r="J1630" t="s">
        <v>2942</v>
      </c>
      <c r="K1630">
        <v>800159</v>
      </c>
      <c r="L1630">
        <v>1</v>
      </c>
      <c r="M1630" t="s">
        <v>1589</v>
      </c>
      <c r="N1630" t="s">
        <v>207</v>
      </c>
      <c r="O1630">
        <v>1433400</v>
      </c>
    </row>
    <row r="1631" spans="1:15" x14ac:dyDescent="0.4">
      <c r="A1631" t="s">
        <v>186</v>
      </c>
      <c r="B1631">
        <v>76</v>
      </c>
      <c r="C1631" t="s">
        <v>6</v>
      </c>
      <c r="D1631">
        <v>61</v>
      </c>
      <c r="E1631" t="s">
        <v>703</v>
      </c>
      <c r="F1631">
        <v>1475</v>
      </c>
      <c r="G1631" t="s">
        <v>909</v>
      </c>
      <c r="I1631">
        <v>20007471</v>
      </c>
      <c r="J1631" t="s">
        <v>2943</v>
      </c>
      <c r="K1631">
        <v>800159</v>
      </c>
      <c r="L1631">
        <v>1</v>
      </c>
      <c r="M1631" t="s">
        <v>238</v>
      </c>
      <c r="N1631" t="s">
        <v>239</v>
      </c>
      <c r="O1631">
        <v>1722000</v>
      </c>
    </row>
    <row r="1632" spans="1:15" x14ac:dyDescent="0.4">
      <c r="A1632" t="s">
        <v>220</v>
      </c>
      <c r="B1632">
        <v>76</v>
      </c>
      <c r="C1632" t="s">
        <v>6</v>
      </c>
      <c r="D1632">
        <v>61</v>
      </c>
      <c r="E1632" t="s">
        <v>703</v>
      </c>
      <c r="F1632">
        <v>1468</v>
      </c>
      <c r="G1632" t="s">
        <v>914</v>
      </c>
      <c r="I1632">
        <v>20007257</v>
      </c>
      <c r="J1632" t="s">
        <v>2944</v>
      </c>
      <c r="K1632">
        <v>800159</v>
      </c>
      <c r="L1632">
        <v>1</v>
      </c>
      <c r="M1632" t="s">
        <v>203</v>
      </c>
      <c r="N1632" t="s">
        <v>208</v>
      </c>
      <c r="O1632">
        <v>1320000</v>
      </c>
    </row>
    <row r="1633" spans="1:15" x14ac:dyDescent="0.4">
      <c r="A1633" t="s">
        <v>1523</v>
      </c>
      <c r="B1633">
        <v>75</v>
      </c>
      <c r="C1633" t="s">
        <v>5</v>
      </c>
      <c r="D1633">
        <v>51</v>
      </c>
      <c r="E1633" t="s">
        <v>657</v>
      </c>
      <c r="F1633">
        <v>1435</v>
      </c>
      <c r="G1633" t="s">
        <v>860</v>
      </c>
      <c r="I1633">
        <v>20007612</v>
      </c>
      <c r="J1633" t="s">
        <v>2945</v>
      </c>
      <c r="K1633">
        <v>800157</v>
      </c>
      <c r="L1633">
        <v>1</v>
      </c>
      <c r="M1633" t="s">
        <v>1587</v>
      </c>
      <c r="N1633" t="s">
        <v>259</v>
      </c>
      <c r="O1633">
        <v>784000</v>
      </c>
    </row>
    <row r="1634" spans="1:15" x14ac:dyDescent="0.4">
      <c r="A1634" t="s">
        <v>1487</v>
      </c>
      <c r="B1634">
        <v>76</v>
      </c>
      <c r="C1634" t="s">
        <v>6</v>
      </c>
      <c r="D1634">
        <v>61</v>
      </c>
      <c r="E1634" t="s">
        <v>703</v>
      </c>
      <c r="F1634">
        <v>1472</v>
      </c>
      <c r="G1634" t="s">
        <v>998</v>
      </c>
      <c r="I1634">
        <v>20006204</v>
      </c>
      <c r="J1634" t="s">
        <v>2946</v>
      </c>
      <c r="K1634">
        <v>800159</v>
      </c>
      <c r="L1634">
        <v>1</v>
      </c>
      <c r="M1634" t="s">
        <v>1523</v>
      </c>
      <c r="N1634" t="s">
        <v>314</v>
      </c>
      <c r="O1634">
        <v>1320000</v>
      </c>
    </row>
    <row r="1635" spans="1:15" x14ac:dyDescent="0.4">
      <c r="A1635" t="s">
        <v>185</v>
      </c>
      <c r="B1635">
        <v>76</v>
      </c>
      <c r="C1635" t="s">
        <v>6</v>
      </c>
      <c r="D1635">
        <v>61</v>
      </c>
      <c r="E1635" t="s">
        <v>703</v>
      </c>
      <c r="F1635">
        <v>1472</v>
      </c>
      <c r="G1635" t="s">
        <v>998</v>
      </c>
      <c r="I1635">
        <v>10004112</v>
      </c>
      <c r="J1635" t="s">
        <v>2947</v>
      </c>
      <c r="K1635">
        <v>800159</v>
      </c>
      <c r="L1635">
        <v>1</v>
      </c>
      <c r="M1635" t="s">
        <v>275</v>
      </c>
      <c r="N1635" t="s">
        <v>234</v>
      </c>
      <c r="O1635">
        <v>1357800</v>
      </c>
    </row>
    <row r="1636" spans="1:15" x14ac:dyDescent="0.4">
      <c r="A1636" t="s">
        <v>1596</v>
      </c>
      <c r="B1636">
        <v>70</v>
      </c>
      <c r="C1636" t="s">
        <v>2</v>
      </c>
      <c r="D1636">
        <v>41</v>
      </c>
      <c r="E1636" t="s">
        <v>306</v>
      </c>
      <c r="F1636">
        <v>1552</v>
      </c>
      <c r="G1636" t="s">
        <v>929</v>
      </c>
      <c r="I1636">
        <v>20007673</v>
      </c>
      <c r="J1636" t="s">
        <v>2948</v>
      </c>
      <c r="K1636">
        <v>800157</v>
      </c>
      <c r="L1636">
        <v>1</v>
      </c>
      <c r="M1636" t="s">
        <v>268</v>
      </c>
      <c r="N1636" t="s">
        <v>212</v>
      </c>
      <c r="O1636">
        <v>784000</v>
      </c>
    </row>
    <row r="1637" spans="1:15" x14ac:dyDescent="0.4">
      <c r="A1637" t="s">
        <v>1587</v>
      </c>
      <c r="B1637">
        <v>76</v>
      </c>
      <c r="C1637" t="s">
        <v>6</v>
      </c>
      <c r="D1637">
        <v>61</v>
      </c>
      <c r="E1637" t="s">
        <v>703</v>
      </c>
      <c r="F1637">
        <v>1563</v>
      </c>
      <c r="G1637" t="s">
        <v>942</v>
      </c>
      <c r="I1637">
        <v>20007601</v>
      </c>
      <c r="J1637" t="s">
        <v>2949</v>
      </c>
      <c r="K1637">
        <v>800157</v>
      </c>
      <c r="L1637">
        <v>1</v>
      </c>
      <c r="M1637" t="s">
        <v>1548</v>
      </c>
      <c r="N1637" t="s">
        <v>327</v>
      </c>
      <c r="O1637">
        <v>880000</v>
      </c>
    </row>
    <row r="1638" spans="1:15" x14ac:dyDescent="0.4">
      <c r="A1638" t="s">
        <v>1548</v>
      </c>
      <c r="B1638">
        <v>80</v>
      </c>
      <c r="C1638" t="s">
        <v>4</v>
      </c>
      <c r="D1638">
        <v>81</v>
      </c>
      <c r="E1638" t="s">
        <v>550</v>
      </c>
      <c r="F1638">
        <v>1154</v>
      </c>
      <c r="G1638" t="s">
        <v>1044</v>
      </c>
      <c r="I1638">
        <v>10011114</v>
      </c>
      <c r="J1638" t="s">
        <v>2950</v>
      </c>
      <c r="K1638">
        <v>800158</v>
      </c>
      <c r="L1638">
        <v>1</v>
      </c>
      <c r="M1638" t="s">
        <v>1586</v>
      </c>
      <c r="N1638" t="s">
        <v>223</v>
      </c>
      <c r="O1638">
        <v>1052000</v>
      </c>
    </row>
    <row r="1639" spans="1:15" x14ac:dyDescent="0.4">
      <c r="A1639" t="s">
        <v>1586</v>
      </c>
      <c r="B1639">
        <v>80</v>
      </c>
      <c r="C1639" t="s">
        <v>4</v>
      </c>
      <c r="D1639">
        <v>71</v>
      </c>
      <c r="E1639" t="s">
        <v>556</v>
      </c>
      <c r="F1639">
        <v>1296</v>
      </c>
      <c r="G1639" t="s">
        <v>964</v>
      </c>
      <c r="I1639">
        <v>20008874</v>
      </c>
      <c r="J1639" t="s">
        <v>2951</v>
      </c>
      <c r="K1639">
        <v>800159</v>
      </c>
      <c r="L1639">
        <v>1</v>
      </c>
      <c r="M1639" t="s">
        <v>1589</v>
      </c>
      <c r="N1639" t="s">
        <v>207</v>
      </c>
      <c r="O1639">
        <v>1546800</v>
      </c>
    </row>
    <row r="1640" spans="1:15" x14ac:dyDescent="0.4">
      <c r="A1640" t="s">
        <v>1548</v>
      </c>
      <c r="B1640">
        <v>76</v>
      </c>
      <c r="C1640" t="s">
        <v>6</v>
      </c>
      <c r="D1640">
        <v>61</v>
      </c>
      <c r="E1640" t="s">
        <v>703</v>
      </c>
      <c r="F1640">
        <v>1602</v>
      </c>
      <c r="G1640" t="s">
        <v>1013</v>
      </c>
      <c r="I1640">
        <v>10044526</v>
      </c>
      <c r="J1640" t="s">
        <v>2952</v>
      </c>
      <c r="K1640">
        <v>800157</v>
      </c>
      <c r="L1640">
        <v>1</v>
      </c>
      <c r="M1640" t="s">
        <v>1586</v>
      </c>
      <c r="N1640" t="s">
        <v>222</v>
      </c>
      <c r="O1640">
        <v>784000</v>
      </c>
    </row>
    <row r="1641" spans="1:15" x14ac:dyDescent="0.4">
      <c r="A1641" t="s">
        <v>376</v>
      </c>
      <c r="B1641">
        <v>75</v>
      </c>
      <c r="C1641" t="s">
        <v>5</v>
      </c>
      <c r="D1641">
        <v>51</v>
      </c>
      <c r="E1641" t="s">
        <v>657</v>
      </c>
      <c r="F1641">
        <v>1435</v>
      </c>
      <c r="G1641" t="s">
        <v>860</v>
      </c>
      <c r="I1641">
        <v>10042155</v>
      </c>
      <c r="J1641" t="s">
        <v>2953</v>
      </c>
      <c r="K1641">
        <v>800159</v>
      </c>
      <c r="L1641">
        <v>1</v>
      </c>
      <c r="M1641" t="s">
        <v>353</v>
      </c>
      <c r="N1641" t="s">
        <v>330</v>
      </c>
      <c r="O1641">
        <v>1320000</v>
      </c>
    </row>
    <row r="1642" spans="1:15" x14ac:dyDescent="0.4">
      <c r="A1642" t="s">
        <v>220</v>
      </c>
      <c r="B1642">
        <v>76</v>
      </c>
      <c r="C1642" t="s">
        <v>6</v>
      </c>
      <c r="D1642">
        <v>61</v>
      </c>
      <c r="E1642" t="s">
        <v>703</v>
      </c>
      <c r="F1642">
        <v>1475</v>
      </c>
      <c r="G1642" t="s">
        <v>909</v>
      </c>
      <c r="I1642">
        <v>20007666</v>
      </c>
      <c r="J1642" t="s">
        <v>2954</v>
      </c>
      <c r="K1642">
        <v>800157</v>
      </c>
      <c r="L1642">
        <v>1</v>
      </c>
      <c r="M1642" t="s">
        <v>203</v>
      </c>
      <c r="N1642" t="s">
        <v>206</v>
      </c>
      <c r="O1642">
        <v>832000</v>
      </c>
    </row>
    <row r="1643" spans="1:15" x14ac:dyDescent="0.4">
      <c r="A1643" t="s">
        <v>281</v>
      </c>
      <c r="B1643">
        <v>50</v>
      </c>
      <c r="C1643" t="s">
        <v>1</v>
      </c>
      <c r="D1643">
        <v>21</v>
      </c>
      <c r="E1643" t="s">
        <v>182</v>
      </c>
      <c r="F1643">
        <v>1264</v>
      </c>
      <c r="G1643" t="s">
        <v>1023</v>
      </c>
      <c r="I1643">
        <v>20006095</v>
      </c>
      <c r="J1643" t="s">
        <v>2955</v>
      </c>
      <c r="K1643">
        <v>800157</v>
      </c>
      <c r="L1643">
        <v>1</v>
      </c>
      <c r="M1643" t="s">
        <v>363</v>
      </c>
      <c r="N1643" t="s">
        <v>313</v>
      </c>
      <c r="O1643">
        <v>940800</v>
      </c>
    </row>
    <row r="1644" spans="1:15" x14ac:dyDescent="0.4">
      <c r="A1644" t="s">
        <v>268</v>
      </c>
      <c r="B1644">
        <v>60</v>
      </c>
      <c r="C1644" t="s">
        <v>3</v>
      </c>
      <c r="D1644">
        <v>33</v>
      </c>
      <c r="E1644" t="s">
        <v>451</v>
      </c>
      <c r="F1644">
        <v>1220</v>
      </c>
      <c r="G1644" t="s">
        <v>1343</v>
      </c>
      <c r="I1644">
        <v>10012774</v>
      </c>
      <c r="J1644" t="s">
        <v>2956</v>
      </c>
      <c r="K1644">
        <v>800159</v>
      </c>
      <c r="L1644">
        <v>1</v>
      </c>
      <c r="M1644" t="s">
        <v>195</v>
      </c>
      <c r="N1644" t="s">
        <v>200</v>
      </c>
      <c r="O1644">
        <v>1633200</v>
      </c>
    </row>
    <row r="1645" spans="1:15" x14ac:dyDescent="0.4">
      <c r="A1645" t="s">
        <v>221</v>
      </c>
      <c r="B1645">
        <v>80</v>
      </c>
      <c r="C1645" t="s">
        <v>4</v>
      </c>
      <c r="D1645">
        <v>81</v>
      </c>
      <c r="E1645" t="s">
        <v>550</v>
      </c>
      <c r="F1645">
        <v>1154</v>
      </c>
      <c r="G1645" t="s">
        <v>1044</v>
      </c>
      <c r="I1645">
        <v>10007078</v>
      </c>
      <c r="J1645" t="s">
        <v>2957</v>
      </c>
      <c r="K1645">
        <v>800159</v>
      </c>
      <c r="L1645">
        <v>1</v>
      </c>
      <c r="M1645" t="s">
        <v>204</v>
      </c>
      <c r="O1645">
        <v>1320000</v>
      </c>
    </row>
    <row r="1646" spans="1:15" x14ac:dyDescent="0.4">
      <c r="A1646" t="s">
        <v>1479</v>
      </c>
      <c r="B1646">
        <v>70</v>
      </c>
      <c r="C1646" t="s">
        <v>2</v>
      </c>
      <c r="D1646">
        <v>41</v>
      </c>
      <c r="E1646" t="s">
        <v>306</v>
      </c>
      <c r="F1646">
        <v>1561</v>
      </c>
      <c r="G1646" t="s">
        <v>1070</v>
      </c>
      <c r="I1646">
        <v>20008142</v>
      </c>
      <c r="J1646" t="s">
        <v>2958</v>
      </c>
      <c r="K1646">
        <v>800157</v>
      </c>
      <c r="L1646">
        <v>1</v>
      </c>
      <c r="M1646" t="s">
        <v>1487</v>
      </c>
      <c r="N1646" t="s">
        <v>243</v>
      </c>
      <c r="O1646">
        <v>793600</v>
      </c>
    </row>
    <row r="1647" spans="1:15" x14ac:dyDescent="0.4">
      <c r="A1647" t="s">
        <v>1548</v>
      </c>
      <c r="B1647">
        <v>80</v>
      </c>
      <c r="C1647" t="s">
        <v>4</v>
      </c>
      <c r="D1647">
        <v>71</v>
      </c>
      <c r="E1647" t="s">
        <v>556</v>
      </c>
      <c r="F1647">
        <v>1296</v>
      </c>
      <c r="G1647" t="s">
        <v>964</v>
      </c>
      <c r="I1647">
        <v>10016840</v>
      </c>
      <c r="J1647" t="s">
        <v>2959</v>
      </c>
      <c r="K1647">
        <v>800159</v>
      </c>
      <c r="L1647">
        <v>1</v>
      </c>
      <c r="M1647" t="s">
        <v>1586</v>
      </c>
      <c r="N1647" t="s">
        <v>224</v>
      </c>
      <c r="O1647">
        <v>1336200</v>
      </c>
    </row>
    <row r="1648" spans="1:15" x14ac:dyDescent="0.4">
      <c r="A1648" t="s">
        <v>1523</v>
      </c>
      <c r="B1648">
        <v>76</v>
      </c>
      <c r="C1648" t="s">
        <v>6</v>
      </c>
      <c r="D1648">
        <v>61</v>
      </c>
      <c r="E1648" t="s">
        <v>703</v>
      </c>
      <c r="F1648">
        <v>1602</v>
      </c>
      <c r="G1648" t="s">
        <v>1013</v>
      </c>
      <c r="I1648">
        <v>10023035</v>
      </c>
      <c r="J1648" t="s">
        <v>2554</v>
      </c>
      <c r="K1648">
        <v>800159</v>
      </c>
      <c r="L1648">
        <v>1</v>
      </c>
      <c r="M1648" t="s">
        <v>1587</v>
      </c>
      <c r="N1648" t="s">
        <v>261</v>
      </c>
      <c r="O1648">
        <v>1471200</v>
      </c>
    </row>
    <row r="1649" spans="1:15" x14ac:dyDescent="0.4">
      <c r="A1649" t="s">
        <v>363</v>
      </c>
      <c r="B1649">
        <v>60</v>
      </c>
      <c r="C1649" t="s">
        <v>3</v>
      </c>
      <c r="D1649">
        <v>31</v>
      </c>
      <c r="E1649" t="s">
        <v>447</v>
      </c>
      <c r="F1649">
        <v>1299</v>
      </c>
      <c r="G1649" t="s">
        <v>947</v>
      </c>
      <c r="I1649">
        <v>20004654</v>
      </c>
      <c r="J1649" t="s">
        <v>2033</v>
      </c>
      <c r="K1649">
        <v>800159</v>
      </c>
      <c r="L1649">
        <v>1</v>
      </c>
      <c r="M1649" t="s">
        <v>376</v>
      </c>
      <c r="N1649" t="s">
        <v>262</v>
      </c>
      <c r="O1649">
        <v>1341600</v>
      </c>
    </row>
    <row r="1650" spans="1:15" x14ac:dyDescent="0.4">
      <c r="A1650" t="s">
        <v>185</v>
      </c>
      <c r="B1650">
        <v>75</v>
      </c>
      <c r="C1650" t="s">
        <v>5</v>
      </c>
      <c r="D1650">
        <v>51</v>
      </c>
      <c r="E1650" t="s">
        <v>657</v>
      </c>
      <c r="F1650">
        <v>1435</v>
      </c>
      <c r="G1650" t="s">
        <v>860</v>
      </c>
      <c r="I1650">
        <v>10007413</v>
      </c>
      <c r="J1650" t="s">
        <v>2960</v>
      </c>
      <c r="K1650">
        <v>800159</v>
      </c>
      <c r="L1650">
        <v>1</v>
      </c>
      <c r="M1650" t="s">
        <v>275</v>
      </c>
      <c r="N1650" t="s">
        <v>234</v>
      </c>
      <c r="O1650">
        <v>1336200</v>
      </c>
    </row>
    <row r="1651" spans="1:15" x14ac:dyDescent="0.4">
      <c r="A1651" t="s">
        <v>1487</v>
      </c>
      <c r="B1651">
        <v>60</v>
      </c>
      <c r="C1651" t="s">
        <v>3</v>
      </c>
      <c r="D1651">
        <v>31</v>
      </c>
      <c r="E1651" t="s">
        <v>447</v>
      </c>
      <c r="F1651">
        <v>1616</v>
      </c>
      <c r="G1651" t="s">
        <v>1659</v>
      </c>
      <c r="I1651">
        <v>20004667</v>
      </c>
      <c r="J1651" t="s">
        <v>2961</v>
      </c>
      <c r="K1651">
        <v>800157</v>
      </c>
      <c r="L1651">
        <v>1</v>
      </c>
      <c r="M1651" t="s">
        <v>1523</v>
      </c>
      <c r="N1651" t="s">
        <v>312</v>
      </c>
      <c r="O1651">
        <v>784000</v>
      </c>
    </row>
    <row r="1652" spans="1:15" x14ac:dyDescent="0.4">
      <c r="A1652" t="s">
        <v>220</v>
      </c>
      <c r="B1652">
        <v>50</v>
      </c>
      <c r="C1652" t="s">
        <v>1</v>
      </c>
      <c r="D1652">
        <v>21</v>
      </c>
      <c r="E1652" t="s">
        <v>182</v>
      </c>
      <c r="F1652">
        <v>1166</v>
      </c>
      <c r="G1652" t="s">
        <v>1082</v>
      </c>
      <c r="I1652">
        <v>10065331</v>
      </c>
      <c r="J1652" t="s">
        <v>2962</v>
      </c>
      <c r="K1652">
        <v>800159</v>
      </c>
      <c r="L1652">
        <v>1</v>
      </c>
      <c r="M1652" t="s">
        <v>203</v>
      </c>
      <c r="N1652" t="s">
        <v>208</v>
      </c>
      <c r="O1652">
        <v>1320000</v>
      </c>
    </row>
    <row r="1653" spans="1:15" x14ac:dyDescent="0.4">
      <c r="A1653" t="s">
        <v>242</v>
      </c>
      <c r="B1653">
        <v>80</v>
      </c>
      <c r="C1653" t="s">
        <v>4</v>
      </c>
      <c r="D1653">
        <v>81</v>
      </c>
      <c r="E1653" t="s">
        <v>550</v>
      </c>
      <c r="F1653">
        <v>1154</v>
      </c>
      <c r="G1653" t="s">
        <v>1044</v>
      </c>
      <c r="I1653">
        <v>10073412</v>
      </c>
      <c r="J1653" t="s">
        <v>2963</v>
      </c>
      <c r="K1653">
        <v>800159</v>
      </c>
      <c r="L1653">
        <v>1</v>
      </c>
      <c r="M1653" t="s">
        <v>311</v>
      </c>
      <c r="N1653" t="s">
        <v>316</v>
      </c>
      <c r="O1653">
        <v>1592000</v>
      </c>
    </row>
    <row r="1654" spans="1:15" x14ac:dyDescent="0.4">
      <c r="A1654" t="s">
        <v>1586</v>
      </c>
      <c r="B1654">
        <v>80</v>
      </c>
      <c r="C1654" t="s">
        <v>4</v>
      </c>
      <c r="D1654">
        <v>81</v>
      </c>
      <c r="E1654" t="s">
        <v>550</v>
      </c>
      <c r="F1654">
        <v>1436</v>
      </c>
      <c r="G1654" t="s">
        <v>918</v>
      </c>
      <c r="I1654">
        <v>20009596</v>
      </c>
      <c r="J1654" t="s">
        <v>2964</v>
      </c>
      <c r="K1654">
        <v>800159</v>
      </c>
      <c r="L1654">
        <v>1</v>
      </c>
      <c r="M1654" t="s">
        <v>1589</v>
      </c>
      <c r="N1654" t="s">
        <v>207</v>
      </c>
      <c r="O1654">
        <v>1363200</v>
      </c>
    </row>
    <row r="1655" spans="1:15" x14ac:dyDescent="0.4">
      <c r="A1655" t="s">
        <v>220</v>
      </c>
      <c r="B1655">
        <v>60</v>
      </c>
      <c r="C1655" t="s">
        <v>3</v>
      </c>
      <c r="D1655">
        <v>33</v>
      </c>
      <c r="E1655" t="s">
        <v>451</v>
      </c>
      <c r="F1655">
        <v>1220</v>
      </c>
      <c r="G1655" t="s">
        <v>1343</v>
      </c>
      <c r="I1655">
        <v>10052383</v>
      </c>
      <c r="J1655" t="s">
        <v>2965</v>
      </c>
      <c r="K1655">
        <v>800159</v>
      </c>
      <c r="L1655">
        <v>1</v>
      </c>
      <c r="M1655" t="s">
        <v>203</v>
      </c>
      <c r="N1655" t="s">
        <v>208</v>
      </c>
      <c r="O1655">
        <v>1218000</v>
      </c>
    </row>
    <row r="1656" spans="1:15" x14ac:dyDescent="0.4">
      <c r="A1656" t="s">
        <v>186</v>
      </c>
      <c r="B1656">
        <v>70</v>
      </c>
      <c r="C1656" t="s">
        <v>2</v>
      </c>
      <c r="D1656">
        <v>41</v>
      </c>
      <c r="E1656" t="s">
        <v>306</v>
      </c>
      <c r="F1656">
        <v>1445</v>
      </c>
      <c r="G1656" t="s">
        <v>886</v>
      </c>
      <c r="I1656">
        <v>20004640</v>
      </c>
      <c r="J1656" t="s">
        <v>2966</v>
      </c>
      <c r="K1656">
        <v>800157</v>
      </c>
      <c r="L1656">
        <v>1</v>
      </c>
      <c r="M1656" t="s">
        <v>238</v>
      </c>
      <c r="N1656" t="s">
        <v>189</v>
      </c>
      <c r="O1656">
        <v>905600</v>
      </c>
    </row>
    <row r="1657" spans="1:15" x14ac:dyDescent="0.4">
      <c r="A1657" t="s">
        <v>1548</v>
      </c>
      <c r="B1657">
        <v>76</v>
      </c>
      <c r="C1657" t="s">
        <v>6</v>
      </c>
      <c r="D1657">
        <v>61</v>
      </c>
      <c r="E1657" t="s">
        <v>703</v>
      </c>
      <c r="F1657">
        <v>1389</v>
      </c>
      <c r="G1657" t="s">
        <v>1197</v>
      </c>
      <c r="I1657">
        <v>10016136</v>
      </c>
      <c r="J1657" t="s">
        <v>2967</v>
      </c>
      <c r="K1657">
        <v>800159</v>
      </c>
      <c r="L1657">
        <v>1</v>
      </c>
      <c r="M1657" t="s">
        <v>1586</v>
      </c>
      <c r="N1657" t="s">
        <v>224</v>
      </c>
      <c r="O1657">
        <v>1368600</v>
      </c>
    </row>
    <row r="1658" spans="1:15" x14ac:dyDescent="0.4">
      <c r="A1658" t="s">
        <v>268</v>
      </c>
      <c r="B1658">
        <v>60</v>
      </c>
      <c r="C1658" t="s">
        <v>3</v>
      </c>
      <c r="D1658">
        <v>31</v>
      </c>
      <c r="E1658" t="s">
        <v>447</v>
      </c>
      <c r="F1658">
        <v>1116</v>
      </c>
      <c r="G1658" t="s">
        <v>1075</v>
      </c>
      <c r="I1658">
        <v>10008966</v>
      </c>
      <c r="J1658" t="s">
        <v>2968</v>
      </c>
      <c r="K1658">
        <v>800159</v>
      </c>
      <c r="L1658">
        <v>1</v>
      </c>
      <c r="M1658" t="s">
        <v>195</v>
      </c>
      <c r="N1658" t="s">
        <v>200</v>
      </c>
      <c r="O1658">
        <v>1357800</v>
      </c>
    </row>
    <row r="1659" spans="1:15" x14ac:dyDescent="0.4">
      <c r="A1659" t="s">
        <v>1594</v>
      </c>
      <c r="B1659">
        <v>70</v>
      </c>
      <c r="C1659" t="s">
        <v>2</v>
      </c>
      <c r="D1659">
        <v>41</v>
      </c>
      <c r="E1659" t="s">
        <v>306</v>
      </c>
      <c r="F1659">
        <v>1445</v>
      </c>
      <c r="G1659" t="s">
        <v>886</v>
      </c>
      <c r="I1659">
        <v>20009247</v>
      </c>
      <c r="J1659" t="s">
        <v>2969</v>
      </c>
      <c r="K1659">
        <v>800157</v>
      </c>
      <c r="L1659">
        <v>1</v>
      </c>
      <c r="M1659" t="s">
        <v>1596</v>
      </c>
      <c r="N1659" t="s">
        <v>252</v>
      </c>
      <c r="O1659">
        <v>951000</v>
      </c>
    </row>
    <row r="1660" spans="1:15" x14ac:dyDescent="0.4">
      <c r="A1660" t="s">
        <v>311</v>
      </c>
      <c r="B1660">
        <v>50</v>
      </c>
      <c r="C1660" t="s">
        <v>1</v>
      </c>
      <c r="D1660">
        <v>21</v>
      </c>
      <c r="E1660" t="s">
        <v>182</v>
      </c>
      <c r="F1660">
        <v>1264</v>
      </c>
      <c r="G1660" t="s">
        <v>1023</v>
      </c>
      <c r="I1660">
        <v>20004742</v>
      </c>
      <c r="J1660" t="s">
        <v>2970</v>
      </c>
      <c r="K1660">
        <v>800159</v>
      </c>
      <c r="L1660">
        <v>1</v>
      </c>
      <c r="M1660" t="s">
        <v>258</v>
      </c>
      <c r="N1660" t="s">
        <v>263</v>
      </c>
      <c r="O1660">
        <v>1357800</v>
      </c>
    </row>
    <row r="1661" spans="1:15" x14ac:dyDescent="0.4">
      <c r="A1661" t="s">
        <v>1596</v>
      </c>
      <c r="B1661">
        <v>75</v>
      </c>
      <c r="C1661" t="s">
        <v>5</v>
      </c>
      <c r="D1661">
        <v>51</v>
      </c>
      <c r="E1661" t="s">
        <v>657</v>
      </c>
      <c r="F1661">
        <v>1365</v>
      </c>
      <c r="G1661" t="s">
        <v>1148</v>
      </c>
      <c r="I1661">
        <v>10026198</v>
      </c>
      <c r="J1661" t="s">
        <v>2971</v>
      </c>
      <c r="K1661">
        <v>800159</v>
      </c>
      <c r="L1661">
        <v>1</v>
      </c>
      <c r="M1661" t="s">
        <v>268</v>
      </c>
      <c r="N1661" t="s">
        <v>214</v>
      </c>
      <c r="O1661">
        <v>1320000</v>
      </c>
    </row>
    <row r="1662" spans="1:15" x14ac:dyDescent="0.4">
      <c r="A1662" t="s">
        <v>242</v>
      </c>
      <c r="B1662">
        <v>60</v>
      </c>
      <c r="C1662" t="s">
        <v>3</v>
      </c>
      <c r="D1662">
        <v>31</v>
      </c>
      <c r="E1662" t="s">
        <v>447</v>
      </c>
      <c r="F1662">
        <v>1299</v>
      </c>
      <c r="G1662" t="s">
        <v>947</v>
      </c>
      <c r="I1662">
        <v>20004947</v>
      </c>
      <c r="J1662" t="s">
        <v>2972</v>
      </c>
      <c r="K1662">
        <v>800159</v>
      </c>
      <c r="L1662">
        <v>1</v>
      </c>
      <c r="M1662" t="s">
        <v>311</v>
      </c>
      <c r="N1662" t="s">
        <v>316</v>
      </c>
      <c r="O1662">
        <v>1347000</v>
      </c>
    </row>
    <row r="1663" spans="1:15" x14ac:dyDescent="0.4">
      <c r="A1663" t="s">
        <v>258</v>
      </c>
      <c r="B1663">
        <v>70</v>
      </c>
      <c r="C1663" t="s">
        <v>2</v>
      </c>
      <c r="D1663">
        <v>41</v>
      </c>
      <c r="E1663" t="s">
        <v>306</v>
      </c>
      <c r="F1663">
        <v>1445</v>
      </c>
      <c r="G1663" t="s">
        <v>886</v>
      </c>
      <c r="I1663">
        <v>20008760</v>
      </c>
      <c r="J1663" t="s">
        <v>2973</v>
      </c>
      <c r="K1663">
        <v>800157</v>
      </c>
      <c r="L1663">
        <v>1</v>
      </c>
      <c r="M1663" t="s">
        <v>221</v>
      </c>
      <c r="N1663" t="s">
        <v>329</v>
      </c>
      <c r="O1663">
        <v>933000</v>
      </c>
    </row>
    <row r="1664" spans="1:15" x14ac:dyDescent="0.4">
      <c r="A1664" t="s">
        <v>1548</v>
      </c>
      <c r="B1664">
        <v>50</v>
      </c>
      <c r="C1664" t="s">
        <v>1</v>
      </c>
      <c r="D1664">
        <v>21</v>
      </c>
      <c r="E1664" t="s">
        <v>182</v>
      </c>
      <c r="F1664">
        <v>1264</v>
      </c>
      <c r="G1664" t="s">
        <v>1023</v>
      </c>
      <c r="I1664">
        <v>10018065</v>
      </c>
      <c r="J1664" t="s">
        <v>2974</v>
      </c>
      <c r="K1664">
        <v>800159</v>
      </c>
      <c r="L1664">
        <v>1</v>
      </c>
      <c r="M1664" t="s">
        <v>1586</v>
      </c>
      <c r="N1664" t="s">
        <v>224</v>
      </c>
      <c r="O1664">
        <v>1460400</v>
      </c>
    </row>
    <row r="1665" spans="1:15" x14ac:dyDescent="0.4">
      <c r="A1665" t="s">
        <v>1548</v>
      </c>
      <c r="B1665">
        <v>76</v>
      </c>
      <c r="C1665" t="s">
        <v>6</v>
      </c>
      <c r="D1665">
        <v>61</v>
      </c>
      <c r="E1665" t="s">
        <v>703</v>
      </c>
      <c r="F1665">
        <v>1472</v>
      </c>
      <c r="G1665" t="s">
        <v>998</v>
      </c>
      <c r="I1665">
        <v>10011903</v>
      </c>
      <c r="J1665" t="s">
        <v>1501</v>
      </c>
      <c r="K1665">
        <v>800157</v>
      </c>
      <c r="L1665">
        <v>1</v>
      </c>
      <c r="M1665" t="s">
        <v>1586</v>
      </c>
      <c r="N1665" t="s">
        <v>222</v>
      </c>
      <c r="O1665">
        <v>784000</v>
      </c>
    </row>
    <row r="1666" spans="1:15" x14ac:dyDescent="0.4">
      <c r="A1666" t="s">
        <v>1594</v>
      </c>
      <c r="B1666">
        <v>76</v>
      </c>
      <c r="C1666" t="s">
        <v>6</v>
      </c>
      <c r="D1666">
        <v>61</v>
      </c>
      <c r="E1666" t="s">
        <v>703</v>
      </c>
      <c r="F1666">
        <v>1472</v>
      </c>
      <c r="G1666" t="s">
        <v>998</v>
      </c>
      <c r="I1666">
        <v>20005972</v>
      </c>
      <c r="J1666" t="s">
        <v>2975</v>
      </c>
      <c r="K1666">
        <v>800159</v>
      </c>
      <c r="L1666">
        <v>1</v>
      </c>
      <c r="M1666" t="s">
        <v>1596</v>
      </c>
      <c r="N1666" t="s">
        <v>254</v>
      </c>
      <c r="O1666">
        <v>1320000</v>
      </c>
    </row>
    <row r="1667" spans="1:15" x14ac:dyDescent="0.4">
      <c r="A1667" t="s">
        <v>1487</v>
      </c>
      <c r="B1667">
        <v>50</v>
      </c>
      <c r="C1667" t="s">
        <v>1</v>
      </c>
      <c r="D1667">
        <v>21</v>
      </c>
      <c r="E1667" t="s">
        <v>182</v>
      </c>
      <c r="F1667">
        <v>1166</v>
      </c>
      <c r="G1667" t="s">
        <v>1082</v>
      </c>
      <c r="I1667">
        <v>10040532</v>
      </c>
      <c r="J1667" t="s">
        <v>2976</v>
      </c>
      <c r="K1667">
        <v>800159</v>
      </c>
      <c r="L1667">
        <v>1</v>
      </c>
      <c r="M1667" t="s">
        <v>1523</v>
      </c>
      <c r="N1667" t="s">
        <v>314</v>
      </c>
      <c r="O1667">
        <v>1325400</v>
      </c>
    </row>
    <row r="1668" spans="1:15" x14ac:dyDescent="0.4">
      <c r="A1668" t="s">
        <v>258</v>
      </c>
      <c r="B1668">
        <v>75</v>
      </c>
      <c r="C1668" t="s">
        <v>5</v>
      </c>
      <c r="D1668">
        <v>51</v>
      </c>
      <c r="E1668" t="s">
        <v>657</v>
      </c>
      <c r="F1668">
        <v>1365</v>
      </c>
      <c r="G1668" t="s">
        <v>1148</v>
      </c>
      <c r="I1668">
        <v>20010228</v>
      </c>
      <c r="J1668" t="s">
        <v>2977</v>
      </c>
      <c r="K1668">
        <v>800159</v>
      </c>
      <c r="L1668">
        <v>1</v>
      </c>
      <c r="M1668" t="s">
        <v>221</v>
      </c>
      <c r="N1668" t="s">
        <v>331</v>
      </c>
      <c r="O1668">
        <v>1519800</v>
      </c>
    </row>
    <row r="1669" spans="1:15" x14ac:dyDescent="0.4">
      <c r="A1669" t="s">
        <v>1596</v>
      </c>
      <c r="B1669">
        <v>75</v>
      </c>
      <c r="C1669" t="s">
        <v>5</v>
      </c>
      <c r="D1669">
        <v>51</v>
      </c>
      <c r="E1669" t="s">
        <v>657</v>
      </c>
      <c r="F1669">
        <v>1365</v>
      </c>
      <c r="G1669" t="s">
        <v>1148</v>
      </c>
      <c r="I1669">
        <v>20008498</v>
      </c>
      <c r="J1669" t="s">
        <v>2978</v>
      </c>
      <c r="K1669">
        <v>800157</v>
      </c>
      <c r="L1669">
        <v>1</v>
      </c>
      <c r="M1669" t="s">
        <v>268</v>
      </c>
      <c r="N1669" t="s">
        <v>212</v>
      </c>
      <c r="O1669">
        <v>793600</v>
      </c>
    </row>
    <row r="1670" spans="1:15" x14ac:dyDescent="0.4">
      <c r="A1670" t="s">
        <v>185</v>
      </c>
      <c r="B1670">
        <v>60</v>
      </c>
      <c r="C1670" t="s">
        <v>3</v>
      </c>
      <c r="D1670">
        <v>31</v>
      </c>
      <c r="E1670" t="s">
        <v>447</v>
      </c>
      <c r="F1670">
        <v>1367</v>
      </c>
      <c r="G1670" t="s">
        <v>977</v>
      </c>
      <c r="I1670">
        <v>10036152</v>
      </c>
      <c r="J1670" t="s">
        <v>1607</v>
      </c>
      <c r="K1670">
        <v>800157</v>
      </c>
      <c r="L1670">
        <v>1</v>
      </c>
      <c r="M1670" t="s">
        <v>275</v>
      </c>
      <c r="N1670" t="s">
        <v>232</v>
      </c>
      <c r="O1670">
        <v>561600</v>
      </c>
    </row>
    <row r="1671" spans="1:15" x14ac:dyDescent="0.4">
      <c r="A1671" t="s">
        <v>1548</v>
      </c>
      <c r="B1671">
        <v>80</v>
      </c>
      <c r="C1671" t="s">
        <v>4</v>
      </c>
      <c r="D1671">
        <v>81</v>
      </c>
      <c r="E1671" t="s">
        <v>550</v>
      </c>
      <c r="F1671">
        <v>1322</v>
      </c>
      <c r="G1671" t="s">
        <v>961</v>
      </c>
      <c r="I1671">
        <v>10077771</v>
      </c>
      <c r="J1671" t="s">
        <v>2979</v>
      </c>
      <c r="K1671">
        <v>800159</v>
      </c>
      <c r="L1671">
        <v>1</v>
      </c>
      <c r="M1671" t="s">
        <v>1586</v>
      </c>
      <c r="N1671" t="s">
        <v>224</v>
      </c>
      <c r="O1671">
        <v>1379400</v>
      </c>
    </row>
    <row r="1672" spans="1:15" x14ac:dyDescent="0.4">
      <c r="A1672" t="s">
        <v>196</v>
      </c>
      <c r="B1672">
        <v>70</v>
      </c>
      <c r="C1672" t="s">
        <v>2</v>
      </c>
      <c r="D1672">
        <v>41</v>
      </c>
      <c r="E1672" t="s">
        <v>306</v>
      </c>
      <c r="F1672">
        <v>1510</v>
      </c>
      <c r="G1672" t="s">
        <v>870</v>
      </c>
      <c r="I1672">
        <v>20005014</v>
      </c>
      <c r="J1672" t="s">
        <v>2980</v>
      </c>
      <c r="K1672">
        <v>800159</v>
      </c>
      <c r="L1672">
        <v>1</v>
      </c>
      <c r="M1672" t="s">
        <v>186</v>
      </c>
      <c r="N1672" t="s">
        <v>302</v>
      </c>
      <c r="O1672">
        <v>1320000</v>
      </c>
    </row>
    <row r="1673" spans="1:15" x14ac:dyDescent="0.4">
      <c r="A1673" t="s">
        <v>242</v>
      </c>
      <c r="B1673">
        <v>80</v>
      </c>
      <c r="C1673" t="s">
        <v>4</v>
      </c>
      <c r="D1673">
        <v>71</v>
      </c>
      <c r="E1673" t="s">
        <v>556</v>
      </c>
      <c r="F1673">
        <v>1296</v>
      </c>
      <c r="G1673" t="s">
        <v>964</v>
      </c>
      <c r="I1673">
        <v>20006139</v>
      </c>
      <c r="J1673" t="s">
        <v>2981</v>
      </c>
      <c r="K1673">
        <v>800159</v>
      </c>
      <c r="L1673">
        <v>1</v>
      </c>
      <c r="M1673" t="s">
        <v>311</v>
      </c>
      <c r="N1673" t="s">
        <v>316</v>
      </c>
      <c r="O1673">
        <v>1438800</v>
      </c>
    </row>
    <row r="1674" spans="1:15" x14ac:dyDescent="0.4">
      <c r="A1674" t="s">
        <v>196</v>
      </c>
      <c r="B1674">
        <v>70</v>
      </c>
      <c r="C1674" t="s">
        <v>2</v>
      </c>
      <c r="D1674">
        <v>41</v>
      </c>
      <c r="E1674" t="s">
        <v>306</v>
      </c>
      <c r="F1674">
        <v>1510</v>
      </c>
      <c r="G1674" t="s">
        <v>870</v>
      </c>
      <c r="I1674">
        <v>20006163</v>
      </c>
      <c r="J1674" t="s">
        <v>2982</v>
      </c>
      <c r="K1674">
        <v>800159</v>
      </c>
      <c r="L1674">
        <v>1</v>
      </c>
      <c r="M1674" t="s">
        <v>186</v>
      </c>
      <c r="N1674" t="s">
        <v>302</v>
      </c>
      <c r="O1674">
        <v>1320000</v>
      </c>
    </row>
    <row r="1675" spans="1:15" x14ac:dyDescent="0.4">
      <c r="A1675" t="s">
        <v>1594</v>
      </c>
      <c r="B1675">
        <v>80</v>
      </c>
      <c r="C1675" t="s">
        <v>4</v>
      </c>
      <c r="D1675">
        <v>81</v>
      </c>
      <c r="E1675" t="s">
        <v>550</v>
      </c>
      <c r="F1675">
        <v>1378</v>
      </c>
      <c r="G1675" t="s">
        <v>881</v>
      </c>
      <c r="I1675">
        <v>20007956</v>
      </c>
      <c r="J1675" t="s">
        <v>2983</v>
      </c>
      <c r="K1675">
        <v>800159</v>
      </c>
      <c r="L1675">
        <v>1</v>
      </c>
      <c r="M1675" t="s">
        <v>1596</v>
      </c>
      <c r="N1675" t="s">
        <v>254</v>
      </c>
      <c r="O1675">
        <v>1320000</v>
      </c>
    </row>
    <row r="1676" spans="1:15" x14ac:dyDescent="0.4">
      <c r="A1676" t="s">
        <v>1479</v>
      </c>
      <c r="B1676">
        <v>80</v>
      </c>
      <c r="C1676" t="s">
        <v>4</v>
      </c>
      <c r="D1676">
        <v>81</v>
      </c>
      <c r="E1676" t="s">
        <v>550</v>
      </c>
      <c r="F1676">
        <v>1436</v>
      </c>
      <c r="G1676" t="s">
        <v>918</v>
      </c>
      <c r="I1676">
        <v>20007505</v>
      </c>
      <c r="J1676" t="s">
        <v>2984</v>
      </c>
      <c r="K1676">
        <v>800157</v>
      </c>
      <c r="L1676">
        <v>1</v>
      </c>
      <c r="M1676" t="s">
        <v>1487</v>
      </c>
      <c r="N1676" t="s">
        <v>243</v>
      </c>
      <c r="O1676">
        <v>838400</v>
      </c>
    </row>
    <row r="1677" spans="1:15" x14ac:dyDescent="0.4">
      <c r="A1677" t="s">
        <v>1470</v>
      </c>
      <c r="B1677">
        <v>76</v>
      </c>
      <c r="C1677" t="s">
        <v>6</v>
      </c>
      <c r="D1677">
        <v>61</v>
      </c>
      <c r="E1677" t="s">
        <v>703</v>
      </c>
      <c r="F1677">
        <v>1389</v>
      </c>
      <c r="G1677" t="s">
        <v>1197</v>
      </c>
      <c r="I1677">
        <v>20009130</v>
      </c>
      <c r="J1677" t="s">
        <v>2985</v>
      </c>
      <c r="K1677">
        <v>800157</v>
      </c>
      <c r="L1677">
        <v>1</v>
      </c>
      <c r="M1677" t="s">
        <v>1469</v>
      </c>
      <c r="N1677" t="s">
        <v>197</v>
      </c>
      <c r="O1677">
        <v>844800</v>
      </c>
    </row>
    <row r="1678" spans="1:15" x14ac:dyDescent="0.4">
      <c r="A1678" t="s">
        <v>1469</v>
      </c>
      <c r="B1678">
        <v>80</v>
      </c>
      <c r="C1678" t="s">
        <v>4</v>
      </c>
      <c r="D1678">
        <v>71</v>
      </c>
      <c r="E1678" t="s">
        <v>556</v>
      </c>
      <c r="F1678">
        <v>1296</v>
      </c>
      <c r="G1678" t="s">
        <v>964</v>
      </c>
      <c r="I1678">
        <v>10018799</v>
      </c>
      <c r="J1678" t="s">
        <v>2986</v>
      </c>
      <c r="K1678">
        <v>800155</v>
      </c>
      <c r="L1678">
        <v>1</v>
      </c>
      <c r="M1678" t="s">
        <v>1475</v>
      </c>
      <c r="N1678" t="s">
        <v>195</v>
      </c>
      <c r="O1678">
        <v>148800</v>
      </c>
    </row>
    <row r="1679" spans="1:15" x14ac:dyDescent="0.4">
      <c r="A1679" t="s">
        <v>1523</v>
      </c>
      <c r="B1679">
        <v>76</v>
      </c>
      <c r="C1679" t="s">
        <v>6</v>
      </c>
      <c r="D1679">
        <v>61</v>
      </c>
      <c r="E1679" t="s">
        <v>703</v>
      </c>
      <c r="F1679">
        <v>1475</v>
      </c>
      <c r="G1679" t="s">
        <v>909</v>
      </c>
      <c r="I1679">
        <v>20008335</v>
      </c>
      <c r="J1679" t="s">
        <v>2987</v>
      </c>
      <c r="K1679">
        <v>800157</v>
      </c>
      <c r="L1679">
        <v>1</v>
      </c>
      <c r="M1679" t="s">
        <v>1587</v>
      </c>
      <c r="N1679" t="s">
        <v>259</v>
      </c>
      <c r="O1679">
        <v>812800</v>
      </c>
    </row>
    <row r="1680" spans="1:15" x14ac:dyDescent="0.4">
      <c r="A1680" t="s">
        <v>1487</v>
      </c>
      <c r="B1680">
        <v>76</v>
      </c>
      <c r="C1680" t="s">
        <v>6</v>
      </c>
      <c r="D1680">
        <v>61</v>
      </c>
      <c r="E1680" t="s">
        <v>703</v>
      </c>
      <c r="F1680">
        <v>1389</v>
      </c>
      <c r="G1680" t="s">
        <v>1197</v>
      </c>
      <c r="I1680">
        <v>20008427</v>
      </c>
      <c r="J1680" t="s">
        <v>2988</v>
      </c>
      <c r="K1680">
        <v>800157</v>
      </c>
      <c r="L1680">
        <v>1</v>
      </c>
      <c r="M1680" t="s">
        <v>1523</v>
      </c>
      <c r="N1680" t="s">
        <v>312</v>
      </c>
      <c r="O1680">
        <v>784000</v>
      </c>
    </row>
    <row r="1681" spans="1:15" x14ac:dyDescent="0.4">
      <c r="A1681" t="s">
        <v>185</v>
      </c>
      <c r="B1681">
        <v>76</v>
      </c>
      <c r="C1681" t="s">
        <v>6</v>
      </c>
      <c r="D1681">
        <v>61</v>
      </c>
      <c r="E1681" t="s">
        <v>703</v>
      </c>
      <c r="F1681">
        <v>1472</v>
      </c>
      <c r="G1681" t="s">
        <v>998</v>
      </c>
      <c r="I1681">
        <v>20007583</v>
      </c>
      <c r="J1681" t="s">
        <v>2989</v>
      </c>
      <c r="K1681">
        <v>800159</v>
      </c>
      <c r="L1681">
        <v>1</v>
      </c>
      <c r="M1681" t="s">
        <v>275</v>
      </c>
      <c r="N1681" t="s">
        <v>234</v>
      </c>
      <c r="O1681">
        <v>1482000</v>
      </c>
    </row>
    <row r="1682" spans="1:15" x14ac:dyDescent="0.4">
      <c r="A1682" t="s">
        <v>1586</v>
      </c>
      <c r="B1682">
        <v>76</v>
      </c>
      <c r="C1682" t="s">
        <v>6</v>
      </c>
      <c r="D1682">
        <v>61</v>
      </c>
      <c r="E1682" t="s">
        <v>703</v>
      </c>
      <c r="F1682">
        <v>1563</v>
      </c>
      <c r="G1682" t="s">
        <v>942</v>
      </c>
      <c r="I1682">
        <v>20007593</v>
      </c>
      <c r="J1682" t="s">
        <v>2990</v>
      </c>
      <c r="K1682">
        <v>800159</v>
      </c>
      <c r="L1682">
        <v>1</v>
      </c>
      <c r="M1682" t="s">
        <v>1589</v>
      </c>
      <c r="N1682" t="s">
        <v>207</v>
      </c>
      <c r="O1682">
        <v>1320000</v>
      </c>
    </row>
    <row r="1683" spans="1:15" x14ac:dyDescent="0.4">
      <c r="A1683" t="s">
        <v>281</v>
      </c>
      <c r="B1683">
        <v>70</v>
      </c>
      <c r="C1683" t="s">
        <v>2</v>
      </c>
      <c r="D1683">
        <v>41</v>
      </c>
      <c r="E1683" t="s">
        <v>306</v>
      </c>
      <c r="F1683">
        <v>1510</v>
      </c>
      <c r="G1683" t="s">
        <v>870</v>
      </c>
      <c r="I1683">
        <v>20007981</v>
      </c>
      <c r="J1683" t="s">
        <v>2991</v>
      </c>
      <c r="K1683">
        <v>800157</v>
      </c>
      <c r="L1683">
        <v>1</v>
      </c>
      <c r="M1683" t="s">
        <v>363</v>
      </c>
      <c r="N1683" t="s">
        <v>313</v>
      </c>
      <c r="O1683">
        <v>867200</v>
      </c>
    </row>
    <row r="1684" spans="1:15" x14ac:dyDescent="0.4">
      <c r="A1684" t="s">
        <v>311</v>
      </c>
      <c r="B1684">
        <v>70</v>
      </c>
      <c r="C1684" t="s">
        <v>2</v>
      </c>
      <c r="D1684">
        <v>41</v>
      </c>
      <c r="E1684" t="s">
        <v>306</v>
      </c>
      <c r="F1684">
        <v>1510</v>
      </c>
      <c r="G1684" t="s">
        <v>870</v>
      </c>
      <c r="I1684">
        <v>20007641</v>
      </c>
      <c r="J1684" t="s">
        <v>2992</v>
      </c>
      <c r="K1684">
        <v>800157</v>
      </c>
      <c r="L1684">
        <v>1</v>
      </c>
      <c r="M1684" t="s">
        <v>258</v>
      </c>
      <c r="N1684" t="s">
        <v>261</v>
      </c>
      <c r="O1684">
        <v>838400</v>
      </c>
    </row>
    <row r="1685" spans="1:15" x14ac:dyDescent="0.4">
      <c r="A1685" t="s">
        <v>311</v>
      </c>
      <c r="B1685">
        <v>76</v>
      </c>
      <c r="C1685" t="s">
        <v>6</v>
      </c>
      <c r="D1685">
        <v>61</v>
      </c>
      <c r="E1685" t="s">
        <v>703</v>
      </c>
      <c r="F1685">
        <v>1468</v>
      </c>
      <c r="G1685" t="s">
        <v>914</v>
      </c>
      <c r="I1685">
        <v>10021453</v>
      </c>
      <c r="J1685" t="s">
        <v>2993</v>
      </c>
      <c r="K1685">
        <v>800159</v>
      </c>
      <c r="L1685">
        <v>1</v>
      </c>
      <c r="M1685" t="s">
        <v>258</v>
      </c>
      <c r="N1685" t="s">
        <v>263</v>
      </c>
      <c r="O1685">
        <v>1379400</v>
      </c>
    </row>
    <row r="1686" spans="1:15" x14ac:dyDescent="0.4">
      <c r="A1686" t="s">
        <v>363</v>
      </c>
      <c r="B1686">
        <v>80</v>
      </c>
      <c r="C1686" t="s">
        <v>4</v>
      </c>
      <c r="D1686">
        <v>81</v>
      </c>
      <c r="E1686" t="s">
        <v>550</v>
      </c>
      <c r="F1686">
        <v>1436</v>
      </c>
      <c r="G1686" t="s">
        <v>918</v>
      </c>
      <c r="I1686">
        <v>10004576</v>
      </c>
      <c r="J1686" t="s">
        <v>2994</v>
      </c>
      <c r="K1686">
        <v>800157</v>
      </c>
      <c r="L1686">
        <v>1</v>
      </c>
      <c r="M1686" t="s">
        <v>376</v>
      </c>
      <c r="N1686" t="s">
        <v>260</v>
      </c>
      <c r="O1686">
        <v>482400</v>
      </c>
    </row>
    <row r="1687" spans="1:15" x14ac:dyDescent="0.4">
      <c r="A1687" t="s">
        <v>1487</v>
      </c>
      <c r="B1687">
        <v>50</v>
      </c>
      <c r="C1687" t="s">
        <v>1</v>
      </c>
      <c r="D1687">
        <v>11</v>
      </c>
      <c r="E1687" t="s">
        <v>192</v>
      </c>
      <c r="F1687">
        <v>1353</v>
      </c>
      <c r="G1687" t="s">
        <v>1017</v>
      </c>
      <c r="I1687">
        <v>10021091</v>
      </c>
      <c r="J1687" t="s">
        <v>2995</v>
      </c>
      <c r="K1687">
        <v>800159</v>
      </c>
      <c r="L1687">
        <v>1</v>
      </c>
      <c r="M1687" t="s">
        <v>1523</v>
      </c>
      <c r="N1687" t="s">
        <v>314</v>
      </c>
      <c r="O1687">
        <v>1325400</v>
      </c>
    </row>
    <row r="1688" spans="1:15" x14ac:dyDescent="0.4">
      <c r="A1688" t="s">
        <v>186</v>
      </c>
      <c r="B1688">
        <v>60</v>
      </c>
      <c r="C1688" t="s">
        <v>3</v>
      </c>
      <c r="D1688">
        <v>31</v>
      </c>
      <c r="E1688" t="s">
        <v>447</v>
      </c>
      <c r="F1688">
        <v>1299</v>
      </c>
      <c r="G1688" t="s">
        <v>947</v>
      </c>
      <c r="I1688">
        <v>10021540</v>
      </c>
      <c r="J1688" t="s">
        <v>2996</v>
      </c>
      <c r="K1688">
        <v>800159</v>
      </c>
      <c r="L1688">
        <v>1</v>
      </c>
      <c r="M1688" t="s">
        <v>238</v>
      </c>
      <c r="N1688" t="s">
        <v>239</v>
      </c>
      <c r="O1688">
        <v>1482000</v>
      </c>
    </row>
    <row r="1689" spans="1:15" x14ac:dyDescent="0.4">
      <c r="A1689" t="s">
        <v>185</v>
      </c>
      <c r="B1689">
        <v>76</v>
      </c>
      <c r="C1689" t="s">
        <v>6</v>
      </c>
      <c r="D1689">
        <v>61</v>
      </c>
      <c r="E1689" t="s">
        <v>703</v>
      </c>
      <c r="F1689">
        <v>1468</v>
      </c>
      <c r="G1689" t="s">
        <v>914</v>
      </c>
      <c r="I1689">
        <v>10074517</v>
      </c>
      <c r="J1689" t="s">
        <v>2997</v>
      </c>
      <c r="K1689">
        <v>800159</v>
      </c>
      <c r="L1689">
        <v>1</v>
      </c>
      <c r="M1689" t="s">
        <v>275</v>
      </c>
      <c r="N1689" t="s">
        <v>234</v>
      </c>
      <c r="O1689">
        <v>1341600</v>
      </c>
    </row>
    <row r="1690" spans="1:15" x14ac:dyDescent="0.4">
      <c r="A1690" t="s">
        <v>1479</v>
      </c>
      <c r="B1690">
        <v>80</v>
      </c>
      <c r="C1690" t="s">
        <v>4</v>
      </c>
      <c r="D1690">
        <v>81</v>
      </c>
      <c r="E1690" t="s">
        <v>550</v>
      </c>
      <c r="F1690">
        <v>1322</v>
      </c>
      <c r="G1690" t="s">
        <v>961</v>
      </c>
      <c r="I1690">
        <v>10008335</v>
      </c>
      <c r="J1690" t="s">
        <v>2998</v>
      </c>
      <c r="K1690">
        <v>800157</v>
      </c>
      <c r="L1690">
        <v>1</v>
      </c>
      <c r="M1690" t="s">
        <v>1487</v>
      </c>
      <c r="N1690" t="s">
        <v>243</v>
      </c>
      <c r="O1690">
        <v>844800</v>
      </c>
    </row>
    <row r="1691" spans="1:15" x14ac:dyDescent="0.4">
      <c r="A1691" t="s">
        <v>1469</v>
      </c>
      <c r="B1691">
        <v>76</v>
      </c>
      <c r="C1691" t="s">
        <v>6</v>
      </c>
      <c r="D1691">
        <v>61</v>
      </c>
      <c r="E1691" t="s">
        <v>703</v>
      </c>
      <c r="F1691">
        <v>1602</v>
      </c>
      <c r="G1691" t="s">
        <v>1013</v>
      </c>
      <c r="I1691">
        <v>20008409</v>
      </c>
      <c r="J1691" t="s">
        <v>2999</v>
      </c>
      <c r="K1691">
        <v>800157</v>
      </c>
      <c r="L1691">
        <v>1</v>
      </c>
      <c r="M1691" t="s">
        <v>1475</v>
      </c>
      <c r="N1691" t="s">
        <v>187</v>
      </c>
      <c r="O1691">
        <v>912000</v>
      </c>
    </row>
    <row r="1692" spans="1:15" x14ac:dyDescent="0.4">
      <c r="A1692" t="s">
        <v>1548</v>
      </c>
      <c r="B1692">
        <v>70</v>
      </c>
      <c r="C1692" t="s">
        <v>2</v>
      </c>
      <c r="D1692">
        <v>41</v>
      </c>
      <c r="E1692" t="s">
        <v>306</v>
      </c>
      <c r="F1692">
        <v>1118</v>
      </c>
      <c r="G1692" t="s">
        <v>1471</v>
      </c>
      <c r="I1692">
        <v>20006156</v>
      </c>
      <c r="J1692" t="s">
        <v>3000</v>
      </c>
      <c r="K1692">
        <v>800157</v>
      </c>
      <c r="L1692">
        <v>1</v>
      </c>
      <c r="M1692" t="s">
        <v>1586</v>
      </c>
      <c r="N1692" t="s">
        <v>222</v>
      </c>
      <c r="O1692">
        <v>787200</v>
      </c>
    </row>
    <row r="1693" spans="1:15" x14ac:dyDescent="0.4">
      <c r="A1693" t="s">
        <v>196</v>
      </c>
      <c r="B1693">
        <v>80</v>
      </c>
      <c r="C1693" t="s">
        <v>4</v>
      </c>
      <c r="D1693">
        <v>81</v>
      </c>
      <c r="E1693" t="s">
        <v>550</v>
      </c>
      <c r="F1693">
        <v>1378</v>
      </c>
      <c r="G1693" t="s">
        <v>881</v>
      </c>
      <c r="I1693">
        <v>20008997</v>
      </c>
      <c r="J1693" t="s">
        <v>3001</v>
      </c>
      <c r="K1693">
        <v>800157</v>
      </c>
      <c r="L1693">
        <v>1</v>
      </c>
      <c r="M1693" t="s">
        <v>186</v>
      </c>
      <c r="N1693" t="s">
        <v>199</v>
      </c>
      <c r="O1693">
        <v>784000</v>
      </c>
    </row>
    <row r="1694" spans="1:15" x14ac:dyDescent="0.4">
      <c r="A1694" t="s">
        <v>1475</v>
      </c>
      <c r="B1694">
        <v>76</v>
      </c>
      <c r="C1694" t="s">
        <v>6</v>
      </c>
      <c r="D1694">
        <v>61</v>
      </c>
      <c r="E1694" t="s">
        <v>703</v>
      </c>
      <c r="F1694">
        <v>1602</v>
      </c>
      <c r="G1694" t="s">
        <v>1013</v>
      </c>
      <c r="I1694">
        <v>10057927</v>
      </c>
      <c r="J1694" t="s">
        <v>3002</v>
      </c>
      <c r="K1694">
        <v>800157</v>
      </c>
      <c r="L1694">
        <v>1</v>
      </c>
      <c r="M1694" t="s">
        <v>1479</v>
      </c>
      <c r="N1694" t="s">
        <v>231</v>
      </c>
      <c r="O1694">
        <v>1023000</v>
      </c>
    </row>
    <row r="1695" spans="1:15" x14ac:dyDescent="0.4">
      <c r="A1695" t="s">
        <v>1589</v>
      </c>
      <c r="B1695">
        <v>80</v>
      </c>
      <c r="C1695" t="s">
        <v>4</v>
      </c>
      <c r="D1695">
        <v>81</v>
      </c>
      <c r="E1695" t="s">
        <v>550</v>
      </c>
      <c r="F1695">
        <v>1378</v>
      </c>
      <c r="G1695" t="s">
        <v>881</v>
      </c>
      <c r="I1695">
        <v>20008529</v>
      </c>
      <c r="J1695" t="s">
        <v>3003</v>
      </c>
      <c r="K1695">
        <v>800159</v>
      </c>
      <c r="L1695">
        <v>1</v>
      </c>
      <c r="M1695" t="s">
        <v>1594</v>
      </c>
      <c r="N1695" t="s">
        <v>294</v>
      </c>
      <c r="O1695">
        <v>1320000</v>
      </c>
    </row>
    <row r="1696" spans="1:15" x14ac:dyDescent="0.4">
      <c r="A1696" t="s">
        <v>311</v>
      </c>
      <c r="B1696">
        <v>80</v>
      </c>
      <c r="C1696" t="s">
        <v>4</v>
      </c>
      <c r="D1696">
        <v>81</v>
      </c>
      <c r="E1696" t="s">
        <v>550</v>
      </c>
      <c r="F1696">
        <v>1154</v>
      </c>
      <c r="G1696" t="s">
        <v>1044</v>
      </c>
      <c r="I1696">
        <v>10011391</v>
      </c>
      <c r="J1696" t="s">
        <v>3004</v>
      </c>
      <c r="K1696">
        <v>800159</v>
      </c>
      <c r="L1696">
        <v>1</v>
      </c>
      <c r="M1696" t="s">
        <v>258</v>
      </c>
      <c r="N1696" t="s">
        <v>263</v>
      </c>
      <c r="O1696">
        <v>1433400</v>
      </c>
    </row>
    <row r="1697" spans="1:15" x14ac:dyDescent="0.4">
      <c r="A1697" t="s">
        <v>185</v>
      </c>
      <c r="B1697">
        <v>70</v>
      </c>
      <c r="C1697" t="s">
        <v>2</v>
      </c>
      <c r="D1697">
        <v>41</v>
      </c>
      <c r="E1697" t="s">
        <v>306</v>
      </c>
      <c r="F1697">
        <v>1561</v>
      </c>
      <c r="G1697" t="s">
        <v>1070</v>
      </c>
      <c r="I1697">
        <v>10067490</v>
      </c>
      <c r="J1697" t="s">
        <v>3005</v>
      </c>
      <c r="K1697">
        <v>800157</v>
      </c>
      <c r="L1697">
        <v>1</v>
      </c>
      <c r="M1697" t="s">
        <v>275</v>
      </c>
      <c r="N1697" t="s">
        <v>232</v>
      </c>
      <c r="O1697">
        <v>784000</v>
      </c>
    </row>
    <row r="1698" spans="1:15" x14ac:dyDescent="0.4">
      <c r="A1698" t="s">
        <v>196</v>
      </c>
      <c r="B1698">
        <v>60</v>
      </c>
      <c r="C1698" t="s">
        <v>3</v>
      </c>
      <c r="D1698">
        <v>33</v>
      </c>
      <c r="E1698" t="s">
        <v>451</v>
      </c>
      <c r="F1698">
        <v>1505</v>
      </c>
      <c r="G1698" t="s">
        <v>900</v>
      </c>
      <c r="I1698">
        <v>20009000</v>
      </c>
      <c r="J1698" t="s">
        <v>3006</v>
      </c>
      <c r="K1698">
        <v>800157</v>
      </c>
      <c r="L1698">
        <v>1</v>
      </c>
      <c r="M1698" t="s">
        <v>186</v>
      </c>
      <c r="N1698" t="s">
        <v>199</v>
      </c>
      <c r="O1698">
        <v>819200</v>
      </c>
    </row>
    <row r="1699" spans="1:15" x14ac:dyDescent="0.4">
      <c r="A1699" t="s">
        <v>1523</v>
      </c>
      <c r="B1699">
        <v>60</v>
      </c>
      <c r="C1699" t="s">
        <v>3</v>
      </c>
      <c r="D1699">
        <v>31</v>
      </c>
      <c r="E1699" t="s">
        <v>447</v>
      </c>
      <c r="F1699">
        <v>1299</v>
      </c>
      <c r="G1699" t="s">
        <v>947</v>
      </c>
      <c r="I1699">
        <v>20009450</v>
      </c>
      <c r="J1699" t="s">
        <v>2973</v>
      </c>
      <c r="K1699">
        <v>800159</v>
      </c>
      <c r="L1699">
        <v>1</v>
      </c>
      <c r="M1699" t="s">
        <v>1587</v>
      </c>
      <c r="N1699" t="s">
        <v>261</v>
      </c>
      <c r="O1699">
        <v>1416000</v>
      </c>
    </row>
    <row r="1700" spans="1:15" x14ac:dyDescent="0.4">
      <c r="A1700" t="s">
        <v>281</v>
      </c>
      <c r="B1700">
        <v>80</v>
      </c>
      <c r="C1700" t="s">
        <v>4</v>
      </c>
      <c r="D1700">
        <v>81</v>
      </c>
      <c r="E1700" t="s">
        <v>550</v>
      </c>
      <c r="F1700">
        <v>1378</v>
      </c>
      <c r="G1700" t="s">
        <v>881</v>
      </c>
      <c r="I1700">
        <v>20009358</v>
      </c>
      <c r="J1700" t="s">
        <v>3007</v>
      </c>
      <c r="K1700">
        <v>800159</v>
      </c>
      <c r="L1700">
        <v>1</v>
      </c>
      <c r="M1700" t="s">
        <v>363</v>
      </c>
      <c r="N1700" t="s">
        <v>315</v>
      </c>
      <c r="O1700">
        <v>1390200</v>
      </c>
    </row>
    <row r="1701" spans="1:15" x14ac:dyDescent="0.4">
      <c r="A1701" t="s">
        <v>1475</v>
      </c>
      <c r="B1701">
        <v>50</v>
      </c>
      <c r="C1701" t="s">
        <v>1</v>
      </c>
      <c r="D1701">
        <v>21</v>
      </c>
      <c r="E1701" t="s">
        <v>182</v>
      </c>
      <c r="F1701">
        <v>1264</v>
      </c>
      <c r="G1701" t="s">
        <v>1023</v>
      </c>
      <c r="I1701">
        <v>10061649</v>
      </c>
      <c r="J1701" t="s">
        <v>3008</v>
      </c>
      <c r="K1701">
        <v>800157</v>
      </c>
      <c r="L1701">
        <v>1</v>
      </c>
      <c r="M1701" t="s">
        <v>1479</v>
      </c>
      <c r="N1701" t="s">
        <v>231</v>
      </c>
      <c r="O1701">
        <v>784000</v>
      </c>
    </row>
    <row r="1702" spans="1:15" x14ac:dyDescent="0.4">
      <c r="A1702" t="s">
        <v>1594</v>
      </c>
      <c r="B1702">
        <v>80</v>
      </c>
      <c r="C1702" t="s">
        <v>4</v>
      </c>
      <c r="D1702">
        <v>71</v>
      </c>
      <c r="E1702" t="s">
        <v>556</v>
      </c>
      <c r="F1702">
        <v>1296</v>
      </c>
      <c r="G1702" t="s">
        <v>964</v>
      </c>
      <c r="I1702">
        <v>10062076</v>
      </c>
      <c r="J1702" t="s">
        <v>3009</v>
      </c>
      <c r="K1702">
        <v>800159</v>
      </c>
      <c r="L1702">
        <v>1</v>
      </c>
      <c r="M1702" t="s">
        <v>1596</v>
      </c>
      <c r="N1702" t="s">
        <v>254</v>
      </c>
      <c r="O1702">
        <v>1320000</v>
      </c>
    </row>
    <row r="1703" spans="1:15" x14ac:dyDescent="0.4">
      <c r="A1703" t="s">
        <v>275</v>
      </c>
      <c r="B1703">
        <v>70</v>
      </c>
      <c r="C1703" t="s">
        <v>2</v>
      </c>
      <c r="D1703">
        <v>41</v>
      </c>
      <c r="E1703" t="s">
        <v>306</v>
      </c>
      <c r="F1703">
        <v>1552</v>
      </c>
      <c r="G1703" t="s">
        <v>929</v>
      </c>
      <c r="I1703">
        <v>20008734</v>
      </c>
      <c r="J1703" t="s">
        <v>3010</v>
      </c>
      <c r="K1703">
        <v>800157</v>
      </c>
      <c r="L1703">
        <v>1</v>
      </c>
      <c r="M1703" t="s">
        <v>281</v>
      </c>
      <c r="N1703" t="s">
        <v>244</v>
      </c>
      <c r="O1703">
        <v>944000</v>
      </c>
    </row>
    <row r="1704" spans="1:15" x14ac:dyDescent="0.4">
      <c r="A1704" t="s">
        <v>1596</v>
      </c>
      <c r="B1704">
        <v>76</v>
      </c>
      <c r="C1704" t="s">
        <v>6</v>
      </c>
      <c r="D1704">
        <v>61</v>
      </c>
      <c r="E1704" t="s">
        <v>703</v>
      </c>
      <c r="F1704">
        <v>1475</v>
      </c>
      <c r="G1704" t="s">
        <v>909</v>
      </c>
      <c r="I1704">
        <v>10054132</v>
      </c>
      <c r="J1704" t="s">
        <v>3011</v>
      </c>
      <c r="K1704">
        <v>800159</v>
      </c>
      <c r="L1704">
        <v>1</v>
      </c>
      <c r="M1704" t="s">
        <v>268</v>
      </c>
      <c r="N1704" t="s">
        <v>214</v>
      </c>
      <c r="O1704">
        <v>1449600</v>
      </c>
    </row>
    <row r="1705" spans="1:15" x14ac:dyDescent="0.4">
      <c r="A1705" t="s">
        <v>311</v>
      </c>
      <c r="B1705">
        <v>76</v>
      </c>
      <c r="C1705" t="s">
        <v>6</v>
      </c>
      <c r="D1705">
        <v>61</v>
      </c>
      <c r="E1705" t="s">
        <v>703</v>
      </c>
      <c r="F1705">
        <v>1563</v>
      </c>
      <c r="G1705" t="s">
        <v>942</v>
      </c>
      <c r="I1705">
        <v>20004973</v>
      </c>
      <c r="J1705" t="s">
        <v>3012</v>
      </c>
      <c r="K1705">
        <v>800159</v>
      </c>
      <c r="L1705">
        <v>1</v>
      </c>
      <c r="M1705" t="s">
        <v>258</v>
      </c>
      <c r="N1705" t="s">
        <v>263</v>
      </c>
      <c r="O1705">
        <v>1519800</v>
      </c>
    </row>
    <row r="1706" spans="1:15" x14ac:dyDescent="0.4">
      <c r="A1706" t="s">
        <v>230</v>
      </c>
      <c r="B1706">
        <v>75</v>
      </c>
      <c r="C1706" t="s">
        <v>5</v>
      </c>
      <c r="D1706">
        <v>51</v>
      </c>
      <c r="E1706" t="s">
        <v>657</v>
      </c>
      <c r="F1706">
        <v>1415</v>
      </c>
      <c r="G1706" t="s">
        <v>1038</v>
      </c>
      <c r="I1706">
        <v>10035370</v>
      </c>
      <c r="J1706" t="s">
        <v>3013</v>
      </c>
      <c r="K1706">
        <v>800159</v>
      </c>
      <c r="L1706">
        <v>1</v>
      </c>
      <c r="M1706" t="s">
        <v>242</v>
      </c>
      <c r="N1706" t="s">
        <v>247</v>
      </c>
      <c r="O1706">
        <v>1449600</v>
      </c>
    </row>
    <row r="1707" spans="1:15" x14ac:dyDescent="0.4">
      <c r="A1707" t="s">
        <v>281</v>
      </c>
      <c r="B1707">
        <v>80</v>
      </c>
      <c r="C1707" t="s">
        <v>4</v>
      </c>
      <c r="D1707">
        <v>81</v>
      </c>
      <c r="E1707" t="s">
        <v>550</v>
      </c>
      <c r="F1707">
        <v>1322</v>
      </c>
      <c r="G1707" t="s">
        <v>961</v>
      </c>
      <c r="I1707">
        <v>20005142</v>
      </c>
      <c r="J1707" t="s">
        <v>3014</v>
      </c>
      <c r="K1707">
        <v>800159</v>
      </c>
      <c r="L1707">
        <v>1</v>
      </c>
      <c r="M1707" t="s">
        <v>363</v>
      </c>
      <c r="N1707" t="s">
        <v>315</v>
      </c>
      <c r="O1707">
        <v>1320000</v>
      </c>
    </row>
    <row r="1708" spans="1:15" x14ac:dyDescent="0.4">
      <c r="A1708" t="s">
        <v>1548</v>
      </c>
      <c r="B1708">
        <v>76</v>
      </c>
      <c r="C1708" t="s">
        <v>6</v>
      </c>
      <c r="D1708">
        <v>61</v>
      </c>
      <c r="E1708" t="s">
        <v>703</v>
      </c>
      <c r="F1708">
        <v>1602</v>
      </c>
      <c r="G1708" t="s">
        <v>1013</v>
      </c>
      <c r="I1708">
        <v>20006140</v>
      </c>
      <c r="J1708" t="s">
        <v>3015</v>
      </c>
      <c r="K1708">
        <v>800157</v>
      </c>
      <c r="L1708">
        <v>1</v>
      </c>
      <c r="M1708" t="s">
        <v>1586</v>
      </c>
      <c r="N1708" t="s">
        <v>222</v>
      </c>
      <c r="O1708">
        <v>816000</v>
      </c>
    </row>
    <row r="1709" spans="1:15" x14ac:dyDescent="0.4">
      <c r="A1709" t="s">
        <v>250</v>
      </c>
      <c r="B1709">
        <v>76</v>
      </c>
      <c r="C1709" t="s">
        <v>6</v>
      </c>
      <c r="D1709">
        <v>61</v>
      </c>
      <c r="E1709" t="s">
        <v>703</v>
      </c>
      <c r="F1709">
        <v>1563</v>
      </c>
      <c r="G1709" t="s">
        <v>942</v>
      </c>
      <c r="I1709">
        <v>10064389</v>
      </c>
      <c r="J1709" t="s">
        <v>3016</v>
      </c>
      <c r="K1709">
        <v>800159</v>
      </c>
      <c r="L1709">
        <v>1</v>
      </c>
      <c r="M1709" t="s">
        <v>196</v>
      </c>
      <c r="N1709" t="s">
        <v>215</v>
      </c>
      <c r="O1709">
        <v>1368600</v>
      </c>
    </row>
    <row r="1710" spans="1:15" x14ac:dyDescent="0.4">
      <c r="A1710" t="s">
        <v>1594</v>
      </c>
      <c r="B1710">
        <v>80</v>
      </c>
      <c r="C1710" t="s">
        <v>4</v>
      </c>
      <c r="D1710">
        <v>81</v>
      </c>
      <c r="E1710" t="s">
        <v>550</v>
      </c>
      <c r="F1710">
        <v>1154</v>
      </c>
      <c r="G1710" t="s">
        <v>1044</v>
      </c>
      <c r="I1710">
        <v>20009132</v>
      </c>
      <c r="J1710" t="s">
        <v>3017</v>
      </c>
      <c r="K1710">
        <v>800159</v>
      </c>
      <c r="L1710">
        <v>1</v>
      </c>
      <c r="M1710" t="s">
        <v>1596</v>
      </c>
      <c r="N1710" t="s">
        <v>254</v>
      </c>
      <c r="O1710">
        <v>1347000</v>
      </c>
    </row>
    <row r="1711" spans="1:15" x14ac:dyDescent="0.4">
      <c r="A1711" t="s">
        <v>268</v>
      </c>
      <c r="B1711">
        <v>60</v>
      </c>
      <c r="C1711" t="s">
        <v>3</v>
      </c>
      <c r="D1711">
        <v>31</v>
      </c>
      <c r="E1711" t="s">
        <v>447</v>
      </c>
      <c r="F1711">
        <v>1543</v>
      </c>
      <c r="G1711" t="s">
        <v>1183</v>
      </c>
      <c r="I1711">
        <v>20007693</v>
      </c>
      <c r="J1711" t="s">
        <v>3018</v>
      </c>
      <c r="K1711">
        <v>800157</v>
      </c>
      <c r="L1711">
        <v>1</v>
      </c>
      <c r="M1711" t="s">
        <v>195</v>
      </c>
      <c r="N1711" t="s">
        <v>198</v>
      </c>
      <c r="O1711">
        <v>860800</v>
      </c>
    </row>
    <row r="1712" spans="1:15" x14ac:dyDescent="0.4">
      <c r="A1712" t="s">
        <v>1589</v>
      </c>
      <c r="B1712">
        <v>60</v>
      </c>
      <c r="C1712" t="s">
        <v>3</v>
      </c>
      <c r="D1712">
        <v>31</v>
      </c>
      <c r="E1712" t="s">
        <v>447</v>
      </c>
      <c r="F1712">
        <v>1116</v>
      </c>
      <c r="G1712" t="s">
        <v>1075</v>
      </c>
      <c r="I1712">
        <v>20009515</v>
      </c>
      <c r="J1712" t="s">
        <v>3019</v>
      </c>
      <c r="K1712">
        <v>800157</v>
      </c>
      <c r="L1712">
        <v>1</v>
      </c>
      <c r="M1712" t="s">
        <v>1594</v>
      </c>
      <c r="N1712" t="s">
        <v>292</v>
      </c>
      <c r="O1712">
        <v>844800</v>
      </c>
    </row>
    <row r="1713" spans="1:15" x14ac:dyDescent="0.4">
      <c r="A1713" t="s">
        <v>203</v>
      </c>
      <c r="B1713">
        <v>80</v>
      </c>
      <c r="C1713" t="s">
        <v>4</v>
      </c>
      <c r="D1713">
        <v>81</v>
      </c>
      <c r="E1713" t="s">
        <v>550</v>
      </c>
      <c r="F1713">
        <v>1322</v>
      </c>
      <c r="G1713" t="s">
        <v>961</v>
      </c>
      <c r="I1713">
        <v>20009103</v>
      </c>
      <c r="J1713" t="s">
        <v>3020</v>
      </c>
      <c r="K1713">
        <v>800159</v>
      </c>
      <c r="L1713">
        <v>1</v>
      </c>
      <c r="M1713" t="s">
        <v>290</v>
      </c>
      <c r="N1713" t="s">
        <v>295</v>
      </c>
      <c r="O1713">
        <v>1476600</v>
      </c>
    </row>
    <row r="1714" spans="1:15" x14ac:dyDescent="0.4">
      <c r="A1714" t="s">
        <v>1587</v>
      </c>
      <c r="B1714">
        <v>80</v>
      </c>
      <c r="C1714" t="s">
        <v>4</v>
      </c>
      <c r="D1714">
        <v>71</v>
      </c>
      <c r="E1714" t="s">
        <v>556</v>
      </c>
      <c r="F1714">
        <v>1296</v>
      </c>
      <c r="G1714" t="s">
        <v>964</v>
      </c>
      <c r="I1714">
        <v>10061721</v>
      </c>
      <c r="J1714" t="s">
        <v>3021</v>
      </c>
      <c r="K1714">
        <v>800159</v>
      </c>
      <c r="L1714">
        <v>1</v>
      </c>
      <c r="M1714" t="s">
        <v>1548</v>
      </c>
      <c r="N1714" t="s">
        <v>329</v>
      </c>
      <c r="O1714">
        <v>1390200</v>
      </c>
    </row>
    <row r="1715" spans="1:15" x14ac:dyDescent="0.4">
      <c r="A1715" t="s">
        <v>1475</v>
      </c>
      <c r="B1715">
        <v>50</v>
      </c>
      <c r="C1715" t="s">
        <v>1</v>
      </c>
      <c r="D1715">
        <v>21</v>
      </c>
      <c r="E1715" t="s">
        <v>182</v>
      </c>
      <c r="F1715">
        <v>1345</v>
      </c>
      <c r="G1715" t="s">
        <v>874</v>
      </c>
      <c r="I1715">
        <v>10007503</v>
      </c>
      <c r="J1715" t="s">
        <v>3022</v>
      </c>
      <c r="K1715">
        <v>800157</v>
      </c>
      <c r="L1715">
        <v>1</v>
      </c>
      <c r="M1715" t="s">
        <v>1479</v>
      </c>
      <c r="N1715" t="s">
        <v>231</v>
      </c>
      <c r="O1715">
        <v>790400</v>
      </c>
    </row>
    <row r="1716" spans="1:15" x14ac:dyDescent="0.4">
      <c r="A1716" t="s">
        <v>1586</v>
      </c>
      <c r="B1716">
        <v>60</v>
      </c>
      <c r="C1716" t="s">
        <v>3</v>
      </c>
      <c r="D1716">
        <v>31</v>
      </c>
      <c r="E1716" t="s">
        <v>447</v>
      </c>
      <c r="F1716">
        <v>1543</v>
      </c>
      <c r="G1716" t="s">
        <v>1183</v>
      </c>
      <c r="I1716">
        <v>20008715</v>
      </c>
      <c r="J1716" t="s">
        <v>3023</v>
      </c>
      <c r="K1716">
        <v>800159</v>
      </c>
      <c r="L1716">
        <v>1</v>
      </c>
      <c r="M1716" t="s">
        <v>1589</v>
      </c>
      <c r="N1716" t="s">
        <v>207</v>
      </c>
      <c r="O1716">
        <v>1514400</v>
      </c>
    </row>
    <row r="1717" spans="1:15" x14ac:dyDescent="0.4">
      <c r="A1717" t="s">
        <v>376</v>
      </c>
      <c r="B1717">
        <v>76</v>
      </c>
      <c r="C1717" t="s">
        <v>6</v>
      </c>
      <c r="D1717">
        <v>61</v>
      </c>
      <c r="E1717" t="s">
        <v>703</v>
      </c>
      <c r="F1717">
        <v>1389</v>
      </c>
      <c r="G1717" t="s">
        <v>1197</v>
      </c>
      <c r="I1717">
        <v>20006245</v>
      </c>
      <c r="J1717" t="s">
        <v>3024</v>
      </c>
      <c r="K1717">
        <v>800159</v>
      </c>
      <c r="L1717">
        <v>1</v>
      </c>
      <c r="M1717" t="s">
        <v>353</v>
      </c>
      <c r="N1717" t="s">
        <v>330</v>
      </c>
      <c r="O1717">
        <v>1482000</v>
      </c>
    </row>
    <row r="1718" spans="1:15" x14ac:dyDescent="0.4">
      <c r="A1718" t="s">
        <v>363</v>
      </c>
      <c r="B1718">
        <v>60</v>
      </c>
      <c r="C1718" t="s">
        <v>3</v>
      </c>
      <c r="D1718">
        <v>31</v>
      </c>
      <c r="E1718" t="s">
        <v>447</v>
      </c>
      <c r="F1718">
        <v>1116</v>
      </c>
      <c r="G1718" t="s">
        <v>1075</v>
      </c>
      <c r="I1718">
        <v>10038820</v>
      </c>
      <c r="J1718" t="s">
        <v>3025</v>
      </c>
      <c r="K1718">
        <v>800159</v>
      </c>
      <c r="L1718">
        <v>1</v>
      </c>
      <c r="M1718" t="s">
        <v>376</v>
      </c>
      <c r="N1718" t="s">
        <v>262</v>
      </c>
      <c r="O1718">
        <v>1336200</v>
      </c>
    </row>
    <row r="1719" spans="1:15" x14ac:dyDescent="0.4">
      <c r="A1719" t="s">
        <v>268</v>
      </c>
      <c r="B1719">
        <v>60</v>
      </c>
      <c r="C1719" t="s">
        <v>3</v>
      </c>
      <c r="D1719">
        <v>33</v>
      </c>
      <c r="E1719" t="s">
        <v>451</v>
      </c>
      <c r="F1719">
        <v>1273</v>
      </c>
      <c r="G1719" t="s">
        <v>1084</v>
      </c>
      <c r="I1719">
        <v>10015266</v>
      </c>
      <c r="J1719" t="s">
        <v>3026</v>
      </c>
      <c r="K1719">
        <v>800159</v>
      </c>
      <c r="L1719">
        <v>1</v>
      </c>
      <c r="M1719" t="s">
        <v>195</v>
      </c>
      <c r="N1719" t="s">
        <v>200</v>
      </c>
      <c r="O1719">
        <v>1326000</v>
      </c>
    </row>
    <row r="1720" spans="1:15" x14ac:dyDescent="0.4">
      <c r="A1720" t="s">
        <v>268</v>
      </c>
      <c r="B1720">
        <v>70</v>
      </c>
      <c r="C1720" t="s">
        <v>2</v>
      </c>
      <c r="D1720">
        <v>41</v>
      </c>
      <c r="E1720" t="s">
        <v>306</v>
      </c>
      <c r="F1720">
        <v>1552</v>
      </c>
      <c r="G1720" t="s">
        <v>929</v>
      </c>
      <c r="I1720">
        <v>20005123</v>
      </c>
      <c r="J1720" t="s">
        <v>209</v>
      </c>
      <c r="K1720">
        <v>800155</v>
      </c>
      <c r="L1720">
        <v>1</v>
      </c>
      <c r="M1720" t="s">
        <v>195</v>
      </c>
      <c r="N1720" t="s">
        <v>196</v>
      </c>
      <c r="O1720">
        <v>188400</v>
      </c>
    </row>
    <row r="1721" spans="1:15" x14ac:dyDescent="0.4">
      <c r="A1721" t="s">
        <v>196</v>
      </c>
      <c r="B1721">
        <v>70</v>
      </c>
      <c r="C1721" t="s">
        <v>2</v>
      </c>
      <c r="D1721">
        <v>41</v>
      </c>
      <c r="E1721" t="s">
        <v>306</v>
      </c>
      <c r="F1721">
        <v>1552</v>
      </c>
      <c r="G1721" t="s">
        <v>929</v>
      </c>
      <c r="I1721">
        <v>20005123</v>
      </c>
      <c r="J1721" t="s">
        <v>209</v>
      </c>
      <c r="K1721">
        <v>800155</v>
      </c>
      <c r="L1721">
        <v>1</v>
      </c>
      <c r="M1721" t="s">
        <v>186</v>
      </c>
      <c r="N1721" t="s">
        <v>197</v>
      </c>
      <c r="O1721">
        <v>188400</v>
      </c>
    </row>
    <row r="1722" spans="1:15" x14ac:dyDescent="0.4">
      <c r="A1722" t="s">
        <v>376</v>
      </c>
      <c r="B1722">
        <v>75</v>
      </c>
      <c r="C1722" t="s">
        <v>5</v>
      </c>
      <c r="D1722">
        <v>51</v>
      </c>
      <c r="E1722" t="s">
        <v>657</v>
      </c>
      <c r="F1722">
        <v>1415</v>
      </c>
      <c r="G1722" t="s">
        <v>1038</v>
      </c>
      <c r="I1722">
        <v>20009699</v>
      </c>
      <c r="J1722" t="s">
        <v>3027</v>
      </c>
      <c r="K1722">
        <v>800157</v>
      </c>
      <c r="L1722">
        <v>1</v>
      </c>
      <c r="M1722" t="s">
        <v>353</v>
      </c>
      <c r="N1722" t="s">
        <v>328</v>
      </c>
      <c r="O1722">
        <v>857600</v>
      </c>
    </row>
    <row r="1723" spans="1:15" x14ac:dyDescent="0.4">
      <c r="A1723" t="s">
        <v>238</v>
      </c>
      <c r="B1723">
        <v>80</v>
      </c>
      <c r="C1723" t="s">
        <v>4</v>
      </c>
      <c r="D1723">
        <v>71</v>
      </c>
      <c r="E1723" t="s">
        <v>556</v>
      </c>
      <c r="F1723">
        <v>1296</v>
      </c>
      <c r="G1723" t="s">
        <v>964</v>
      </c>
      <c r="I1723">
        <v>10046244</v>
      </c>
      <c r="J1723" t="s">
        <v>2256</v>
      </c>
      <c r="K1723">
        <v>800159</v>
      </c>
      <c r="L1723">
        <v>1</v>
      </c>
      <c r="M1723" t="s">
        <v>230</v>
      </c>
      <c r="N1723" t="s">
        <v>235</v>
      </c>
      <c r="O1723">
        <v>1325400</v>
      </c>
    </row>
    <row r="1724" spans="1:15" x14ac:dyDescent="0.4">
      <c r="A1724" t="s">
        <v>1523</v>
      </c>
      <c r="B1724">
        <v>75</v>
      </c>
      <c r="C1724" t="s">
        <v>5</v>
      </c>
      <c r="D1724">
        <v>52</v>
      </c>
      <c r="E1724" t="s">
        <v>665</v>
      </c>
      <c r="F1724">
        <v>1403</v>
      </c>
      <c r="G1724" t="s">
        <v>925</v>
      </c>
      <c r="I1724">
        <v>20005248</v>
      </c>
      <c r="J1724" t="s">
        <v>3028</v>
      </c>
      <c r="K1724">
        <v>800157</v>
      </c>
      <c r="L1724">
        <v>1</v>
      </c>
      <c r="M1724" t="s">
        <v>1587</v>
      </c>
      <c r="N1724" t="s">
        <v>259</v>
      </c>
      <c r="O1724">
        <v>756000</v>
      </c>
    </row>
    <row r="1725" spans="1:15" x14ac:dyDescent="0.4">
      <c r="A1725" t="s">
        <v>275</v>
      </c>
      <c r="B1725">
        <v>70</v>
      </c>
      <c r="C1725" t="s">
        <v>2</v>
      </c>
      <c r="D1725">
        <v>41</v>
      </c>
      <c r="E1725" t="s">
        <v>306</v>
      </c>
      <c r="F1725">
        <v>1561</v>
      </c>
      <c r="G1725" t="s">
        <v>1070</v>
      </c>
      <c r="I1725">
        <v>10051566</v>
      </c>
      <c r="J1725" t="s">
        <v>3029</v>
      </c>
      <c r="K1725">
        <v>800159</v>
      </c>
      <c r="L1725">
        <v>1</v>
      </c>
      <c r="M1725" t="s">
        <v>281</v>
      </c>
      <c r="N1725" t="s">
        <v>246</v>
      </c>
      <c r="O1725">
        <v>1320000</v>
      </c>
    </row>
    <row r="1726" spans="1:15" x14ac:dyDescent="0.4">
      <c r="A1726" t="s">
        <v>1548</v>
      </c>
      <c r="B1726">
        <v>60</v>
      </c>
      <c r="C1726" t="s">
        <v>3</v>
      </c>
      <c r="D1726">
        <v>31</v>
      </c>
      <c r="E1726" t="s">
        <v>447</v>
      </c>
      <c r="F1726">
        <v>1367</v>
      </c>
      <c r="G1726" t="s">
        <v>977</v>
      </c>
      <c r="I1726">
        <v>10038262</v>
      </c>
      <c r="J1726" t="s">
        <v>3030</v>
      </c>
      <c r="K1726">
        <v>800159</v>
      </c>
      <c r="L1726">
        <v>1</v>
      </c>
      <c r="M1726" t="s">
        <v>1586</v>
      </c>
      <c r="N1726" t="s">
        <v>224</v>
      </c>
      <c r="O1726">
        <v>1597200</v>
      </c>
    </row>
    <row r="1727" spans="1:15" x14ac:dyDescent="0.4">
      <c r="A1727" t="s">
        <v>185</v>
      </c>
      <c r="B1727">
        <v>60</v>
      </c>
      <c r="C1727" t="s">
        <v>3</v>
      </c>
      <c r="D1727">
        <v>33</v>
      </c>
      <c r="E1727" t="s">
        <v>451</v>
      </c>
      <c r="F1727">
        <v>1220</v>
      </c>
      <c r="G1727" t="s">
        <v>1343</v>
      </c>
      <c r="I1727">
        <v>10026999</v>
      </c>
      <c r="J1727" t="s">
        <v>2527</v>
      </c>
      <c r="K1727">
        <v>800159</v>
      </c>
      <c r="L1727">
        <v>1</v>
      </c>
      <c r="M1727" t="s">
        <v>275</v>
      </c>
      <c r="N1727" t="s">
        <v>234</v>
      </c>
      <c r="O1727">
        <v>1026000</v>
      </c>
    </row>
    <row r="1728" spans="1:15" x14ac:dyDescent="0.4">
      <c r="A1728" t="s">
        <v>230</v>
      </c>
      <c r="B1728">
        <v>76</v>
      </c>
      <c r="C1728" t="s">
        <v>6</v>
      </c>
      <c r="D1728">
        <v>61</v>
      </c>
      <c r="E1728" t="s">
        <v>703</v>
      </c>
      <c r="F1728">
        <v>1475</v>
      </c>
      <c r="G1728" t="s">
        <v>909</v>
      </c>
      <c r="I1728">
        <v>10024233</v>
      </c>
      <c r="J1728" t="s">
        <v>3031</v>
      </c>
      <c r="K1728">
        <v>800159</v>
      </c>
      <c r="L1728">
        <v>1</v>
      </c>
      <c r="M1728" t="s">
        <v>242</v>
      </c>
      <c r="N1728" t="s">
        <v>247</v>
      </c>
      <c r="O1728">
        <v>1623200</v>
      </c>
    </row>
    <row r="1729" spans="1:15" x14ac:dyDescent="0.4">
      <c r="A1729" t="s">
        <v>1586</v>
      </c>
      <c r="B1729">
        <v>50</v>
      </c>
      <c r="C1729" t="s">
        <v>1</v>
      </c>
      <c r="D1729">
        <v>11</v>
      </c>
      <c r="E1729" t="s">
        <v>192</v>
      </c>
      <c r="F1729">
        <v>1085</v>
      </c>
      <c r="G1729" t="s">
        <v>854</v>
      </c>
      <c r="I1729">
        <v>10019462</v>
      </c>
      <c r="J1729" t="s">
        <v>3032</v>
      </c>
      <c r="K1729">
        <v>800157</v>
      </c>
      <c r="L1729">
        <v>1</v>
      </c>
      <c r="M1729" t="s">
        <v>1589</v>
      </c>
      <c r="N1729" t="s">
        <v>205</v>
      </c>
      <c r="O1729">
        <v>784000</v>
      </c>
    </row>
    <row r="1730" spans="1:15" x14ac:dyDescent="0.4">
      <c r="A1730" t="s">
        <v>353</v>
      </c>
      <c r="B1730">
        <v>50</v>
      </c>
      <c r="C1730" t="s">
        <v>1</v>
      </c>
      <c r="D1730">
        <v>21</v>
      </c>
      <c r="E1730" t="s">
        <v>182</v>
      </c>
      <c r="F1730">
        <v>1264</v>
      </c>
      <c r="G1730" t="s">
        <v>1023</v>
      </c>
      <c r="I1730">
        <v>10078478</v>
      </c>
      <c r="J1730" t="s">
        <v>1530</v>
      </c>
      <c r="K1730">
        <v>800159</v>
      </c>
      <c r="L1730">
        <v>1</v>
      </c>
      <c r="M1730" t="s">
        <v>220</v>
      </c>
      <c r="N1730" t="s">
        <v>225</v>
      </c>
      <c r="O1730">
        <v>1320000</v>
      </c>
    </row>
    <row r="1731" spans="1:15" x14ac:dyDescent="0.4">
      <c r="A1731" t="s">
        <v>268</v>
      </c>
      <c r="B1731">
        <v>60</v>
      </c>
      <c r="C1731" t="s">
        <v>3</v>
      </c>
      <c r="D1731">
        <v>33</v>
      </c>
      <c r="E1731" t="s">
        <v>451</v>
      </c>
      <c r="F1731">
        <v>1372</v>
      </c>
      <c r="G1731" t="s">
        <v>992</v>
      </c>
      <c r="I1731">
        <v>10019746</v>
      </c>
      <c r="J1731" t="s">
        <v>3033</v>
      </c>
      <c r="K1731">
        <v>800159</v>
      </c>
      <c r="L1731">
        <v>1</v>
      </c>
      <c r="M1731" t="s">
        <v>195</v>
      </c>
      <c r="N1731" t="s">
        <v>200</v>
      </c>
      <c r="O1731">
        <v>1356000</v>
      </c>
    </row>
    <row r="1732" spans="1:15" x14ac:dyDescent="0.4">
      <c r="A1732" t="s">
        <v>242</v>
      </c>
      <c r="B1732">
        <v>80</v>
      </c>
      <c r="C1732" t="s">
        <v>4</v>
      </c>
      <c r="D1732">
        <v>81</v>
      </c>
      <c r="E1732" t="s">
        <v>550</v>
      </c>
      <c r="F1732">
        <v>1154</v>
      </c>
      <c r="G1732" t="s">
        <v>1044</v>
      </c>
      <c r="I1732">
        <v>10041167</v>
      </c>
      <c r="J1732" t="s">
        <v>3034</v>
      </c>
      <c r="K1732">
        <v>800159</v>
      </c>
      <c r="L1732">
        <v>1</v>
      </c>
      <c r="M1732" t="s">
        <v>311</v>
      </c>
      <c r="N1732" t="s">
        <v>316</v>
      </c>
      <c r="O1732">
        <v>1390200</v>
      </c>
    </row>
    <row r="1733" spans="1:15" x14ac:dyDescent="0.4">
      <c r="A1733" t="s">
        <v>268</v>
      </c>
      <c r="B1733">
        <v>70</v>
      </c>
      <c r="C1733" t="s">
        <v>2</v>
      </c>
      <c r="D1733">
        <v>41</v>
      </c>
      <c r="E1733" t="s">
        <v>306</v>
      </c>
      <c r="F1733">
        <v>1445</v>
      </c>
      <c r="G1733" t="s">
        <v>886</v>
      </c>
      <c r="I1733">
        <v>20005546</v>
      </c>
      <c r="J1733" t="s">
        <v>3035</v>
      </c>
      <c r="K1733">
        <v>800159</v>
      </c>
      <c r="L1733">
        <v>1</v>
      </c>
      <c r="M1733" t="s">
        <v>195</v>
      </c>
      <c r="N1733" t="s">
        <v>200</v>
      </c>
      <c r="O1733">
        <v>1789600</v>
      </c>
    </row>
    <row r="1734" spans="1:15" x14ac:dyDescent="0.4">
      <c r="A1734" t="s">
        <v>1586</v>
      </c>
      <c r="B1734">
        <v>60</v>
      </c>
      <c r="C1734" t="s">
        <v>3</v>
      </c>
      <c r="D1734">
        <v>31</v>
      </c>
      <c r="E1734" t="s">
        <v>447</v>
      </c>
      <c r="F1734">
        <v>1543</v>
      </c>
      <c r="G1734" t="s">
        <v>1183</v>
      </c>
      <c r="I1734">
        <v>10007917</v>
      </c>
      <c r="J1734" t="s">
        <v>3036</v>
      </c>
      <c r="K1734">
        <v>800159</v>
      </c>
      <c r="L1734">
        <v>1</v>
      </c>
      <c r="M1734" t="s">
        <v>1589</v>
      </c>
      <c r="N1734" t="s">
        <v>207</v>
      </c>
      <c r="O1734">
        <v>1363200</v>
      </c>
    </row>
    <row r="1735" spans="1:15" x14ac:dyDescent="0.4">
      <c r="A1735" t="s">
        <v>238</v>
      </c>
      <c r="B1735">
        <v>80</v>
      </c>
      <c r="C1735" t="s">
        <v>4</v>
      </c>
      <c r="D1735">
        <v>71</v>
      </c>
      <c r="E1735" t="s">
        <v>556</v>
      </c>
      <c r="F1735">
        <v>1296</v>
      </c>
      <c r="G1735" t="s">
        <v>964</v>
      </c>
      <c r="I1735">
        <v>20010155</v>
      </c>
      <c r="J1735" t="s">
        <v>3037</v>
      </c>
      <c r="K1735">
        <v>800159</v>
      </c>
      <c r="L1735">
        <v>1</v>
      </c>
      <c r="M1735" t="s">
        <v>230</v>
      </c>
      <c r="N1735" t="s">
        <v>235</v>
      </c>
      <c r="O1735">
        <v>1357800</v>
      </c>
    </row>
    <row r="1736" spans="1:15" x14ac:dyDescent="0.4">
      <c r="A1736" t="s">
        <v>290</v>
      </c>
      <c r="B1736">
        <v>60</v>
      </c>
      <c r="C1736" t="s">
        <v>3</v>
      </c>
      <c r="D1736">
        <v>31</v>
      </c>
      <c r="E1736" t="s">
        <v>447</v>
      </c>
      <c r="F1736">
        <v>1299</v>
      </c>
      <c r="G1736" t="s">
        <v>947</v>
      </c>
      <c r="I1736">
        <v>10049607</v>
      </c>
      <c r="J1736" t="s">
        <v>2659</v>
      </c>
      <c r="K1736">
        <v>800159</v>
      </c>
      <c r="L1736">
        <v>1</v>
      </c>
      <c r="M1736" t="s">
        <v>250</v>
      </c>
      <c r="N1736" t="s">
        <v>255</v>
      </c>
      <c r="O1736">
        <v>1384800</v>
      </c>
    </row>
    <row r="1737" spans="1:15" x14ac:dyDescent="0.4">
      <c r="A1737" t="s">
        <v>242</v>
      </c>
      <c r="B1737">
        <v>60</v>
      </c>
      <c r="C1737" t="s">
        <v>3</v>
      </c>
      <c r="D1737">
        <v>33</v>
      </c>
      <c r="E1737" t="s">
        <v>451</v>
      </c>
      <c r="F1737">
        <v>1220</v>
      </c>
      <c r="G1737" t="s">
        <v>1343</v>
      </c>
      <c r="I1737">
        <v>10012160</v>
      </c>
      <c r="J1737" t="s">
        <v>3038</v>
      </c>
      <c r="K1737">
        <v>800159</v>
      </c>
      <c r="L1737">
        <v>1</v>
      </c>
      <c r="M1737" t="s">
        <v>311</v>
      </c>
      <c r="N1737" t="s">
        <v>316</v>
      </c>
      <c r="O1737">
        <v>1434000</v>
      </c>
    </row>
    <row r="1738" spans="1:15" x14ac:dyDescent="0.4">
      <c r="A1738" t="s">
        <v>196</v>
      </c>
      <c r="B1738">
        <v>76</v>
      </c>
      <c r="C1738" t="s">
        <v>6</v>
      </c>
      <c r="D1738">
        <v>61</v>
      </c>
      <c r="E1738" t="s">
        <v>703</v>
      </c>
      <c r="F1738">
        <v>1389</v>
      </c>
      <c r="G1738" t="s">
        <v>1197</v>
      </c>
      <c r="I1738">
        <v>10068897</v>
      </c>
      <c r="J1738" t="s">
        <v>784</v>
      </c>
      <c r="K1738">
        <v>800159</v>
      </c>
      <c r="L1738">
        <v>1</v>
      </c>
      <c r="M1738" t="s">
        <v>186</v>
      </c>
      <c r="N1738" t="s">
        <v>302</v>
      </c>
      <c r="O1738">
        <v>1514400</v>
      </c>
    </row>
    <row r="1739" spans="1:15" x14ac:dyDescent="0.4">
      <c r="A1739" t="s">
        <v>250</v>
      </c>
      <c r="B1739">
        <v>70</v>
      </c>
      <c r="C1739" t="s">
        <v>2</v>
      </c>
      <c r="D1739">
        <v>41</v>
      </c>
      <c r="E1739" t="s">
        <v>306</v>
      </c>
      <c r="F1739">
        <v>1383</v>
      </c>
      <c r="G1739" t="s">
        <v>957</v>
      </c>
      <c r="I1739">
        <v>20005488</v>
      </c>
      <c r="J1739" t="s">
        <v>3039</v>
      </c>
      <c r="K1739">
        <v>800159</v>
      </c>
      <c r="L1739">
        <v>1</v>
      </c>
      <c r="M1739" t="s">
        <v>196</v>
      </c>
      <c r="N1739" t="s">
        <v>215</v>
      </c>
      <c r="O1739">
        <v>1336200</v>
      </c>
    </row>
    <row r="1740" spans="1:15" x14ac:dyDescent="0.4">
      <c r="A1740" t="s">
        <v>275</v>
      </c>
      <c r="B1740">
        <v>60</v>
      </c>
      <c r="C1740" t="s">
        <v>3</v>
      </c>
      <c r="D1740">
        <v>33</v>
      </c>
      <c r="E1740" t="s">
        <v>451</v>
      </c>
      <c r="F1740">
        <v>1505</v>
      </c>
      <c r="G1740" t="s">
        <v>900</v>
      </c>
      <c r="I1740">
        <v>10060003</v>
      </c>
      <c r="J1740" t="s">
        <v>3040</v>
      </c>
      <c r="K1740">
        <v>800159</v>
      </c>
      <c r="L1740">
        <v>1</v>
      </c>
      <c r="M1740" t="s">
        <v>281</v>
      </c>
      <c r="N1740" t="s">
        <v>246</v>
      </c>
      <c r="O1740">
        <v>1218000</v>
      </c>
    </row>
    <row r="1741" spans="1:15" x14ac:dyDescent="0.4">
      <c r="A1741" t="s">
        <v>376</v>
      </c>
      <c r="B1741">
        <v>60</v>
      </c>
      <c r="C1741" t="s">
        <v>3</v>
      </c>
      <c r="D1741">
        <v>33</v>
      </c>
      <c r="E1741" t="s">
        <v>451</v>
      </c>
      <c r="F1741">
        <v>1273</v>
      </c>
      <c r="G1741" t="s">
        <v>1084</v>
      </c>
      <c r="I1741">
        <v>10055839</v>
      </c>
      <c r="J1741" t="s">
        <v>3041</v>
      </c>
      <c r="K1741">
        <v>800159</v>
      </c>
      <c r="L1741">
        <v>1</v>
      </c>
      <c r="M1741" t="s">
        <v>353</v>
      </c>
      <c r="N1741" t="s">
        <v>330</v>
      </c>
      <c r="O1741">
        <v>1455000</v>
      </c>
    </row>
    <row r="1742" spans="1:15" x14ac:dyDescent="0.4">
      <c r="A1742" t="s">
        <v>1479</v>
      </c>
      <c r="B1742">
        <v>76</v>
      </c>
      <c r="C1742" t="s">
        <v>6</v>
      </c>
      <c r="D1742">
        <v>61</v>
      </c>
      <c r="E1742" t="s">
        <v>703</v>
      </c>
      <c r="F1742">
        <v>1602</v>
      </c>
      <c r="G1742" t="s">
        <v>1013</v>
      </c>
      <c r="I1742">
        <v>10019750</v>
      </c>
      <c r="J1742" t="s">
        <v>3042</v>
      </c>
      <c r="K1742">
        <v>800157</v>
      </c>
      <c r="L1742">
        <v>1</v>
      </c>
      <c r="M1742" t="s">
        <v>1487</v>
      </c>
      <c r="N1742" t="s">
        <v>243</v>
      </c>
      <c r="O1742">
        <v>864000</v>
      </c>
    </row>
    <row r="1743" spans="1:15" x14ac:dyDescent="0.4">
      <c r="A1743" t="s">
        <v>1548</v>
      </c>
      <c r="B1743">
        <v>60</v>
      </c>
      <c r="C1743" t="s">
        <v>3</v>
      </c>
      <c r="D1743">
        <v>31</v>
      </c>
      <c r="E1743" t="s">
        <v>447</v>
      </c>
      <c r="F1743">
        <v>1299</v>
      </c>
      <c r="G1743" t="s">
        <v>947</v>
      </c>
      <c r="I1743">
        <v>20009458</v>
      </c>
      <c r="J1743" t="s">
        <v>3043</v>
      </c>
      <c r="K1743">
        <v>800159</v>
      </c>
      <c r="L1743">
        <v>1</v>
      </c>
      <c r="M1743" t="s">
        <v>1586</v>
      </c>
      <c r="N1743" t="s">
        <v>224</v>
      </c>
      <c r="O1743">
        <v>1487400</v>
      </c>
    </row>
    <row r="1744" spans="1:15" x14ac:dyDescent="0.4">
      <c r="A1744" t="s">
        <v>1548</v>
      </c>
      <c r="B1744">
        <v>76</v>
      </c>
      <c r="C1744" t="s">
        <v>6</v>
      </c>
      <c r="D1744">
        <v>61</v>
      </c>
      <c r="E1744" t="s">
        <v>703</v>
      </c>
      <c r="F1744">
        <v>1472</v>
      </c>
      <c r="G1744" t="s">
        <v>998</v>
      </c>
      <c r="I1744">
        <v>20006351</v>
      </c>
      <c r="J1744" t="s">
        <v>1527</v>
      </c>
      <c r="K1744">
        <v>800159</v>
      </c>
      <c r="L1744">
        <v>1</v>
      </c>
      <c r="M1744" t="s">
        <v>1586</v>
      </c>
      <c r="N1744" t="s">
        <v>224</v>
      </c>
      <c r="O1744">
        <v>1595400</v>
      </c>
    </row>
    <row r="1745" spans="1:15" x14ac:dyDescent="0.4">
      <c r="A1745" t="s">
        <v>1475</v>
      </c>
      <c r="B1745">
        <v>60</v>
      </c>
      <c r="C1745" t="s">
        <v>3</v>
      </c>
      <c r="D1745">
        <v>31</v>
      </c>
      <c r="E1745" t="s">
        <v>447</v>
      </c>
      <c r="F1745">
        <v>1116</v>
      </c>
      <c r="G1745" t="s">
        <v>1075</v>
      </c>
      <c r="I1745">
        <v>10026137</v>
      </c>
      <c r="J1745" t="s">
        <v>3044</v>
      </c>
      <c r="K1745">
        <v>800157</v>
      </c>
      <c r="L1745">
        <v>1</v>
      </c>
      <c r="M1745" t="s">
        <v>1479</v>
      </c>
      <c r="N1745" t="s">
        <v>231</v>
      </c>
      <c r="O1745">
        <v>854400</v>
      </c>
    </row>
    <row r="1746" spans="1:15" x14ac:dyDescent="0.4">
      <c r="A1746" t="s">
        <v>353</v>
      </c>
      <c r="B1746">
        <v>50</v>
      </c>
      <c r="C1746" t="s">
        <v>1</v>
      </c>
      <c r="D1746">
        <v>21</v>
      </c>
      <c r="E1746" t="s">
        <v>182</v>
      </c>
      <c r="F1746">
        <v>1264</v>
      </c>
      <c r="G1746" t="s">
        <v>1023</v>
      </c>
      <c r="I1746">
        <v>10029845</v>
      </c>
      <c r="J1746" t="s">
        <v>1543</v>
      </c>
      <c r="K1746">
        <v>800159</v>
      </c>
      <c r="L1746">
        <v>1</v>
      </c>
      <c r="M1746" t="s">
        <v>220</v>
      </c>
      <c r="N1746" t="s">
        <v>225</v>
      </c>
      <c r="O1746">
        <v>1368600</v>
      </c>
    </row>
    <row r="1747" spans="1:15" x14ac:dyDescent="0.4">
      <c r="A1747" t="s">
        <v>186</v>
      </c>
      <c r="B1747">
        <v>70</v>
      </c>
      <c r="C1747" t="s">
        <v>2</v>
      </c>
      <c r="D1747">
        <v>41</v>
      </c>
      <c r="E1747" t="s">
        <v>306</v>
      </c>
      <c r="F1747">
        <v>1445</v>
      </c>
      <c r="G1747" t="s">
        <v>886</v>
      </c>
      <c r="I1747">
        <v>10059168</v>
      </c>
      <c r="J1747" t="s">
        <v>3045</v>
      </c>
      <c r="K1747">
        <v>800155</v>
      </c>
      <c r="L1747">
        <v>1</v>
      </c>
      <c r="M1747" t="s">
        <v>238</v>
      </c>
      <c r="N1747" t="s">
        <v>187</v>
      </c>
      <c r="O1747">
        <v>186000</v>
      </c>
    </row>
    <row r="1748" spans="1:15" x14ac:dyDescent="0.4">
      <c r="A1748" t="s">
        <v>1596</v>
      </c>
      <c r="B1748">
        <v>76</v>
      </c>
      <c r="C1748" t="s">
        <v>6</v>
      </c>
      <c r="D1748">
        <v>61</v>
      </c>
      <c r="E1748" t="s">
        <v>703</v>
      </c>
      <c r="F1748">
        <v>1472</v>
      </c>
      <c r="G1748" t="s">
        <v>998</v>
      </c>
      <c r="I1748">
        <v>10060302</v>
      </c>
      <c r="J1748" t="s">
        <v>2853</v>
      </c>
      <c r="K1748">
        <v>800159</v>
      </c>
      <c r="L1748">
        <v>1</v>
      </c>
      <c r="M1748" t="s">
        <v>268</v>
      </c>
      <c r="N1748" t="s">
        <v>214</v>
      </c>
      <c r="O1748">
        <v>1320000</v>
      </c>
    </row>
    <row r="1749" spans="1:15" x14ac:dyDescent="0.4">
      <c r="A1749" t="s">
        <v>1594</v>
      </c>
      <c r="B1749">
        <v>70</v>
      </c>
      <c r="C1749" t="s">
        <v>2</v>
      </c>
      <c r="D1749">
        <v>41</v>
      </c>
      <c r="E1749" t="s">
        <v>306</v>
      </c>
      <c r="F1749">
        <v>1383</v>
      </c>
      <c r="G1749" t="s">
        <v>957</v>
      </c>
      <c r="I1749">
        <v>20005483</v>
      </c>
      <c r="J1749" t="s">
        <v>3046</v>
      </c>
      <c r="K1749">
        <v>800159</v>
      </c>
      <c r="L1749">
        <v>1</v>
      </c>
      <c r="M1749" t="s">
        <v>1596</v>
      </c>
      <c r="N1749" t="s">
        <v>254</v>
      </c>
      <c r="O1749">
        <v>1557600</v>
      </c>
    </row>
    <row r="1750" spans="1:15" x14ac:dyDescent="0.4">
      <c r="A1750" t="s">
        <v>275</v>
      </c>
      <c r="B1750">
        <v>75</v>
      </c>
      <c r="C1750" t="s">
        <v>5</v>
      </c>
      <c r="D1750">
        <v>51</v>
      </c>
      <c r="E1750" t="s">
        <v>657</v>
      </c>
      <c r="F1750">
        <v>1365</v>
      </c>
      <c r="G1750" t="s">
        <v>1148</v>
      </c>
      <c r="I1750">
        <v>10061945</v>
      </c>
      <c r="J1750" t="s">
        <v>3047</v>
      </c>
      <c r="K1750">
        <v>800159</v>
      </c>
      <c r="L1750">
        <v>1</v>
      </c>
      <c r="M1750" t="s">
        <v>281</v>
      </c>
      <c r="N1750" t="s">
        <v>246</v>
      </c>
      <c r="O1750">
        <v>1438800</v>
      </c>
    </row>
    <row r="1751" spans="1:15" x14ac:dyDescent="0.4">
      <c r="A1751" t="s">
        <v>1594</v>
      </c>
      <c r="B1751">
        <v>70</v>
      </c>
      <c r="C1751" t="s">
        <v>2</v>
      </c>
      <c r="D1751">
        <v>41</v>
      </c>
      <c r="E1751" t="s">
        <v>306</v>
      </c>
      <c r="F1751">
        <v>1610</v>
      </c>
      <c r="G1751" t="s">
        <v>1352</v>
      </c>
      <c r="I1751">
        <v>10076704</v>
      </c>
      <c r="J1751" t="s">
        <v>3048</v>
      </c>
      <c r="K1751">
        <v>800155</v>
      </c>
      <c r="L1751">
        <v>1</v>
      </c>
      <c r="M1751" t="s">
        <v>1596</v>
      </c>
      <c r="N1751" t="s">
        <v>290</v>
      </c>
      <c r="O1751">
        <v>144000</v>
      </c>
    </row>
    <row r="1752" spans="1:15" x14ac:dyDescent="0.4">
      <c r="A1752" t="s">
        <v>290</v>
      </c>
      <c r="B1752">
        <v>70</v>
      </c>
      <c r="C1752" t="s">
        <v>2</v>
      </c>
      <c r="D1752">
        <v>41</v>
      </c>
      <c r="E1752" t="s">
        <v>306</v>
      </c>
      <c r="F1752">
        <v>1610</v>
      </c>
      <c r="G1752" t="s">
        <v>1352</v>
      </c>
      <c r="I1752">
        <v>10076704</v>
      </c>
      <c r="J1752" t="s">
        <v>3048</v>
      </c>
      <c r="K1752">
        <v>800155</v>
      </c>
      <c r="L1752">
        <v>1</v>
      </c>
      <c r="M1752" t="s">
        <v>250</v>
      </c>
      <c r="N1752" t="s">
        <v>251</v>
      </c>
      <c r="O1752">
        <v>144000</v>
      </c>
    </row>
    <row r="1753" spans="1:15" x14ac:dyDescent="0.4">
      <c r="A1753" t="s">
        <v>203</v>
      </c>
      <c r="B1753">
        <v>60</v>
      </c>
      <c r="C1753" t="s">
        <v>3</v>
      </c>
      <c r="D1753">
        <v>33</v>
      </c>
      <c r="E1753" t="s">
        <v>451</v>
      </c>
      <c r="F1753">
        <v>1505</v>
      </c>
      <c r="G1753" t="s">
        <v>900</v>
      </c>
      <c r="I1753">
        <v>20006155</v>
      </c>
      <c r="J1753" t="s">
        <v>3049</v>
      </c>
      <c r="K1753">
        <v>800157</v>
      </c>
      <c r="L1753">
        <v>1</v>
      </c>
      <c r="M1753" t="s">
        <v>290</v>
      </c>
      <c r="N1753" t="s">
        <v>293</v>
      </c>
      <c r="O1753">
        <v>844800</v>
      </c>
    </row>
    <row r="1754" spans="1:15" x14ac:dyDescent="0.4">
      <c r="A1754" t="s">
        <v>1470</v>
      </c>
      <c r="B1754">
        <v>60</v>
      </c>
      <c r="C1754" t="s">
        <v>3</v>
      </c>
      <c r="D1754">
        <v>31</v>
      </c>
      <c r="E1754" t="s">
        <v>447</v>
      </c>
      <c r="F1754">
        <v>1543</v>
      </c>
      <c r="G1754" t="s">
        <v>1183</v>
      </c>
      <c r="I1754">
        <v>20004966</v>
      </c>
      <c r="J1754" t="s">
        <v>3050</v>
      </c>
      <c r="K1754">
        <v>800157</v>
      </c>
      <c r="L1754">
        <v>1</v>
      </c>
      <c r="M1754" t="s">
        <v>1469</v>
      </c>
      <c r="N1754" t="s">
        <v>197</v>
      </c>
      <c r="O1754">
        <v>787200</v>
      </c>
    </row>
    <row r="1755" spans="1:15" x14ac:dyDescent="0.4">
      <c r="A1755" t="s">
        <v>1596</v>
      </c>
      <c r="B1755">
        <v>76</v>
      </c>
      <c r="C1755" t="s">
        <v>6</v>
      </c>
      <c r="D1755">
        <v>61</v>
      </c>
      <c r="E1755" t="s">
        <v>703</v>
      </c>
      <c r="F1755">
        <v>1602</v>
      </c>
      <c r="G1755" t="s">
        <v>1013</v>
      </c>
      <c r="I1755">
        <v>10037065</v>
      </c>
      <c r="J1755" t="s">
        <v>3051</v>
      </c>
      <c r="K1755">
        <v>800157</v>
      </c>
      <c r="L1755">
        <v>1</v>
      </c>
      <c r="M1755" t="s">
        <v>268</v>
      </c>
      <c r="N1755" t="s">
        <v>212</v>
      </c>
      <c r="O1755">
        <v>787200</v>
      </c>
    </row>
    <row r="1756" spans="1:15" x14ac:dyDescent="0.4">
      <c r="A1756" t="s">
        <v>268</v>
      </c>
      <c r="B1756">
        <v>76</v>
      </c>
      <c r="C1756" t="s">
        <v>6</v>
      </c>
      <c r="D1756">
        <v>61</v>
      </c>
      <c r="E1756" t="s">
        <v>703</v>
      </c>
      <c r="F1756">
        <v>1475</v>
      </c>
      <c r="G1756" t="s">
        <v>909</v>
      </c>
      <c r="I1756">
        <v>20005083</v>
      </c>
      <c r="J1756" t="s">
        <v>3052</v>
      </c>
      <c r="K1756">
        <v>800159</v>
      </c>
      <c r="L1756">
        <v>1</v>
      </c>
      <c r="M1756" t="s">
        <v>195</v>
      </c>
      <c r="N1756" t="s">
        <v>200</v>
      </c>
      <c r="O1756">
        <v>1352400</v>
      </c>
    </row>
    <row r="1757" spans="1:15" x14ac:dyDescent="0.4">
      <c r="A1757" t="s">
        <v>221</v>
      </c>
      <c r="B1757">
        <v>60</v>
      </c>
      <c r="C1757" t="s">
        <v>3</v>
      </c>
      <c r="D1757">
        <v>31</v>
      </c>
      <c r="E1757" t="s">
        <v>447</v>
      </c>
      <c r="F1757">
        <v>1543</v>
      </c>
      <c r="G1757" t="s">
        <v>1183</v>
      </c>
      <c r="I1757">
        <v>10042404</v>
      </c>
      <c r="J1757" t="s">
        <v>2032</v>
      </c>
      <c r="K1757">
        <v>800159</v>
      </c>
      <c r="L1757">
        <v>1</v>
      </c>
      <c r="M1757" t="s">
        <v>204</v>
      </c>
      <c r="O1757">
        <v>1368000</v>
      </c>
    </row>
    <row r="1758" spans="1:15" x14ac:dyDescent="0.4">
      <c r="A1758" t="s">
        <v>1523</v>
      </c>
      <c r="B1758">
        <v>76</v>
      </c>
      <c r="C1758" t="s">
        <v>6</v>
      </c>
      <c r="D1758">
        <v>61</v>
      </c>
      <c r="E1758" t="s">
        <v>703</v>
      </c>
      <c r="F1758">
        <v>1563</v>
      </c>
      <c r="G1758" t="s">
        <v>942</v>
      </c>
      <c r="I1758">
        <v>10025270</v>
      </c>
      <c r="J1758" t="s">
        <v>3053</v>
      </c>
      <c r="K1758">
        <v>800157</v>
      </c>
      <c r="L1758">
        <v>1</v>
      </c>
      <c r="M1758" t="s">
        <v>1587</v>
      </c>
      <c r="N1758" t="s">
        <v>259</v>
      </c>
      <c r="O1758">
        <v>864000</v>
      </c>
    </row>
    <row r="1759" spans="1:15" x14ac:dyDescent="0.4">
      <c r="A1759" t="s">
        <v>376</v>
      </c>
      <c r="B1759">
        <v>75</v>
      </c>
      <c r="C1759" t="s">
        <v>5</v>
      </c>
      <c r="D1759">
        <v>51</v>
      </c>
      <c r="E1759" t="s">
        <v>657</v>
      </c>
      <c r="F1759">
        <v>1435</v>
      </c>
      <c r="G1759" t="s">
        <v>860</v>
      </c>
      <c r="I1759">
        <v>10044468</v>
      </c>
      <c r="J1759" t="s">
        <v>3054</v>
      </c>
      <c r="K1759">
        <v>800159</v>
      </c>
      <c r="L1759">
        <v>1</v>
      </c>
      <c r="M1759" t="s">
        <v>353</v>
      </c>
      <c r="N1759" t="s">
        <v>330</v>
      </c>
      <c r="O1759">
        <v>1344000</v>
      </c>
    </row>
    <row r="1760" spans="1:15" x14ac:dyDescent="0.4">
      <c r="A1760" t="s">
        <v>185</v>
      </c>
      <c r="B1760">
        <v>76</v>
      </c>
      <c r="C1760" t="s">
        <v>6</v>
      </c>
      <c r="D1760">
        <v>61</v>
      </c>
      <c r="E1760" t="s">
        <v>703</v>
      </c>
      <c r="F1760">
        <v>1602</v>
      </c>
      <c r="G1760" t="s">
        <v>1013</v>
      </c>
      <c r="I1760">
        <v>20009727</v>
      </c>
      <c r="J1760" t="s">
        <v>3055</v>
      </c>
      <c r="K1760">
        <v>800157</v>
      </c>
      <c r="L1760">
        <v>1</v>
      </c>
      <c r="M1760" t="s">
        <v>275</v>
      </c>
      <c r="N1760" t="s">
        <v>232</v>
      </c>
      <c r="O1760">
        <v>803200</v>
      </c>
    </row>
    <row r="1761" spans="1:15" x14ac:dyDescent="0.4">
      <c r="A1761" t="s">
        <v>1586</v>
      </c>
      <c r="B1761">
        <v>75</v>
      </c>
      <c r="C1761" t="s">
        <v>5</v>
      </c>
      <c r="D1761">
        <v>52</v>
      </c>
      <c r="E1761" t="s">
        <v>665</v>
      </c>
      <c r="F1761">
        <v>1403</v>
      </c>
      <c r="G1761" t="s">
        <v>925</v>
      </c>
      <c r="I1761">
        <v>20006411</v>
      </c>
      <c r="J1761" t="s">
        <v>3056</v>
      </c>
      <c r="K1761">
        <v>800157</v>
      </c>
      <c r="L1761">
        <v>1</v>
      </c>
      <c r="M1761" t="s">
        <v>1589</v>
      </c>
      <c r="N1761" t="s">
        <v>205</v>
      </c>
      <c r="O1761">
        <v>873600</v>
      </c>
    </row>
    <row r="1762" spans="1:15" x14ac:dyDescent="0.4">
      <c r="A1762" t="s">
        <v>1596</v>
      </c>
      <c r="B1762">
        <v>70</v>
      </c>
      <c r="C1762" t="s">
        <v>2</v>
      </c>
      <c r="D1762">
        <v>41</v>
      </c>
      <c r="E1762" t="s">
        <v>306</v>
      </c>
      <c r="F1762">
        <v>1445</v>
      </c>
      <c r="G1762" t="s">
        <v>886</v>
      </c>
      <c r="I1762">
        <v>10056320</v>
      </c>
      <c r="J1762" t="s">
        <v>3057</v>
      </c>
      <c r="K1762">
        <v>800159</v>
      </c>
      <c r="L1762">
        <v>1</v>
      </c>
      <c r="M1762" t="s">
        <v>268</v>
      </c>
      <c r="N1762" t="s">
        <v>214</v>
      </c>
      <c r="O1762">
        <v>1434000</v>
      </c>
    </row>
    <row r="1763" spans="1:15" x14ac:dyDescent="0.4">
      <c r="A1763" t="s">
        <v>186</v>
      </c>
      <c r="B1763">
        <v>75</v>
      </c>
      <c r="C1763" t="s">
        <v>5</v>
      </c>
      <c r="D1763">
        <v>51</v>
      </c>
      <c r="E1763" t="s">
        <v>657</v>
      </c>
      <c r="F1763">
        <v>1365</v>
      </c>
      <c r="G1763" t="s">
        <v>1148</v>
      </c>
      <c r="I1763">
        <v>10066629</v>
      </c>
      <c r="J1763" t="s">
        <v>3058</v>
      </c>
      <c r="K1763">
        <v>800159</v>
      </c>
      <c r="L1763">
        <v>1</v>
      </c>
      <c r="M1763" t="s">
        <v>238</v>
      </c>
      <c r="N1763" t="s">
        <v>239</v>
      </c>
      <c r="O1763">
        <v>1411800</v>
      </c>
    </row>
    <row r="1764" spans="1:15" x14ac:dyDescent="0.4">
      <c r="A1764" t="s">
        <v>230</v>
      </c>
      <c r="B1764">
        <v>75</v>
      </c>
      <c r="C1764" t="s">
        <v>5</v>
      </c>
      <c r="D1764">
        <v>51</v>
      </c>
      <c r="E1764" t="s">
        <v>657</v>
      </c>
      <c r="F1764">
        <v>1435</v>
      </c>
      <c r="G1764" t="s">
        <v>860</v>
      </c>
      <c r="I1764">
        <v>10027213</v>
      </c>
      <c r="J1764" t="s">
        <v>2527</v>
      </c>
      <c r="K1764">
        <v>800159</v>
      </c>
      <c r="L1764">
        <v>1</v>
      </c>
      <c r="M1764" t="s">
        <v>242</v>
      </c>
      <c r="N1764" t="s">
        <v>247</v>
      </c>
      <c r="O1764">
        <v>1320000</v>
      </c>
    </row>
    <row r="1765" spans="1:15" x14ac:dyDescent="0.4">
      <c r="A1765" t="s">
        <v>1586</v>
      </c>
      <c r="B1765">
        <v>60</v>
      </c>
      <c r="C1765" t="s">
        <v>3</v>
      </c>
      <c r="D1765">
        <v>31</v>
      </c>
      <c r="E1765" t="s">
        <v>447</v>
      </c>
      <c r="F1765">
        <v>1299</v>
      </c>
      <c r="G1765" t="s">
        <v>947</v>
      </c>
      <c r="I1765">
        <v>10010259</v>
      </c>
      <c r="J1765" t="s">
        <v>3059</v>
      </c>
      <c r="K1765">
        <v>800159</v>
      </c>
      <c r="L1765">
        <v>1</v>
      </c>
      <c r="M1765" t="s">
        <v>1589</v>
      </c>
      <c r="N1765" t="s">
        <v>207</v>
      </c>
      <c r="O1765">
        <v>858000</v>
      </c>
    </row>
    <row r="1766" spans="1:15" x14ac:dyDescent="0.4">
      <c r="A1766" t="s">
        <v>258</v>
      </c>
      <c r="B1766">
        <v>76</v>
      </c>
      <c r="C1766" t="s">
        <v>6</v>
      </c>
      <c r="D1766">
        <v>61</v>
      </c>
      <c r="E1766" t="s">
        <v>703</v>
      </c>
      <c r="F1766">
        <v>1602</v>
      </c>
      <c r="G1766" t="s">
        <v>1013</v>
      </c>
      <c r="I1766">
        <v>20010286</v>
      </c>
      <c r="J1766" t="s">
        <v>3060</v>
      </c>
      <c r="K1766">
        <v>800157</v>
      </c>
      <c r="L1766">
        <v>1</v>
      </c>
      <c r="M1766" t="s">
        <v>221</v>
      </c>
      <c r="N1766" t="s">
        <v>329</v>
      </c>
      <c r="O1766">
        <v>793600</v>
      </c>
    </row>
    <row r="1767" spans="1:15" x14ac:dyDescent="0.4">
      <c r="A1767" t="s">
        <v>258</v>
      </c>
      <c r="B1767">
        <v>76</v>
      </c>
      <c r="C1767" t="s">
        <v>6</v>
      </c>
      <c r="D1767">
        <v>61</v>
      </c>
      <c r="E1767" t="s">
        <v>703</v>
      </c>
      <c r="F1767">
        <v>1563</v>
      </c>
      <c r="G1767" t="s">
        <v>942</v>
      </c>
      <c r="I1767">
        <v>10050937</v>
      </c>
      <c r="J1767" t="s">
        <v>3061</v>
      </c>
      <c r="K1767">
        <v>800157</v>
      </c>
      <c r="L1767">
        <v>1</v>
      </c>
      <c r="M1767" t="s">
        <v>221</v>
      </c>
      <c r="N1767" t="s">
        <v>329</v>
      </c>
      <c r="O1767">
        <v>784000</v>
      </c>
    </row>
    <row r="1768" spans="1:15" x14ac:dyDescent="0.4">
      <c r="A1768" t="s">
        <v>363</v>
      </c>
      <c r="B1768">
        <v>70</v>
      </c>
      <c r="C1768" t="s">
        <v>2</v>
      </c>
      <c r="D1768">
        <v>41</v>
      </c>
      <c r="E1768" t="s">
        <v>306</v>
      </c>
      <c r="F1768">
        <v>1383</v>
      </c>
      <c r="G1768" t="s">
        <v>957</v>
      </c>
      <c r="I1768">
        <v>10037746</v>
      </c>
      <c r="J1768" t="s">
        <v>3062</v>
      </c>
      <c r="K1768">
        <v>800157</v>
      </c>
      <c r="L1768">
        <v>1</v>
      </c>
      <c r="M1768" t="s">
        <v>376</v>
      </c>
      <c r="N1768" t="s">
        <v>260</v>
      </c>
      <c r="O1768">
        <v>784000</v>
      </c>
    </row>
    <row r="1769" spans="1:15" x14ac:dyDescent="0.4">
      <c r="A1769" t="s">
        <v>353</v>
      </c>
      <c r="B1769">
        <v>70</v>
      </c>
      <c r="C1769" t="s">
        <v>2</v>
      </c>
      <c r="D1769">
        <v>41</v>
      </c>
      <c r="E1769" t="s">
        <v>306</v>
      </c>
      <c r="F1769">
        <v>1383</v>
      </c>
      <c r="G1769" t="s">
        <v>957</v>
      </c>
      <c r="I1769">
        <v>20009918</v>
      </c>
      <c r="J1769" t="s">
        <v>3063</v>
      </c>
      <c r="K1769">
        <v>800159</v>
      </c>
      <c r="L1769">
        <v>1</v>
      </c>
      <c r="M1769" t="s">
        <v>220</v>
      </c>
      <c r="N1769" t="s">
        <v>225</v>
      </c>
      <c r="O1769">
        <v>1320000</v>
      </c>
    </row>
    <row r="1770" spans="1:15" x14ac:dyDescent="0.4">
      <c r="A1770" t="s">
        <v>363</v>
      </c>
      <c r="B1770">
        <v>76</v>
      </c>
      <c r="C1770" t="s">
        <v>6</v>
      </c>
      <c r="D1770">
        <v>61</v>
      </c>
      <c r="E1770" t="s">
        <v>703</v>
      </c>
      <c r="F1770">
        <v>1468</v>
      </c>
      <c r="G1770" t="s">
        <v>914</v>
      </c>
      <c r="I1770">
        <v>20006900</v>
      </c>
      <c r="J1770" t="s">
        <v>3064</v>
      </c>
      <c r="K1770">
        <v>800159</v>
      </c>
      <c r="L1770">
        <v>1</v>
      </c>
      <c r="M1770" t="s">
        <v>376</v>
      </c>
      <c r="N1770" t="s">
        <v>262</v>
      </c>
      <c r="O1770">
        <v>1357800</v>
      </c>
    </row>
    <row r="1771" spans="1:15" x14ac:dyDescent="0.4">
      <c r="A1771" t="s">
        <v>363</v>
      </c>
      <c r="B1771">
        <v>76</v>
      </c>
      <c r="C1771" t="s">
        <v>6</v>
      </c>
      <c r="D1771">
        <v>61</v>
      </c>
      <c r="E1771" t="s">
        <v>703</v>
      </c>
      <c r="F1771">
        <v>1468</v>
      </c>
      <c r="G1771" t="s">
        <v>914</v>
      </c>
      <c r="I1771">
        <v>20006738</v>
      </c>
      <c r="J1771" t="s">
        <v>3065</v>
      </c>
      <c r="K1771">
        <v>800159</v>
      </c>
      <c r="L1771">
        <v>1</v>
      </c>
      <c r="M1771" t="s">
        <v>376</v>
      </c>
      <c r="N1771" t="s">
        <v>262</v>
      </c>
      <c r="O1771">
        <v>1465800</v>
      </c>
    </row>
    <row r="1772" spans="1:15" x14ac:dyDescent="0.4">
      <c r="A1772" t="s">
        <v>311</v>
      </c>
      <c r="B1772">
        <v>60</v>
      </c>
      <c r="C1772" t="s">
        <v>3</v>
      </c>
      <c r="D1772">
        <v>31</v>
      </c>
      <c r="E1772" t="s">
        <v>447</v>
      </c>
      <c r="F1772">
        <v>1367</v>
      </c>
      <c r="G1772" t="s">
        <v>977</v>
      </c>
      <c r="I1772">
        <v>20006702</v>
      </c>
      <c r="J1772" t="s">
        <v>3066</v>
      </c>
      <c r="K1772">
        <v>800159</v>
      </c>
      <c r="L1772">
        <v>1</v>
      </c>
      <c r="M1772" t="s">
        <v>258</v>
      </c>
      <c r="N1772" t="s">
        <v>263</v>
      </c>
      <c r="O1772">
        <v>1579200</v>
      </c>
    </row>
    <row r="1773" spans="1:15" x14ac:dyDescent="0.4">
      <c r="A1773" t="s">
        <v>1596</v>
      </c>
      <c r="B1773">
        <v>75</v>
      </c>
      <c r="C1773" t="s">
        <v>5</v>
      </c>
      <c r="D1773">
        <v>52</v>
      </c>
      <c r="E1773" t="s">
        <v>665</v>
      </c>
      <c r="F1773">
        <v>1403</v>
      </c>
      <c r="G1773" t="s">
        <v>925</v>
      </c>
      <c r="I1773">
        <v>10041585</v>
      </c>
      <c r="J1773" t="s">
        <v>3067</v>
      </c>
      <c r="K1773">
        <v>800157</v>
      </c>
      <c r="L1773">
        <v>1</v>
      </c>
      <c r="M1773" t="s">
        <v>268</v>
      </c>
      <c r="N1773" t="s">
        <v>212</v>
      </c>
      <c r="O1773">
        <v>784000</v>
      </c>
    </row>
    <row r="1774" spans="1:15" x14ac:dyDescent="0.4">
      <c r="A1774" t="s">
        <v>1475</v>
      </c>
      <c r="B1774">
        <v>80</v>
      </c>
      <c r="C1774" t="s">
        <v>4</v>
      </c>
      <c r="D1774">
        <v>81</v>
      </c>
      <c r="E1774" t="s">
        <v>550</v>
      </c>
      <c r="F1774">
        <v>1322</v>
      </c>
      <c r="G1774" t="s">
        <v>961</v>
      </c>
      <c r="I1774">
        <v>20006564</v>
      </c>
      <c r="J1774" t="s">
        <v>3068</v>
      </c>
      <c r="K1774">
        <v>800157</v>
      </c>
      <c r="L1774">
        <v>1</v>
      </c>
      <c r="M1774" t="s">
        <v>1479</v>
      </c>
      <c r="N1774" t="s">
        <v>231</v>
      </c>
      <c r="O1774">
        <v>803200</v>
      </c>
    </row>
    <row r="1775" spans="1:15" x14ac:dyDescent="0.4">
      <c r="A1775" t="s">
        <v>353</v>
      </c>
      <c r="B1775">
        <v>50</v>
      </c>
      <c r="C1775" t="s">
        <v>1</v>
      </c>
      <c r="D1775">
        <v>21</v>
      </c>
      <c r="E1775" t="s">
        <v>182</v>
      </c>
      <c r="F1775">
        <v>1345</v>
      </c>
      <c r="G1775" t="s">
        <v>874</v>
      </c>
      <c r="I1775">
        <v>20007070</v>
      </c>
      <c r="J1775" t="s">
        <v>3069</v>
      </c>
      <c r="K1775">
        <v>800157</v>
      </c>
      <c r="L1775">
        <v>1</v>
      </c>
      <c r="M1775" t="s">
        <v>220</v>
      </c>
      <c r="N1775" t="s">
        <v>223</v>
      </c>
      <c r="O1775">
        <v>870400</v>
      </c>
    </row>
    <row r="1776" spans="1:15" x14ac:dyDescent="0.4">
      <c r="A1776" t="s">
        <v>250</v>
      </c>
      <c r="B1776">
        <v>60</v>
      </c>
      <c r="C1776" t="s">
        <v>3</v>
      </c>
      <c r="D1776">
        <v>33</v>
      </c>
      <c r="E1776" t="s">
        <v>451</v>
      </c>
      <c r="F1776">
        <v>1505</v>
      </c>
      <c r="G1776" t="s">
        <v>900</v>
      </c>
      <c r="I1776">
        <v>10025419</v>
      </c>
      <c r="J1776" t="s">
        <v>3070</v>
      </c>
      <c r="K1776">
        <v>800157</v>
      </c>
      <c r="L1776">
        <v>1</v>
      </c>
      <c r="M1776" t="s">
        <v>196</v>
      </c>
      <c r="N1776" t="s">
        <v>213</v>
      </c>
      <c r="O1776">
        <v>748800</v>
      </c>
    </row>
    <row r="1777" spans="1:15" x14ac:dyDescent="0.4">
      <c r="A1777" t="s">
        <v>242</v>
      </c>
      <c r="B1777">
        <v>60</v>
      </c>
      <c r="C1777" t="s">
        <v>3</v>
      </c>
      <c r="D1777">
        <v>31</v>
      </c>
      <c r="E1777" t="s">
        <v>447</v>
      </c>
      <c r="F1777">
        <v>1616</v>
      </c>
      <c r="G1777" t="s">
        <v>1659</v>
      </c>
      <c r="I1777">
        <v>10047786</v>
      </c>
      <c r="J1777" t="s">
        <v>3065</v>
      </c>
      <c r="K1777">
        <v>800157</v>
      </c>
      <c r="L1777">
        <v>1</v>
      </c>
      <c r="M1777" t="s">
        <v>311</v>
      </c>
      <c r="N1777" t="s">
        <v>314</v>
      </c>
      <c r="O1777">
        <v>432000</v>
      </c>
    </row>
    <row r="1778" spans="1:15" x14ac:dyDescent="0.4">
      <c r="A1778" t="s">
        <v>281</v>
      </c>
      <c r="B1778">
        <v>50</v>
      </c>
      <c r="C1778" t="s">
        <v>1</v>
      </c>
      <c r="D1778">
        <v>11</v>
      </c>
      <c r="E1778" t="s">
        <v>192</v>
      </c>
      <c r="F1778">
        <v>1085</v>
      </c>
      <c r="G1778" t="s">
        <v>854</v>
      </c>
      <c r="I1778">
        <v>10061180</v>
      </c>
      <c r="J1778" t="s">
        <v>3071</v>
      </c>
      <c r="K1778">
        <v>800155</v>
      </c>
      <c r="L1778">
        <v>1</v>
      </c>
      <c r="M1778" t="s">
        <v>363</v>
      </c>
      <c r="N1778" t="s">
        <v>242</v>
      </c>
      <c r="O1778">
        <v>256800</v>
      </c>
    </row>
    <row r="1779" spans="1:15" x14ac:dyDescent="0.4">
      <c r="A1779" t="s">
        <v>242</v>
      </c>
      <c r="B1779">
        <v>50</v>
      </c>
      <c r="C1779" t="s">
        <v>1</v>
      </c>
      <c r="D1779">
        <v>11</v>
      </c>
      <c r="E1779" t="s">
        <v>192</v>
      </c>
      <c r="F1779">
        <v>1085</v>
      </c>
      <c r="G1779" t="s">
        <v>854</v>
      </c>
      <c r="I1779">
        <v>10061180</v>
      </c>
      <c r="J1779" t="s">
        <v>3071</v>
      </c>
      <c r="K1779">
        <v>800155</v>
      </c>
      <c r="L1779">
        <v>1</v>
      </c>
      <c r="M1779" t="s">
        <v>311</v>
      </c>
      <c r="N1779" t="s">
        <v>312</v>
      </c>
      <c r="O1779">
        <v>256800</v>
      </c>
    </row>
    <row r="1780" spans="1:15" x14ac:dyDescent="0.4">
      <c r="A1780" t="s">
        <v>1469</v>
      </c>
      <c r="B1780">
        <v>80</v>
      </c>
      <c r="C1780" t="s">
        <v>4</v>
      </c>
      <c r="D1780">
        <v>81</v>
      </c>
      <c r="E1780" t="s">
        <v>550</v>
      </c>
      <c r="F1780">
        <v>1322</v>
      </c>
      <c r="G1780" t="s">
        <v>961</v>
      </c>
      <c r="I1780">
        <v>10045579</v>
      </c>
      <c r="J1780" t="s">
        <v>2326</v>
      </c>
      <c r="K1780">
        <v>800155</v>
      </c>
      <c r="L1780">
        <v>1</v>
      </c>
      <c r="M1780" t="s">
        <v>1475</v>
      </c>
      <c r="N1780" t="s">
        <v>195</v>
      </c>
      <c r="O1780">
        <v>148800</v>
      </c>
    </row>
    <row r="1781" spans="1:15" x14ac:dyDescent="0.4">
      <c r="A1781" t="s">
        <v>281</v>
      </c>
      <c r="B1781">
        <v>75</v>
      </c>
      <c r="C1781" t="s">
        <v>5</v>
      </c>
      <c r="D1781">
        <v>51</v>
      </c>
      <c r="E1781" t="s">
        <v>657</v>
      </c>
      <c r="F1781">
        <v>1435</v>
      </c>
      <c r="G1781" t="s">
        <v>860</v>
      </c>
      <c r="I1781">
        <v>20007170</v>
      </c>
      <c r="J1781" t="s">
        <v>3072</v>
      </c>
      <c r="K1781">
        <v>800159</v>
      </c>
      <c r="L1781">
        <v>1</v>
      </c>
      <c r="M1781" t="s">
        <v>363</v>
      </c>
      <c r="N1781" t="s">
        <v>315</v>
      </c>
      <c r="O1781">
        <v>1398000</v>
      </c>
    </row>
    <row r="1782" spans="1:15" x14ac:dyDescent="0.4">
      <c r="A1782" t="s">
        <v>221</v>
      </c>
      <c r="B1782">
        <v>80</v>
      </c>
      <c r="C1782" t="s">
        <v>4</v>
      </c>
      <c r="D1782">
        <v>81</v>
      </c>
      <c r="E1782" t="s">
        <v>550</v>
      </c>
      <c r="F1782">
        <v>1322</v>
      </c>
      <c r="G1782" t="s">
        <v>961</v>
      </c>
      <c r="I1782">
        <v>20007300</v>
      </c>
      <c r="J1782" t="s">
        <v>3073</v>
      </c>
      <c r="K1782">
        <v>800157</v>
      </c>
      <c r="L1782">
        <v>1</v>
      </c>
      <c r="M1782" t="s">
        <v>204</v>
      </c>
      <c r="O1782">
        <v>787200</v>
      </c>
    </row>
    <row r="1783" spans="1:15" x14ac:dyDescent="0.4">
      <c r="A1783" t="s">
        <v>186</v>
      </c>
      <c r="B1783">
        <v>80</v>
      </c>
      <c r="C1783" t="s">
        <v>4</v>
      </c>
      <c r="D1783">
        <v>71</v>
      </c>
      <c r="E1783" t="s">
        <v>556</v>
      </c>
      <c r="F1783">
        <v>1296</v>
      </c>
      <c r="G1783" t="s">
        <v>964</v>
      </c>
      <c r="I1783">
        <v>10039294</v>
      </c>
      <c r="J1783" t="s">
        <v>3074</v>
      </c>
      <c r="K1783">
        <v>800157</v>
      </c>
      <c r="L1783">
        <v>1</v>
      </c>
      <c r="M1783" t="s">
        <v>238</v>
      </c>
      <c r="N1783" t="s">
        <v>189</v>
      </c>
      <c r="O1783">
        <v>784000</v>
      </c>
    </row>
    <row r="1784" spans="1:15" x14ac:dyDescent="0.4">
      <c r="A1784" t="s">
        <v>238</v>
      </c>
      <c r="B1784">
        <v>50</v>
      </c>
      <c r="C1784" t="s">
        <v>1</v>
      </c>
      <c r="D1784">
        <v>11</v>
      </c>
      <c r="E1784" t="s">
        <v>192</v>
      </c>
      <c r="F1784">
        <v>1353</v>
      </c>
      <c r="G1784" t="s">
        <v>1017</v>
      </c>
      <c r="I1784">
        <v>10058532</v>
      </c>
      <c r="J1784" t="s">
        <v>3075</v>
      </c>
      <c r="K1784">
        <v>800157</v>
      </c>
      <c r="L1784">
        <v>1</v>
      </c>
      <c r="M1784" t="s">
        <v>230</v>
      </c>
      <c r="N1784" t="s">
        <v>233</v>
      </c>
      <c r="O1784">
        <v>784000</v>
      </c>
    </row>
    <row r="1785" spans="1:15" x14ac:dyDescent="0.4">
      <c r="A1785" t="s">
        <v>258</v>
      </c>
      <c r="B1785">
        <v>60</v>
      </c>
      <c r="C1785" t="s">
        <v>3</v>
      </c>
      <c r="D1785">
        <v>31</v>
      </c>
      <c r="E1785" t="s">
        <v>447</v>
      </c>
      <c r="F1785">
        <v>1299</v>
      </c>
      <c r="G1785" t="s">
        <v>947</v>
      </c>
      <c r="I1785">
        <v>10018354</v>
      </c>
      <c r="J1785" t="s">
        <v>3076</v>
      </c>
      <c r="K1785">
        <v>800159</v>
      </c>
      <c r="L1785">
        <v>1</v>
      </c>
      <c r="M1785" t="s">
        <v>221</v>
      </c>
      <c r="N1785" t="s">
        <v>331</v>
      </c>
      <c r="O1785">
        <v>1320000</v>
      </c>
    </row>
    <row r="1786" spans="1:15" x14ac:dyDescent="0.4">
      <c r="A1786" t="s">
        <v>242</v>
      </c>
      <c r="B1786">
        <v>80</v>
      </c>
      <c r="C1786" t="s">
        <v>4</v>
      </c>
      <c r="D1786">
        <v>81</v>
      </c>
      <c r="E1786" t="s">
        <v>550</v>
      </c>
      <c r="F1786">
        <v>1322</v>
      </c>
      <c r="G1786" t="s">
        <v>961</v>
      </c>
      <c r="I1786">
        <v>20007373</v>
      </c>
      <c r="J1786" t="s">
        <v>3077</v>
      </c>
      <c r="K1786">
        <v>800159</v>
      </c>
      <c r="L1786">
        <v>1</v>
      </c>
      <c r="M1786" t="s">
        <v>311</v>
      </c>
      <c r="N1786" t="s">
        <v>316</v>
      </c>
      <c r="O1786">
        <v>1395600</v>
      </c>
    </row>
    <row r="1787" spans="1:15" x14ac:dyDescent="0.4">
      <c r="A1787" t="s">
        <v>311</v>
      </c>
      <c r="B1787">
        <v>60</v>
      </c>
      <c r="C1787" t="s">
        <v>3</v>
      </c>
      <c r="D1787">
        <v>33</v>
      </c>
      <c r="E1787" t="s">
        <v>451</v>
      </c>
      <c r="F1787">
        <v>1273</v>
      </c>
      <c r="G1787" t="s">
        <v>1084</v>
      </c>
      <c r="I1787">
        <v>10014465</v>
      </c>
      <c r="J1787" t="s">
        <v>3078</v>
      </c>
      <c r="K1787">
        <v>800157</v>
      </c>
      <c r="L1787">
        <v>1</v>
      </c>
      <c r="M1787" t="s">
        <v>258</v>
      </c>
      <c r="N1787" t="s">
        <v>261</v>
      </c>
      <c r="O1787">
        <v>687600</v>
      </c>
    </row>
    <row r="1788" spans="1:15" x14ac:dyDescent="0.4">
      <c r="A1788" t="s">
        <v>1594</v>
      </c>
      <c r="B1788">
        <v>80</v>
      </c>
      <c r="C1788" t="s">
        <v>4</v>
      </c>
      <c r="D1788">
        <v>81</v>
      </c>
      <c r="E1788" t="s">
        <v>550</v>
      </c>
      <c r="F1788">
        <v>1378</v>
      </c>
      <c r="G1788" t="s">
        <v>881</v>
      </c>
      <c r="I1788">
        <v>10060686</v>
      </c>
      <c r="J1788" t="s">
        <v>3079</v>
      </c>
      <c r="K1788">
        <v>800159</v>
      </c>
      <c r="L1788">
        <v>1</v>
      </c>
      <c r="M1788" t="s">
        <v>1596</v>
      </c>
      <c r="N1788" t="s">
        <v>254</v>
      </c>
      <c r="O1788">
        <v>1401000</v>
      </c>
    </row>
    <row r="1789" spans="1:15" x14ac:dyDescent="0.4">
      <c r="A1789" t="s">
        <v>250</v>
      </c>
      <c r="B1789">
        <v>60</v>
      </c>
      <c r="C1789" t="s">
        <v>3</v>
      </c>
      <c r="D1789">
        <v>31</v>
      </c>
      <c r="E1789" t="s">
        <v>447</v>
      </c>
      <c r="F1789">
        <v>1116</v>
      </c>
      <c r="G1789" t="s">
        <v>1075</v>
      </c>
      <c r="I1789">
        <v>20007358</v>
      </c>
      <c r="J1789" t="s">
        <v>3080</v>
      </c>
      <c r="K1789">
        <v>800159</v>
      </c>
      <c r="L1789">
        <v>1</v>
      </c>
      <c r="M1789" t="s">
        <v>196</v>
      </c>
      <c r="N1789" t="s">
        <v>215</v>
      </c>
      <c r="O1789">
        <v>1460400</v>
      </c>
    </row>
    <row r="1790" spans="1:15" x14ac:dyDescent="0.4">
      <c r="A1790" t="s">
        <v>1594</v>
      </c>
      <c r="B1790">
        <v>60</v>
      </c>
      <c r="C1790" t="s">
        <v>3</v>
      </c>
      <c r="D1790">
        <v>31</v>
      </c>
      <c r="E1790" t="s">
        <v>447</v>
      </c>
      <c r="F1790">
        <v>1543</v>
      </c>
      <c r="G1790" t="s">
        <v>1183</v>
      </c>
      <c r="I1790">
        <v>20007357</v>
      </c>
      <c r="J1790" t="s">
        <v>3081</v>
      </c>
      <c r="K1790">
        <v>800157</v>
      </c>
      <c r="L1790">
        <v>1</v>
      </c>
      <c r="M1790" t="s">
        <v>1596</v>
      </c>
      <c r="N1790" t="s">
        <v>252</v>
      </c>
      <c r="O1790">
        <v>822400</v>
      </c>
    </row>
    <row r="1791" spans="1:15" x14ac:dyDescent="0.4">
      <c r="A1791" t="s">
        <v>1596</v>
      </c>
      <c r="B1791">
        <v>60</v>
      </c>
      <c r="C1791" t="s">
        <v>3</v>
      </c>
      <c r="D1791">
        <v>31</v>
      </c>
      <c r="E1791" t="s">
        <v>447</v>
      </c>
      <c r="F1791">
        <v>1543</v>
      </c>
      <c r="G1791" t="s">
        <v>1183</v>
      </c>
      <c r="I1791">
        <v>20007281</v>
      </c>
      <c r="J1791" t="s">
        <v>3082</v>
      </c>
      <c r="K1791">
        <v>800157</v>
      </c>
      <c r="L1791">
        <v>1</v>
      </c>
      <c r="M1791" t="s">
        <v>268</v>
      </c>
      <c r="N1791" t="s">
        <v>212</v>
      </c>
      <c r="O1791">
        <v>848000</v>
      </c>
    </row>
    <row r="1792" spans="1:15" x14ac:dyDescent="0.4">
      <c r="A1792" t="s">
        <v>1487</v>
      </c>
      <c r="B1792">
        <v>76</v>
      </c>
      <c r="C1792" t="s">
        <v>6</v>
      </c>
      <c r="D1792">
        <v>61</v>
      </c>
      <c r="E1792" t="s">
        <v>703</v>
      </c>
      <c r="F1792">
        <v>1468</v>
      </c>
      <c r="G1792" t="s">
        <v>914</v>
      </c>
      <c r="I1792">
        <v>20007426</v>
      </c>
      <c r="J1792" t="s">
        <v>3083</v>
      </c>
      <c r="K1792">
        <v>800157</v>
      </c>
      <c r="L1792">
        <v>1</v>
      </c>
      <c r="M1792" t="s">
        <v>1523</v>
      </c>
      <c r="N1792" t="s">
        <v>312</v>
      </c>
      <c r="O1792">
        <v>812800</v>
      </c>
    </row>
    <row r="1793" spans="1:15" x14ac:dyDescent="0.4">
      <c r="A1793" t="s">
        <v>186</v>
      </c>
      <c r="B1793">
        <v>75</v>
      </c>
      <c r="C1793" t="s">
        <v>5</v>
      </c>
      <c r="D1793">
        <v>51</v>
      </c>
      <c r="E1793" t="s">
        <v>657</v>
      </c>
      <c r="F1793">
        <v>1365</v>
      </c>
      <c r="G1793" t="s">
        <v>1148</v>
      </c>
      <c r="I1793">
        <v>10041106</v>
      </c>
      <c r="J1793" t="s">
        <v>3084</v>
      </c>
      <c r="K1793">
        <v>800159</v>
      </c>
      <c r="L1793">
        <v>1</v>
      </c>
      <c r="M1793" t="s">
        <v>238</v>
      </c>
      <c r="N1793" t="s">
        <v>239</v>
      </c>
      <c r="O1793">
        <v>1514400</v>
      </c>
    </row>
    <row r="1794" spans="1:15" x14ac:dyDescent="0.4">
      <c r="A1794" t="s">
        <v>220</v>
      </c>
      <c r="B1794">
        <v>75</v>
      </c>
      <c r="C1794" t="s">
        <v>5</v>
      </c>
      <c r="D1794">
        <v>51</v>
      </c>
      <c r="E1794" t="s">
        <v>657</v>
      </c>
      <c r="F1794">
        <v>1415</v>
      </c>
      <c r="G1794" t="s">
        <v>1038</v>
      </c>
      <c r="I1794">
        <v>20007739</v>
      </c>
      <c r="J1794" t="s">
        <v>2980</v>
      </c>
      <c r="K1794">
        <v>800159</v>
      </c>
      <c r="L1794">
        <v>1</v>
      </c>
      <c r="M1794" t="s">
        <v>203</v>
      </c>
      <c r="N1794" t="s">
        <v>208</v>
      </c>
      <c r="O1794">
        <v>1417200</v>
      </c>
    </row>
    <row r="1795" spans="1:15" x14ac:dyDescent="0.4">
      <c r="A1795" t="s">
        <v>268</v>
      </c>
      <c r="B1795">
        <v>76</v>
      </c>
      <c r="C1795" t="s">
        <v>6</v>
      </c>
      <c r="D1795">
        <v>61</v>
      </c>
      <c r="E1795" t="s">
        <v>703</v>
      </c>
      <c r="F1795">
        <v>1602</v>
      </c>
      <c r="G1795" t="s">
        <v>1013</v>
      </c>
      <c r="I1795">
        <v>10037031</v>
      </c>
      <c r="J1795" t="s">
        <v>3085</v>
      </c>
      <c r="K1795">
        <v>800159</v>
      </c>
      <c r="L1795">
        <v>1</v>
      </c>
      <c r="M1795" t="s">
        <v>195</v>
      </c>
      <c r="N1795" t="s">
        <v>200</v>
      </c>
      <c r="O1795">
        <v>1320000</v>
      </c>
    </row>
    <row r="1796" spans="1:15" x14ac:dyDescent="0.4">
      <c r="A1796" t="s">
        <v>186</v>
      </c>
      <c r="B1796">
        <v>80</v>
      </c>
      <c r="C1796" t="s">
        <v>4</v>
      </c>
      <c r="D1796">
        <v>81</v>
      </c>
      <c r="E1796" t="s">
        <v>550</v>
      </c>
      <c r="F1796">
        <v>1154</v>
      </c>
      <c r="G1796" t="s">
        <v>1044</v>
      </c>
      <c r="I1796">
        <v>20008924</v>
      </c>
      <c r="J1796" t="s">
        <v>3086</v>
      </c>
      <c r="K1796">
        <v>800159</v>
      </c>
      <c r="L1796">
        <v>1</v>
      </c>
      <c r="M1796" t="s">
        <v>238</v>
      </c>
      <c r="N1796" t="s">
        <v>239</v>
      </c>
      <c r="O1796">
        <v>1406400</v>
      </c>
    </row>
    <row r="1797" spans="1:15" x14ac:dyDescent="0.4">
      <c r="A1797" t="s">
        <v>1596</v>
      </c>
      <c r="B1797">
        <v>76</v>
      </c>
      <c r="C1797" t="s">
        <v>6</v>
      </c>
      <c r="D1797">
        <v>61</v>
      </c>
      <c r="E1797" t="s">
        <v>703</v>
      </c>
      <c r="F1797">
        <v>1389</v>
      </c>
      <c r="G1797" t="s">
        <v>1197</v>
      </c>
      <c r="I1797">
        <v>10041571</v>
      </c>
      <c r="J1797" t="s">
        <v>2302</v>
      </c>
      <c r="K1797">
        <v>800159</v>
      </c>
      <c r="L1797">
        <v>1</v>
      </c>
      <c r="M1797" t="s">
        <v>268</v>
      </c>
      <c r="N1797" t="s">
        <v>214</v>
      </c>
      <c r="O1797">
        <v>1320000</v>
      </c>
    </row>
    <row r="1798" spans="1:15" x14ac:dyDescent="0.4">
      <c r="A1798" t="s">
        <v>238</v>
      </c>
      <c r="B1798">
        <v>70</v>
      </c>
      <c r="C1798" t="s">
        <v>2</v>
      </c>
      <c r="D1798">
        <v>41</v>
      </c>
      <c r="E1798" t="s">
        <v>306</v>
      </c>
      <c r="F1798">
        <v>1613</v>
      </c>
      <c r="G1798" t="s">
        <v>1413</v>
      </c>
      <c r="I1798">
        <v>20007590</v>
      </c>
      <c r="J1798" t="s">
        <v>3087</v>
      </c>
      <c r="K1798">
        <v>800157</v>
      </c>
      <c r="L1798">
        <v>1</v>
      </c>
      <c r="M1798" t="s">
        <v>230</v>
      </c>
      <c r="N1798" t="s">
        <v>233</v>
      </c>
      <c r="O1798">
        <v>828800</v>
      </c>
    </row>
    <row r="1799" spans="1:15" x14ac:dyDescent="0.4">
      <c r="A1799" t="s">
        <v>220</v>
      </c>
      <c r="B1799">
        <v>70</v>
      </c>
      <c r="C1799" t="s">
        <v>2</v>
      </c>
      <c r="D1799">
        <v>41</v>
      </c>
      <c r="E1799" t="s">
        <v>306</v>
      </c>
      <c r="F1799">
        <v>1298</v>
      </c>
      <c r="G1799" t="s">
        <v>1277</v>
      </c>
      <c r="I1799">
        <v>20007436</v>
      </c>
      <c r="J1799" t="s">
        <v>3088</v>
      </c>
      <c r="K1799">
        <v>800157</v>
      </c>
      <c r="L1799">
        <v>1</v>
      </c>
      <c r="M1799" t="s">
        <v>203</v>
      </c>
      <c r="N1799" t="s">
        <v>206</v>
      </c>
      <c r="O1799">
        <v>784000</v>
      </c>
    </row>
    <row r="1800" spans="1:15" x14ac:dyDescent="0.4">
      <c r="A1800" t="s">
        <v>290</v>
      </c>
      <c r="B1800">
        <v>76</v>
      </c>
      <c r="C1800" t="s">
        <v>6</v>
      </c>
      <c r="D1800">
        <v>61</v>
      </c>
      <c r="E1800" t="s">
        <v>703</v>
      </c>
      <c r="F1800">
        <v>1475</v>
      </c>
      <c r="G1800" t="s">
        <v>909</v>
      </c>
      <c r="I1800">
        <v>10070744</v>
      </c>
      <c r="J1800" t="s">
        <v>3089</v>
      </c>
      <c r="K1800">
        <v>800159</v>
      </c>
      <c r="L1800">
        <v>1</v>
      </c>
      <c r="M1800" t="s">
        <v>250</v>
      </c>
      <c r="N1800" t="s">
        <v>255</v>
      </c>
      <c r="O1800">
        <v>1503600</v>
      </c>
    </row>
    <row r="1801" spans="1:15" x14ac:dyDescent="0.4">
      <c r="A1801" t="s">
        <v>1479</v>
      </c>
      <c r="B1801">
        <v>70</v>
      </c>
      <c r="C1801" t="s">
        <v>2</v>
      </c>
      <c r="D1801">
        <v>41</v>
      </c>
      <c r="E1801" t="s">
        <v>306</v>
      </c>
      <c r="F1801">
        <v>1510</v>
      </c>
      <c r="G1801" t="s">
        <v>870</v>
      </c>
      <c r="I1801">
        <v>20007847</v>
      </c>
      <c r="J1801" t="s">
        <v>3090</v>
      </c>
      <c r="K1801">
        <v>800157</v>
      </c>
      <c r="L1801">
        <v>1</v>
      </c>
      <c r="M1801" t="s">
        <v>1487</v>
      </c>
      <c r="N1801" t="s">
        <v>243</v>
      </c>
      <c r="O1801">
        <v>819200</v>
      </c>
    </row>
    <row r="1802" spans="1:15" x14ac:dyDescent="0.4">
      <c r="A1802" t="s">
        <v>1469</v>
      </c>
      <c r="B1802">
        <v>76</v>
      </c>
      <c r="C1802" t="s">
        <v>6</v>
      </c>
      <c r="D1802">
        <v>61</v>
      </c>
      <c r="E1802" t="s">
        <v>703</v>
      </c>
      <c r="F1802">
        <v>1563</v>
      </c>
      <c r="G1802" t="s">
        <v>942</v>
      </c>
      <c r="I1802">
        <v>20007798</v>
      </c>
      <c r="J1802" t="s">
        <v>3091</v>
      </c>
      <c r="K1802">
        <v>800157</v>
      </c>
      <c r="L1802">
        <v>1</v>
      </c>
      <c r="M1802" t="s">
        <v>1475</v>
      </c>
      <c r="N1802" t="s">
        <v>187</v>
      </c>
      <c r="O1802">
        <v>803200</v>
      </c>
    </row>
    <row r="1803" spans="1:15" x14ac:dyDescent="0.4">
      <c r="A1803" t="s">
        <v>1479</v>
      </c>
      <c r="B1803">
        <v>75</v>
      </c>
      <c r="C1803" t="s">
        <v>5</v>
      </c>
      <c r="D1803">
        <v>51</v>
      </c>
      <c r="E1803" t="s">
        <v>657</v>
      </c>
      <c r="F1803">
        <v>1365</v>
      </c>
      <c r="G1803" t="s">
        <v>1148</v>
      </c>
      <c r="I1803">
        <v>20007804</v>
      </c>
      <c r="J1803" t="s">
        <v>3092</v>
      </c>
      <c r="K1803">
        <v>800157</v>
      </c>
      <c r="L1803">
        <v>1</v>
      </c>
      <c r="M1803" t="s">
        <v>1487</v>
      </c>
      <c r="N1803" t="s">
        <v>243</v>
      </c>
      <c r="O1803">
        <v>905600</v>
      </c>
    </row>
    <row r="1804" spans="1:15" x14ac:dyDescent="0.4">
      <c r="A1804" t="s">
        <v>238</v>
      </c>
      <c r="B1804">
        <v>75</v>
      </c>
      <c r="C1804" t="s">
        <v>5</v>
      </c>
      <c r="D1804">
        <v>51</v>
      </c>
      <c r="E1804" t="s">
        <v>657</v>
      </c>
      <c r="F1804">
        <v>1415</v>
      </c>
      <c r="G1804" t="s">
        <v>1038</v>
      </c>
      <c r="I1804">
        <v>20010156</v>
      </c>
      <c r="J1804" t="s">
        <v>3093</v>
      </c>
      <c r="K1804">
        <v>800159</v>
      </c>
      <c r="L1804">
        <v>1</v>
      </c>
      <c r="M1804" t="s">
        <v>230</v>
      </c>
      <c r="N1804" t="s">
        <v>235</v>
      </c>
      <c r="O1804">
        <v>1590000</v>
      </c>
    </row>
    <row r="1805" spans="1:15" x14ac:dyDescent="0.4">
      <c r="A1805" t="s">
        <v>268</v>
      </c>
      <c r="B1805">
        <v>60</v>
      </c>
      <c r="C1805" t="s">
        <v>3</v>
      </c>
      <c r="D1805">
        <v>33</v>
      </c>
      <c r="E1805" t="s">
        <v>451</v>
      </c>
      <c r="F1805">
        <v>1505</v>
      </c>
      <c r="G1805" t="s">
        <v>900</v>
      </c>
      <c r="I1805">
        <v>20007578</v>
      </c>
      <c r="J1805" t="s">
        <v>3094</v>
      </c>
      <c r="K1805">
        <v>800159</v>
      </c>
      <c r="L1805">
        <v>1</v>
      </c>
      <c r="M1805" t="s">
        <v>195</v>
      </c>
      <c r="N1805" t="s">
        <v>200</v>
      </c>
      <c r="O1805">
        <v>1320000</v>
      </c>
    </row>
    <row r="1806" spans="1:15" x14ac:dyDescent="0.4">
      <c r="A1806" t="s">
        <v>220</v>
      </c>
      <c r="B1806">
        <v>60</v>
      </c>
      <c r="C1806" t="s">
        <v>3</v>
      </c>
      <c r="D1806">
        <v>31</v>
      </c>
      <c r="E1806" t="s">
        <v>447</v>
      </c>
      <c r="F1806">
        <v>1299</v>
      </c>
      <c r="G1806" t="s">
        <v>947</v>
      </c>
      <c r="I1806">
        <v>10043186</v>
      </c>
      <c r="J1806" t="s">
        <v>3095</v>
      </c>
      <c r="K1806">
        <v>800159</v>
      </c>
      <c r="L1806">
        <v>1</v>
      </c>
      <c r="M1806" t="s">
        <v>203</v>
      </c>
      <c r="N1806" t="s">
        <v>208</v>
      </c>
      <c r="O1806">
        <v>1224000</v>
      </c>
    </row>
    <row r="1807" spans="1:15" x14ac:dyDescent="0.4">
      <c r="A1807" t="s">
        <v>203</v>
      </c>
      <c r="B1807">
        <v>70</v>
      </c>
      <c r="C1807" t="s">
        <v>2</v>
      </c>
      <c r="D1807">
        <v>41</v>
      </c>
      <c r="E1807" t="s">
        <v>306</v>
      </c>
      <c r="F1807">
        <v>1298</v>
      </c>
      <c r="G1807" t="s">
        <v>1277</v>
      </c>
      <c r="I1807">
        <v>10064145</v>
      </c>
      <c r="J1807" t="s">
        <v>3096</v>
      </c>
      <c r="K1807">
        <v>800159</v>
      </c>
      <c r="L1807">
        <v>1</v>
      </c>
      <c r="M1807" t="s">
        <v>290</v>
      </c>
      <c r="N1807" t="s">
        <v>295</v>
      </c>
      <c r="O1807">
        <v>1465800</v>
      </c>
    </row>
    <row r="1808" spans="1:15" x14ac:dyDescent="0.4">
      <c r="A1808" t="s">
        <v>250</v>
      </c>
      <c r="B1808">
        <v>80</v>
      </c>
      <c r="C1808" t="s">
        <v>4</v>
      </c>
      <c r="D1808">
        <v>81</v>
      </c>
      <c r="E1808" t="s">
        <v>550</v>
      </c>
      <c r="F1808">
        <v>1154</v>
      </c>
      <c r="G1808" t="s">
        <v>1044</v>
      </c>
      <c r="I1808">
        <v>10087910</v>
      </c>
      <c r="J1808" t="s">
        <v>3097</v>
      </c>
      <c r="K1808">
        <v>800159</v>
      </c>
      <c r="L1808">
        <v>1</v>
      </c>
      <c r="M1808" t="s">
        <v>196</v>
      </c>
      <c r="N1808" t="s">
        <v>215</v>
      </c>
      <c r="O1808">
        <v>1831200</v>
      </c>
    </row>
    <row r="1809" spans="1:15" x14ac:dyDescent="0.4">
      <c r="A1809" t="s">
        <v>1587</v>
      </c>
      <c r="B1809">
        <v>50</v>
      </c>
      <c r="C1809" t="s">
        <v>1</v>
      </c>
      <c r="D1809">
        <v>11</v>
      </c>
      <c r="E1809" t="s">
        <v>192</v>
      </c>
      <c r="F1809">
        <v>1085</v>
      </c>
      <c r="G1809" t="s">
        <v>854</v>
      </c>
      <c r="I1809">
        <v>20007474</v>
      </c>
      <c r="J1809" t="s">
        <v>3098</v>
      </c>
      <c r="K1809">
        <v>800157</v>
      </c>
      <c r="L1809">
        <v>1</v>
      </c>
      <c r="M1809" t="s">
        <v>1548</v>
      </c>
      <c r="N1809" t="s">
        <v>327</v>
      </c>
      <c r="O1809">
        <v>784000</v>
      </c>
    </row>
    <row r="1810" spans="1:15" x14ac:dyDescent="0.4">
      <c r="A1810" t="s">
        <v>1469</v>
      </c>
      <c r="B1810">
        <v>70</v>
      </c>
      <c r="C1810" t="s">
        <v>2</v>
      </c>
      <c r="D1810">
        <v>41</v>
      </c>
      <c r="E1810" t="s">
        <v>306</v>
      </c>
      <c r="F1810">
        <v>1561</v>
      </c>
      <c r="G1810" t="s">
        <v>1070</v>
      </c>
      <c r="I1810">
        <v>20007613</v>
      </c>
      <c r="J1810" t="s">
        <v>3099</v>
      </c>
      <c r="K1810">
        <v>800157</v>
      </c>
      <c r="L1810">
        <v>1</v>
      </c>
      <c r="M1810" t="s">
        <v>1475</v>
      </c>
      <c r="N1810" t="s">
        <v>187</v>
      </c>
      <c r="O1810">
        <v>812800</v>
      </c>
    </row>
    <row r="1811" spans="1:15" x14ac:dyDescent="0.4">
      <c r="A1811" t="s">
        <v>290</v>
      </c>
      <c r="B1811">
        <v>70</v>
      </c>
      <c r="C1811" t="s">
        <v>2</v>
      </c>
      <c r="D1811">
        <v>41</v>
      </c>
      <c r="E1811" t="s">
        <v>306</v>
      </c>
      <c r="F1811">
        <v>1445</v>
      </c>
      <c r="G1811" t="s">
        <v>886</v>
      </c>
      <c r="I1811">
        <v>20007564</v>
      </c>
      <c r="J1811" t="s">
        <v>3100</v>
      </c>
      <c r="K1811">
        <v>800159</v>
      </c>
      <c r="L1811">
        <v>1</v>
      </c>
      <c r="M1811" t="s">
        <v>250</v>
      </c>
      <c r="N1811" t="s">
        <v>255</v>
      </c>
      <c r="O1811">
        <v>1600800</v>
      </c>
    </row>
    <row r="1812" spans="1:15" x14ac:dyDescent="0.4">
      <c r="A1812" t="s">
        <v>376</v>
      </c>
      <c r="B1812">
        <v>50</v>
      </c>
      <c r="C1812" t="s">
        <v>1</v>
      </c>
      <c r="D1812">
        <v>11</v>
      </c>
      <c r="E1812" t="s">
        <v>192</v>
      </c>
      <c r="F1812">
        <v>1353</v>
      </c>
      <c r="G1812" t="s">
        <v>1017</v>
      </c>
      <c r="I1812">
        <v>10071074</v>
      </c>
      <c r="J1812" t="s">
        <v>3101</v>
      </c>
      <c r="K1812">
        <v>800157</v>
      </c>
      <c r="L1812">
        <v>1</v>
      </c>
      <c r="M1812" t="s">
        <v>353</v>
      </c>
      <c r="N1812" t="s">
        <v>328</v>
      </c>
      <c r="O1812">
        <v>784000</v>
      </c>
    </row>
    <row r="1813" spans="1:15" x14ac:dyDescent="0.4">
      <c r="A1813" t="s">
        <v>268</v>
      </c>
      <c r="B1813">
        <v>80</v>
      </c>
      <c r="C1813" t="s">
        <v>4</v>
      </c>
      <c r="D1813">
        <v>81</v>
      </c>
      <c r="E1813" t="s">
        <v>550</v>
      </c>
      <c r="F1813">
        <v>1154</v>
      </c>
      <c r="G1813" t="s">
        <v>1044</v>
      </c>
      <c r="I1813">
        <v>20007915</v>
      </c>
      <c r="J1813" t="s">
        <v>3102</v>
      </c>
      <c r="K1813">
        <v>800159</v>
      </c>
      <c r="L1813">
        <v>1</v>
      </c>
      <c r="M1813" t="s">
        <v>195</v>
      </c>
      <c r="N1813" t="s">
        <v>200</v>
      </c>
      <c r="O1813">
        <v>1330800</v>
      </c>
    </row>
    <row r="1814" spans="1:15" x14ac:dyDescent="0.4">
      <c r="A1814" t="s">
        <v>1594</v>
      </c>
      <c r="B1814">
        <v>75</v>
      </c>
      <c r="C1814" t="s">
        <v>5</v>
      </c>
      <c r="D1814">
        <v>51</v>
      </c>
      <c r="E1814" t="s">
        <v>657</v>
      </c>
      <c r="F1814">
        <v>1365</v>
      </c>
      <c r="G1814" t="s">
        <v>1148</v>
      </c>
      <c r="I1814">
        <v>10015524</v>
      </c>
      <c r="J1814" t="s">
        <v>3103</v>
      </c>
      <c r="K1814">
        <v>800157</v>
      </c>
      <c r="L1814">
        <v>1</v>
      </c>
      <c r="M1814" t="s">
        <v>1596</v>
      </c>
      <c r="N1814" t="s">
        <v>252</v>
      </c>
      <c r="O1814">
        <v>784000</v>
      </c>
    </row>
    <row r="1815" spans="1:15" x14ac:dyDescent="0.4">
      <c r="A1815" t="s">
        <v>1487</v>
      </c>
      <c r="B1815">
        <v>80</v>
      </c>
      <c r="C1815" t="s">
        <v>4</v>
      </c>
      <c r="D1815">
        <v>81</v>
      </c>
      <c r="E1815" t="s">
        <v>550</v>
      </c>
      <c r="F1815">
        <v>1322</v>
      </c>
      <c r="G1815" t="s">
        <v>961</v>
      </c>
      <c r="I1815">
        <v>20009433</v>
      </c>
      <c r="J1815" t="s">
        <v>3104</v>
      </c>
      <c r="K1815">
        <v>800157</v>
      </c>
      <c r="L1815">
        <v>1</v>
      </c>
      <c r="M1815" t="s">
        <v>1523</v>
      </c>
      <c r="N1815" t="s">
        <v>312</v>
      </c>
      <c r="O1815">
        <v>816000</v>
      </c>
    </row>
    <row r="1816" spans="1:15" x14ac:dyDescent="0.4">
      <c r="A1816" t="s">
        <v>1587</v>
      </c>
      <c r="B1816">
        <v>76</v>
      </c>
      <c r="C1816" t="s">
        <v>6</v>
      </c>
      <c r="D1816">
        <v>61</v>
      </c>
      <c r="E1816" t="s">
        <v>703</v>
      </c>
      <c r="F1816">
        <v>1475</v>
      </c>
      <c r="G1816" t="s">
        <v>909</v>
      </c>
      <c r="I1816">
        <v>20009439</v>
      </c>
      <c r="J1816" t="s">
        <v>3105</v>
      </c>
      <c r="K1816">
        <v>800157</v>
      </c>
      <c r="L1816">
        <v>1</v>
      </c>
      <c r="M1816" t="s">
        <v>1548</v>
      </c>
      <c r="N1816" t="s">
        <v>327</v>
      </c>
      <c r="O1816">
        <v>796800</v>
      </c>
    </row>
    <row r="1817" spans="1:15" x14ac:dyDescent="0.4">
      <c r="A1817" t="s">
        <v>1487</v>
      </c>
      <c r="B1817">
        <v>50</v>
      </c>
      <c r="C1817" t="s">
        <v>1</v>
      </c>
      <c r="D1817">
        <v>21</v>
      </c>
      <c r="E1817" t="s">
        <v>182</v>
      </c>
      <c r="F1817">
        <v>1264</v>
      </c>
      <c r="G1817" t="s">
        <v>1023</v>
      </c>
      <c r="I1817">
        <v>20009362</v>
      </c>
      <c r="J1817" t="s">
        <v>3106</v>
      </c>
      <c r="K1817">
        <v>800157</v>
      </c>
      <c r="L1817">
        <v>1</v>
      </c>
      <c r="M1817" t="s">
        <v>1523</v>
      </c>
      <c r="N1817" t="s">
        <v>312</v>
      </c>
      <c r="O1817">
        <v>832000</v>
      </c>
    </row>
    <row r="1818" spans="1:15" x14ac:dyDescent="0.4">
      <c r="A1818" t="s">
        <v>1523</v>
      </c>
      <c r="B1818">
        <v>76</v>
      </c>
      <c r="C1818" t="s">
        <v>6</v>
      </c>
      <c r="D1818">
        <v>61</v>
      </c>
      <c r="E1818" t="s">
        <v>703</v>
      </c>
      <c r="F1818">
        <v>1475</v>
      </c>
      <c r="G1818" t="s">
        <v>909</v>
      </c>
      <c r="I1818">
        <v>20009409</v>
      </c>
      <c r="J1818" t="s">
        <v>3107</v>
      </c>
      <c r="K1818">
        <v>800159</v>
      </c>
      <c r="L1818">
        <v>1</v>
      </c>
      <c r="M1818" t="s">
        <v>1587</v>
      </c>
      <c r="N1818" t="s">
        <v>261</v>
      </c>
      <c r="O1818">
        <v>1428000</v>
      </c>
    </row>
    <row r="1819" spans="1:15" x14ac:dyDescent="0.4">
      <c r="A1819" t="s">
        <v>1523</v>
      </c>
      <c r="B1819">
        <v>75</v>
      </c>
      <c r="C1819" t="s">
        <v>5</v>
      </c>
      <c r="D1819">
        <v>51</v>
      </c>
      <c r="E1819" t="s">
        <v>657</v>
      </c>
      <c r="F1819">
        <v>1415</v>
      </c>
      <c r="G1819" t="s">
        <v>1038</v>
      </c>
      <c r="I1819">
        <v>10044734</v>
      </c>
      <c r="J1819" t="s">
        <v>2048</v>
      </c>
      <c r="K1819">
        <v>800157</v>
      </c>
      <c r="L1819">
        <v>1</v>
      </c>
      <c r="M1819" t="s">
        <v>1587</v>
      </c>
      <c r="N1819" t="s">
        <v>259</v>
      </c>
      <c r="O1819">
        <v>896000</v>
      </c>
    </row>
    <row r="1820" spans="1:15" x14ac:dyDescent="0.4">
      <c r="A1820" t="s">
        <v>268</v>
      </c>
      <c r="B1820">
        <v>60</v>
      </c>
      <c r="C1820" t="s">
        <v>3</v>
      </c>
      <c r="D1820">
        <v>33</v>
      </c>
      <c r="E1820" t="s">
        <v>451</v>
      </c>
      <c r="F1820">
        <v>1505</v>
      </c>
      <c r="G1820" t="s">
        <v>900</v>
      </c>
      <c r="I1820">
        <v>10063668</v>
      </c>
      <c r="J1820" t="s">
        <v>3108</v>
      </c>
      <c r="K1820">
        <v>800155</v>
      </c>
      <c r="L1820">
        <v>1</v>
      </c>
      <c r="M1820" t="s">
        <v>195</v>
      </c>
      <c r="N1820" t="s">
        <v>196</v>
      </c>
      <c r="O1820">
        <v>240000</v>
      </c>
    </row>
    <row r="1821" spans="1:15" x14ac:dyDescent="0.4">
      <c r="A1821" t="s">
        <v>196</v>
      </c>
      <c r="B1821">
        <v>60</v>
      </c>
      <c r="C1821" t="s">
        <v>3</v>
      </c>
      <c r="D1821">
        <v>33</v>
      </c>
      <c r="E1821" t="s">
        <v>451</v>
      </c>
      <c r="F1821">
        <v>1505</v>
      </c>
      <c r="G1821" t="s">
        <v>900</v>
      </c>
      <c r="I1821">
        <v>10063668</v>
      </c>
      <c r="J1821" t="s">
        <v>3108</v>
      </c>
      <c r="K1821">
        <v>800155</v>
      </c>
      <c r="L1821">
        <v>1</v>
      </c>
      <c r="M1821" t="s">
        <v>186</v>
      </c>
      <c r="N1821" t="s">
        <v>197</v>
      </c>
      <c r="O1821">
        <v>258000</v>
      </c>
    </row>
    <row r="1822" spans="1:15" x14ac:dyDescent="0.4">
      <c r="A1822" t="s">
        <v>1523</v>
      </c>
      <c r="B1822">
        <v>60</v>
      </c>
      <c r="C1822" t="s">
        <v>3</v>
      </c>
      <c r="D1822">
        <v>33</v>
      </c>
      <c r="E1822" t="s">
        <v>451</v>
      </c>
      <c r="F1822">
        <v>1372</v>
      </c>
      <c r="G1822" t="s">
        <v>992</v>
      </c>
      <c r="I1822">
        <v>20009453</v>
      </c>
      <c r="J1822" t="s">
        <v>3109</v>
      </c>
      <c r="K1822">
        <v>800157</v>
      </c>
      <c r="L1822">
        <v>1</v>
      </c>
      <c r="M1822" t="s">
        <v>1587</v>
      </c>
      <c r="N1822" t="s">
        <v>259</v>
      </c>
      <c r="O1822">
        <v>822400</v>
      </c>
    </row>
    <row r="1823" spans="1:15" x14ac:dyDescent="0.4">
      <c r="A1823" t="s">
        <v>1587</v>
      </c>
      <c r="B1823">
        <v>80</v>
      </c>
      <c r="C1823" t="s">
        <v>4</v>
      </c>
      <c r="D1823">
        <v>71</v>
      </c>
      <c r="E1823" t="s">
        <v>556</v>
      </c>
      <c r="F1823">
        <v>1296</v>
      </c>
      <c r="G1823" t="s">
        <v>964</v>
      </c>
      <c r="I1823">
        <v>10061605</v>
      </c>
      <c r="J1823" t="s">
        <v>2133</v>
      </c>
      <c r="K1823">
        <v>800159</v>
      </c>
      <c r="L1823">
        <v>1</v>
      </c>
      <c r="M1823" t="s">
        <v>1548</v>
      </c>
      <c r="N1823" t="s">
        <v>329</v>
      </c>
      <c r="O1823">
        <v>1325400</v>
      </c>
    </row>
    <row r="1824" spans="1:15" x14ac:dyDescent="0.4">
      <c r="A1824" t="s">
        <v>275</v>
      </c>
      <c r="B1824">
        <v>60</v>
      </c>
      <c r="C1824" t="s">
        <v>3</v>
      </c>
      <c r="D1824">
        <v>33</v>
      </c>
      <c r="E1824" t="s">
        <v>451</v>
      </c>
      <c r="F1824">
        <v>1273</v>
      </c>
      <c r="G1824" t="s">
        <v>1084</v>
      </c>
      <c r="I1824">
        <v>10008272</v>
      </c>
      <c r="J1824" t="s">
        <v>3110</v>
      </c>
      <c r="K1824">
        <v>800159</v>
      </c>
      <c r="L1824">
        <v>1</v>
      </c>
      <c r="M1824" t="s">
        <v>281</v>
      </c>
      <c r="N1824" t="s">
        <v>246</v>
      </c>
      <c r="O1824">
        <v>774000</v>
      </c>
    </row>
    <row r="1825" spans="1:15" x14ac:dyDescent="0.4">
      <c r="A1825" t="s">
        <v>185</v>
      </c>
      <c r="B1825">
        <v>50</v>
      </c>
      <c r="C1825" t="s">
        <v>1</v>
      </c>
      <c r="D1825">
        <v>21</v>
      </c>
      <c r="E1825" t="s">
        <v>182</v>
      </c>
      <c r="F1825">
        <v>1345</v>
      </c>
      <c r="G1825" t="s">
        <v>874</v>
      </c>
      <c r="I1825">
        <v>10024613</v>
      </c>
      <c r="J1825" t="s">
        <v>3111</v>
      </c>
      <c r="K1825">
        <v>800159</v>
      </c>
      <c r="L1825">
        <v>1</v>
      </c>
      <c r="M1825" t="s">
        <v>275</v>
      </c>
      <c r="N1825" t="s">
        <v>234</v>
      </c>
      <c r="O1825">
        <v>1460400</v>
      </c>
    </row>
    <row r="1826" spans="1:15" x14ac:dyDescent="0.4">
      <c r="A1826" t="s">
        <v>1594</v>
      </c>
      <c r="B1826">
        <v>75</v>
      </c>
      <c r="C1826" t="s">
        <v>5</v>
      </c>
      <c r="D1826">
        <v>51</v>
      </c>
      <c r="E1826" t="s">
        <v>657</v>
      </c>
      <c r="F1826">
        <v>1435</v>
      </c>
      <c r="G1826" t="s">
        <v>860</v>
      </c>
      <c r="I1826">
        <v>10027742</v>
      </c>
      <c r="J1826" t="s">
        <v>2096</v>
      </c>
      <c r="K1826">
        <v>800159</v>
      </c>
      <c r="L1826">
        <v>1</v>
      </c>
      <c r="M1826" t="s">
        <v>1596</v>
      </c>
      <c r="N1826" t="s">
        <v>254</v>
      </c>
      <c r="O1826">
        <v>1379400</v>
      </c>
    </row>
    <row r="1827" spans="1:15" x14ac:dyDescent="0.4">
      <c r="A1827" t="s">
        <v>1589</v>
      </c>
      <c r="B1827">
        <v>70</v>
      </c>
      <c r="C1827" t="s">
        <v>2</v>
      </c>
      <c r="D1827">
        <v>41</v>
      </c>
      <c r="E1827" t="s">
        <v>306</v>
      </c>
      <c r="F1827">
        <v>1552</v>
      </c>
      <c r="G1827" t="s">
        <v>929</v>
      </c>
      <c r="I1827">
        <v>20009412</v>
      </c>
      <c r="J1827" t="s">
        <v>3112</v>
      </c>
      <c r="K1827">
        <v>800157</v>
      </c>
      <c r="L1827">
        <v>1</v>
      </c>
      <c r="M1827" t="s">
        <v>1594</v>
      </c>
      <c r="N1827" t="s">
        <v>292</v>
      </c>
      <c r="O1827">
        <v>825600</v>
      </c>
    </row>
    <row r="1828" spans="1:15" x14ac:dyDescent="0.4">
      <c r="A1828" t="s">
        <v>1523</v>
      </c>
      <c r="B1828">
        <v>80</v>
      </c>
      <c r="C1828" t="s">
        <v>4</v>
      </c>
      <c r="D1828">
        <v>81</v>
      </c>
      <c r="E1828" t="s">
        <v>550</v>
      </c>
      <c r="F1828">
        <v>1322</v>
      </c>
      <c r="G1828" t="s">
        <v>961</v>
      </c>
      <c r="I1828">
        <v>20009455</v>
      </c>
      <c r="J1828" t="s">
        <v>3113</v>
      </c>
      <c r="K1828">
        <v>800159</v>
      </c>
      <c r="L1828">
        <v>1</v>
      </c>
      <c r="M1828" t="s">
        <v>1587</v>
      </c>
      <c r="N1828" t="s">
        <v>261</v>
      </c>
      <c r="O1828">
        <v>1401000</v>
      </c>
    </row>
    <row r="1829" spans="1:15" x14ac:dyDescent="0.4">
      <c r="A1829" t="s">
        <v>1523</v>
      </c>
      <c r="B1829">
        <v>80</v>
      </c>
      <c r="C1829" t="s">
        <v>4</v>
      </c>
      <c r="D1829">
        <v>81</v>
      </c>
      <c r="E1829" t="s">
        <v>550</v>
      </c>
      <c r="F1829">
        <v>1154</v>
      </c>
      <c r="G1829" t="s">
        <v>1044</v>
      </c>
      <c r="I1829">
        <v>10037181</v>
      </c>
      <c r="J1829" t="s">
        <v>3114</v>
      </c>
      <c r="K1829">
        <v>800159</v>
      </c>
      <c r="L1829">
        <v>1</v>
      </c>
      <c r="M1829" t="s">
        <v>1587</v>
      </c>
      <c r="N1829" t="s">
        <v>261</v>
      </c>
      <c r="O1829">
        <v>1320000</v>
      </c>
    </row>
    <row r="1830" spans="1:15" x14ac:dyDescent="0.4">
      <c r="A1830" t="s">
        <v>1548</v>
      </c>
      <c r="B1830">
        <v>75</v>
      </c>
      <c r="C1830" t="s">
        <v>5</v>
      </c>
      <c r="D1830">
        <v>51</v>
      </c>
      <c r="E1830" t="s">
        <v>657</v>
      </c>
      <c r="F1830">
        <v>1365</v>
      </c>
      <c r="G1830" t="s">
        <v>1148</v>
      </c>
      <c r="I1830">
        <v>10027055</v>
      </c>
      <c r="J1830" t="s">
        <v>3115</v>
      </c>
      <c r="K1830">
        <v>800157</v>
      </c>
      <c r="L1830">
        <v>1</v>
      </c>
      <c r="M1830" t="s">
        <v>1586</v>
      </c>
      <c r="N1830" t="s">
        <v>222</v>
      </c>
      <c r="O1830">
        <v>857600</v>
      </c>
    </row>
    <row r="1831" spans="1:15" x14ac:dyDescent="0.4">
      <c r="A1831" t="s">
        <v>1589</v>
      </c>
      <c r="B1831">
        <v>80</v>
      </c>
      <c r="C1831" t="s">
        <v>4</v>
      </c>
      <c r="D1831">
        <v>71</v>
      </c>
      <c r="E1831" t="s">
        <v>556</v>
      </c>
      <c r="F1831">
        <v>1296</v>
      </c>
      <c r="G1831" t="s">
        <v>964</v>
      </c>
      <c r="I1831">
        <v>20009351</v>
      </c>
      <c r="J1831" t="s">
        <v>3116</v>
      </c>
      <c r="K1831">
        <v>800159</v>
      </c>
      <c r="L1831">
        <v>1</v>
      </c>
      <c r="M1831" t="s">
        <v>1594</v>
      </c>
      <c r="N1831" t="s">
        <v>294</v>
      </c>
      <c r="O1831">
        <v>1325400</v>
      </c>
    </row>
    <row r="1832" spans="1:15" x14ac:dyDescent="0.4">
      <c r="A1832" t="s">
        <v>1589</v>
      </c>
      <c r="B1832">
        <v>75</v>
      </c>
      <c r="C1832" t="s">
        <v>5</v>
      </c>
      <c r="D1832">
        <v>51</v>
      </c>
      <c r="E1832" t="s">
        <v>657</v>
      </c>
      <c r="F1832">
        <v>1435</v>
      </c>
      <c r="G1832" t="s">
        <v>860</v>
      </c>
      <c r="I1832">
        <v>20009540</v>
      </c>
      <c r="J1832" t="s">
        <v>3117</v>
      </c>
      <c r="K1832">
        <v>800159</v>
      </c>
      <c r="L1832">
        <v>1</v>
      </c>
      <c r="M1832" t="s">
        <v>1594</v>
      </c>
      <c r="N1832" t="s">
        <v>294</v>
      </c>
      <c r="O1832">
        <v>1320000</v>
      </c>
    </row>
    <row r="1833" spans="1:15" x14ac:dyDescent="0.4">
      <c r="A1833" t="s">
        <v>1596</v>
      </c>
      <c r="B1833">
        <v>70</v>
      </c>
      <c r="C1833" t="s">
        <v>2</v>
      </c>
      <c r="D1833">
        <v>41</v>
      </c>
      <c r="E1833" t="s">
        <v>306</v>
      </c>
      <c r="F1833">
        <v>1118</v>
      </c>
      <c r="G1833" t="s">
        <v>1471</v>
      </c>
      <c r="I1833">
        <v>20009428</v>
      </c>
      <c r="J1833" t="s">
        <v>3118</v>
      </c>
      <c r="K1833">
        <v>800159</v>
      </c>
      <c r="L1833">
        <v>1</v>
      </c>
      <c r="M1833" t="s">
        <v>268</v>
      </c>
      <c r="N1833" t="s">
        <v>214</v>
      </c>
      <c r="O1833">
        <v>1374000</v>
      </c>
    </row>
    <row r="1834" spans="1:15" x14ac:dyDescent="0.4">
      <c r="A1834" t="s">
        <v>1586</v>
      </c>
      <c r="B1834">
        <v>80</v>
      </c>
      <c r="C1834" t="s">
        <v>4</v>
      </c>
      <c r="D1834">
        <v>71</v>
      </c>
      <c r="E1834" t="s">
        <v>556</v>
      </c>
      <c r="F1834">
        <v>1296</v>
      </c>
      <c r="G1834" t="s">
        <v>964</v>
      </c>
      <c r="I1834">
        <v>20009537</v>
      </c>
      <c r="J1834" t="s">
        <v>3119</v>
      </c>
      <c r="K1834">
        <v>800159</v>
      </c>
      <c r="L1834">
        <v>1</v>
      </c>
      <c r="M1834" t="s">
        <v>1589</v>
      </c>
      <c r="N1834" t="s">
        <v>207</v>
      </c>
      <c r="O1834">
        <v>1325400</v>
      </c>
    </row>
    <row r="1835" spans="1:15" x14ac:dyDescent="0.4">
      <c r="A1835" t="s">
        <v>1586</v>
      </c>
      <c r="B1835">
        <v>76</v>
      </c>
      <c r="C1835" t="s">
        <v>6</v>
      </c>
      <c r="D1835">
        <v>61</v>
      </c>
      <c r="E1835" t="s">
        <v>703</v>
      </c>
      <c r="F1835">
        <v>1563</v>
      </c>
      <c r="G1835" t="s">
        <v>942</v>
      </c>
      <c r="I1835">
        <v>20009511</v>
      </c>
      <c r="J1835" t="s">
        <v>3120</v>
      </c>
      <c r="K1835">
        <v>800157</v>
      </c>
      <c r="L1835">
        <v>1</v>
      </c>
      <c r="M1835" t="s">
        <v>1589</v>
      </c>
      <c r="N1835" t="s">
        <v>205</v>
      </c>
      <c r="O1835">
        <v>800000</v>
      </c>
    </row>
    <row r="1836" spans="1:15" x14ac:dyDescent="0.4">
      <c r="A1836" t="s">
        <v>1586</v>
      </c>
      <c r="B1836">
        <v>75</v>
      </c>
      <c r="C1836" t="s">
        <v>5</v>
      </c>
      <c r="D1836">
        <v>51</v>
      </c>
      <c r="E1836" t="s">
        <v>657</v>
      </c>
      <c r="F1836">
        <v>1365</v>
      </c>
      <c r="G1836" t="s">
        <v>1148</v>
      </c>
      <c r="I1836">
        <v>10048010</v>
      </c>
      <c r="J1836" t="s">
        <v>3121</v>
      </c>
      <c r="K1836">
        <v>800159</v>
      </c>
      <c r="L1836">
        <v>1</v>
      </c>
      <c r="M1836" t="s">
        <v>1589</v>
      </c>
      <c r="N1836" t="s">
        <v>207</v>
      </c>
      <c r="O1836">
        <v>1296000</v>
      </c>
    </row>
    <row r="1837" spans="1:15" x14ac:dyDescent="0.4">
      <c r="A1837" t="s">
        <v>1596</v>
      </c>
      <c r="B1837">
        <v>76</v>
      </c>
      <c r="C1837" t="s">
        <v>6</v>
      </c>
      <c r="D1837">
        <v>61</v>
      </c>
      <c r="E1837" t="s">
        <v>703</v>
      </c>
      <c r="F1837">
        <v>1389</v>
      </c>
      <c r="G1837" t="s">
        <v>1197</v>
      </c>
      <c r="I1837">
        <v>20009550</v>
      </c>
      <c r="J1837" t="s">
        <v>3122</v>
      </c>
      <c r="K1837">
        <v>800159</v>
      </c>
      <c r="L1837">
        <v>1</v>
      </c>
      <c r="M1837" t="s">
        <v>268</v>
      </c>
      <c r="N1837" t="s">
        <v>214</v>
      </c>
      <c r="O1837">
        <v>1374000</v>
      </c>
    </row>
    <row r="1838" spans="1:15" x14ac:dyDescent="0.4">
      <c r="A1838" t="s">
        <v>1596</v>
      </c>
      <c r="B1838">
        <v>70</v>
      </c>
      <c r="C1838" t="s">
        <v>2</v>
      </c>
      <c r="D1838">
        <v>41</v>
      </c>
      <c r="E1838" t="s">
        <v>306</v>
      </c>
      <c r="F1838">
        <v>1118</v>
      </c>
      <c r="G1838" t="s">
        <v>1471</v>
      </c>
      <c r="I1838">
        <v>20009486</v>
      </c>
      <c r="J1838" t="s">
        <v>3123</v>
      </c>
      <c r="K1838">
        <v>800159</v>
      </c>
      <c r="L1838">
        <v>1</v>
      </c>
      <c r="M1838" t="s">
        <v>268</v>
      </c>
      <c r="N1838" t="s">
        <v>214</v>
      </c>
      <c r="O1838">
        <v>1320000</v>
      </c>
    </row>
    <row r="1839" spans="1:15" x14ac:dyDescent="0.4">
      <c r="A1839" t="s">
        <v>1586</v>
      </c>
      <c r="B1839">
        <v>60</v>
      </c>
      <c r="C1839" t="s">
        <v>3</v>
      </c>
      <c r="D1839">
        <v>31</v>
      </c>
      <c r="E1839" t="s">
        <v>447</v>
      </c>
      <c r="F1839">
        <v>1116</v>
      </c>
      <c r="G1839" t="s">
        <v>1075</v>
      </c>
      <c r="I1839">
        <v>20009497</v>
      </c>
      <c r="J1839" t="s">
        <v>3124</v>
      </c>
      <c r="K1839">
        <v>800157</v>
      </c>
      <c r="L1839">
        <v>1</v>
      </c>
      <c r="M1839" t="s">
        <v>1589</v>
      </c>
      <c r="N1839" t="s">
        <v>205</v>
      </c>
      <c r="O1839">
        <v>860800</v>
      </c>
    </row>
    <row r="1840" spans="1:15" x14ac:dyDescent="0.4">
      <c r="A1840" t="s">
        <v>1586</v>
      </c>
      <c r="B1840">
        <v>60</v>
      </c>
      <c r="C1840" t="s">
        <v>3</v>
      </c>
      <c r="D1840">
        <v>31</v>
      </c>
      <c r="E1840" t="s">
        <v>447</v>
      </c>
      <c r="F1840">
        <v>1616</v>
      </c>
      <c r="G1840" t="s">
        <v>1659</v>
      </c>
      <c r="I1840">
        <v>20009460</v>
      </c>
      <c r="J1840" t="s">
        <v>3125</v>
      </c>
      <c r="K1840">
        <v>800159</v>
      </c>
      <c r="L1840">
        <v>1</v>
      </c>
      <c r="M1840" t="s">
        <v>1589</v>
      </c>
      <c r="N1840" t="s">
        <v>207</v>
      </c>
      <c r="O1840">
        <v>1374000</v>
      </c>
    </row>
    <row r="1841" spans="1:15" x14ac:dyDescent="0.4">
      <c r="A1841" t="s">
        <v>1594</v>
      </c>
      <c r="B1841">
        <v>70</v>
      </c>
      <c r="C1841" t="s">
        <v>2</v>
      </c>
      <c r="D1841">
        <v>41</v>
      </c>
      <c r="E1841" t="s">
        <v>306</v>
      </c>
      <c r="F1841">
        <v>1510</v>
      </c>
      <c r="G1841" t="s">
        <v>870</v>
      </c>
      <c r="I1841">
        <v>20009525</v>
      </c>
      <c r="J1841" t="s">
        <v>3126</v>
      </c>
      <c r="K1841">
        <v>800157</v>
      </c>
      <c r="L1841">
        <v>1</v>
      </c>
      <c r="M1841" t="s">
        <v>1596</v>
      </c>
      <c r="N1841" t="s">
        <v>252</v>
      </c>
      <c r="O1841">
        <v>784000</v>
      </c>
    </row>
    <row r="1842" spans="1:15" x14ac:dyDescent="0.4">
      <c r="A1842" t="s">
        <v>1548</v>
      </c>
      <c r="B1842">
        <v>80</v>
      </c>
      <c r="C1842" t="s">
        <v>4</v>
      </c>
      <c r="D1842">
        <v>81</v>
      </c>
      <c r="E1842" t="s">
        <v>550</v>
      </c>
      <c r="F1842">
        <v>1322</v>
      </c>
      <c r="G1842" t="s">
        <v>961</v>
      </c>
      <c r="I1842">
        <v>20009539</v>
      </c>
      <c r="J1842" t="s">
        <v>3127</v>
      </c>
      <c r="K1842">
        <v>800157</v>
      </c>
      <c r="L1842">
        <v>1</v>
      </c>
      <c r="M1842" t="s">
        <v>1586</v>
      </c>
      <c r="N1842" t="s">
        <v>222</v>
      </c>
      <c r="O1842">
        <v>796800</v>
      </c>
    </row>
    <row r="1843" spans="1:15" x14ac:dyDescent="0.4">
      <c r="A1843" t="s">
        <v>1586</v>
      </c>
      <c r="B1843">
        <v>80</v>
      </c>
      <c r="C1843" t="s">
        <v>4</v>
      </c>
      <c r="D1843">
        <v>81</v>
      </c>
      <c r="E1843" t="s">
        <v>550</v>
      </c>
      <c r="F1843">
        <v>1436</v>
      </c>
      <c r="G1843" t="s">
        <v>918</v>
      </c>
      <c r="I1843">
        <v>20009575</v>
      </c>
      <c r="J1843" t="s">
        <v>3128</v>
      </c>
      <c r="K1843">
        <v>800157</v>
      </c>
      <c r="L1843">
        <v>1</v>
      </c>
      <c r="M1843" t="s">
        <v>1589</v>
      </c>
      <c r="N1843" t="s">
        <v>205</v>
      </c>
      <c r="O1843">
        <v>787200</v>
      </c>
    </row>
    <row r="1844" spans="1:15" x14ac:dyDescent="0.4">
      <c r="A1844" t="s">
        <v>1586</v>
      </c>
      <c r="B1844">
        <v>76</v>
      </c>
      <c r="C1844" t="s">
        <v>6</v>
      </c>
      <c r="D1844">
        <v>61</v>
      </c>
      <c r="E1844" t="s">
        <v>703</v>
      </c>
      <c r="F1844">
        <v>1468</v>
      </c>
      <c r="G1844" t="s">
        <v>914</v>
      </c>
      <c r="I1844">
        <v>10044588</v>
      </c>
      <c r="J1844" t="s">
        <v>3129</v>
      </c>
      <c r="K1844">
        <v>800157</v>
      </c>
      <c r="L1844">
        <v>1</v>
      </c>
      <c r="M1844" t="s">
        <v>1589</v>
      </c>
      <c r="N1844" t="s">
        <v>205</v>
      </c>
      <c r="O1844">
        <v>784000</v>
      </c>
    </row>
    <row r="1845" spans="1:15" x14ac:dyDescent="0.4">
      <c r="A1845" t="s">
        <v>1586</v>
      </c>
      <c r="B1845">
        <v>80</v>
      </c>
      <c r="C1845" t="s">
        <v>4</v>
      </c>
      <c r="D1845">
        <v>81</v>
      </c>
      <c r="E1845" t="s">
        <v>550</v>
      </c>
      <c r="F1845">
        <v>1322</v>
      </c>
      <c r="G1845" t="s">
        <v>961</v>
      </c>
      <c r="I1845">
        <v>20009501</v>
      </c>
      <c r="J1845" t="s">
        <v>3130</v>
      </c>
      <c r="K1845">
        <v>800157</v>
      </c>
      <c r="L1845">
        <v>1</v>
      </c>
      <c r="M1845" t="s">
        <v>1589</v>
      </c>
      <c r="N1845" t="s">
        <v>205</v>
      </c>
      <c r="O1845">
        <v>940800</v>
      </c>
    </row>
    <row r="1846" spans="1:15" x14ac:dyDescent="0.4">
      <c r="A1846" t="s">
        <v>1589</v>
      </c>
      <c r="B1846">
        <v>76</v>
      </c>
      <c r="C1846" t="s">
        <v>6</v>
      </c>
      <c r="D1846">
        <v>61</v>
      </c>
      <c r="E1846" t="s">
        <v>703</v>
      </c>
      <c r="F1846">
        <v>1475</v>
      </c>
      <c r="G1846" t="s">
        <v>909</v>
      </c>
      <c r="I1846">
        <v>20009580</v>
      </c>
      <c r="J1846" t="s">
        <v>3131</v>
      </c>
      <c r="K1846">
        <v>800159</v>
      </c>
      <c r="L1846">
        <v>1</v>
      </c>
      <c r="M1846" t="s">
        <v>1594</v>
      </c>
      <c r="N1846" t="s">
        <v>294</v>
      </c>
      <c r="O1846">
        <v>1498200</v>
      </c>
    </row>
    <row r="1847" spans="1:15" x14ac:dyDescent="0.4">
      <c r="A1847" t="s">
        <v>195</v>
      </c>
      <c r="B1847">
        <v>76</v>
      </c>
      <c r="C1847" t="s">
        <v>6</v>
      </c>
      <c r="D1847">
        <v>61</v>
      </c>
      <c r="E1847" t="s">
        <v>703</v>
      </c>
      <c r="F1847">
        <v>1472</v>
      </c>
      <c r="G1847" t="s">
        <v>998</v>
      </c>
      <c r="I1847">
        <v>20009544</v>
      </c>
      <c r="J1847" t="s">
        <v>3132</v>
      </c>
      <c r="K1847">
        <v>800157</v>
      </c>
      <c r="L1847">
        <v>1</v>
      </c>
      <c r="M1847" t="s">
        <v>185</v>
      </c>
      <c r="N1847" t="s">
        <v>188</v>
      </c>
      <c r="O1847">
        <v>784000</v>
      </c>
    </row>
    <row r="1848" spans="1:15" x14ac:dyDescent="0.4">
      <c r="A1848" t="s">
        <v>1586</v>
      </c>
      <c r="B1848">
        <v>76</v>
      </c>
      <c r="C1848" t="s">
        <v>6</v>
      </c>
      <c r="D1848">
        <v>61</v>
      </c>
      <c r="E1848" t="s">
        <v>703</v>
      </c>
      <c r="F1848">
        <v>1475</v>
      </c>
      <c r="G1848" t="s">
        <v>909</v>
      </c>
      <c r="I1848">
        <v>10022080</v>
      </c>
      <c r="J1848" t="s">
        <v>3133</v>
      </c>
      <c r="K1848">
        <v>800159</v>
      </c>
      <c r="L1848">
        <v>1</v>
      </c>
      <c r="M1848" t="s">
        <v>1589</v>
      </c>
      <c r="N1848" t="s">
        <v>207</v>
      </c>
      <c r="O1848">
        <v>1357800</v>
      </c>
    </row>
    <row r="1849" spans="1:15" x14ac:dyDescent="0.4">
      <c r="A1849" t="s">
        <v>1596</v>
      </c>
      <c r="B1849">
        <v>76</v>
      </c>
      <c r="C1849" t="s">
        <v>6</v>
      </c>
      <c r="D1849">
        <v>61</v>
      </c>
      <c r="E1849" t="s">
        <v>703</v>
      </c>
      <c r="F1849">
        <v>1475</v>
      </c>
      <c r="G1849" t="s">
        <v>909</v>
      </c>
      <c r="I1849">
        <v>20009551</v>
      </c>
      <c r="J1849" t="s">
        <v>3134</v>
      </c>
      <c r="K1849">
        <v>800159</v>
      </c>
      <c r="L1849">
        <v>1</v>
      </c>
      <c r="M1849" t="s">
        <v>268</v>
      </c>
      <c r="N1849" t="s">
        <v>214</v>
      </c>
      <c r="O1849">
        <v>1320000</v>
      </c>
    </row>
    <row r="1850" spans="1:15" x14ac:dyDescent="0.4">
      <c r="A1850" t="s">
        <v>1589</v>
      </c>
      <c r="B1850">
        <v>76</v>
      </c>
      <c r="C1850" t="s">
        <v>6</v>
      </c>
      <c r="D1850">
        <v>61</v>
      </c>
      <c r="E1850" t="s">
        <v>703</v>
      </c>
      <c r="F1850">
        <v>1468</v>
      </c>
      <c r="G1850" t="s">
        <v>914</v>
      </c>
      <c r="I1850">
        <v>20009585</v>
      </c>
      <c r="J1850" t="s">
        <v>3135</v>
      </c>
      <c r="K1850">
        <v>800159</v>
      </c>
      <c r="L1850">
        <v>1</v>
      </c>
      <c r="M1850" t="s">
        <v>1594</v>
      </c>
      <c r="N1850" t="s">
        <v>294</v>
      </c>
      <c r="O1850">
        <v>1444200</v>
      </c>
    </row>
    <row r="1851" spans="1:15" x14ac:dyDescent="0.4">
      <c r="A1851" t="s">
        <v>1586</v>
      </c>
      <c r="B1851">
        <v>60</v>
      </c>
      <c r="C1851" t="s">
        <v>3</v>
      </c>
      <c r="D1851">
        <v>31</v>
      </c>
      <c r="E1851" t="s">
        <v>447</v>
      </c>
      <c r="F1851">
        <v>1299</v>
      </c>
      <c r="G1851" t="s">
        <v>947</v>
      </c>
      <c r="I1851">
        <v>10016200</v>
      </c>
      <c r="J1851" t="s">
        <v>3136</v>
      </c>
      <c r="K1851">
        <v>800159</v>
      </c>
      <c r="L1851">
        <v>1</v>
      </c>
      <c r="M1851" t="s">
        <v>1589</v>
      </c>
      <c r="N1851" t="s">
        <v>207</v>
      </c>
      <c r="O1851">
        <v>1320000</v>
      </c>
    </row>
    <row r="1852" spans="1:15" x14ac:dyDescent="0.4">
      <c r="A1852" t="s">
        <v>221</v>
      </c>
      <c r="B1852">
        <v>80</v>
      </c>
      <c r="C1852" t="s">
        <v>4</v>
      </c>
      <c r="D1852">
        <v>81</v>
      </c>
      <c r="E1852" t="s">
        <v>550</v>
      </c>
      <c r="F1852">
        <v>1154</v>
      </c>
      <c r="G1852" t="s">
        <v>1044</v>
      </c>
      <c r="I1852">
        <v>20010582</v>
      </c>
      <c r="J1852" t="s">
        <v>3137</v>
      </c>
      <c r="K1852">
        <v>800157</v>
      </c>
      <c r="L1852">
        <v>1</v>
      </c>
      <c r="M1852" t="s">
        <v>204</v>
      </c>
      <c r="O1852">
        <v>825600</v>
      </c>
    </row>
    <row r="1853" spans="1:15" x14ac:dyDescent="0.4">
      <c r="A1853" t="s">
        <v>1548</v>
      </c>
      <c r="B1853">
        <v>76</v>
      </c>
      <c r="C1853" t="s">
        <v>6</v>
      </c>
      <c r="D1853">
        <v>61</v>
      </c>
      <c r="E1853" t="s">
        <v>703</v>
      </c>
      <c r="F1853">
        <v>1472</v>
      </c>
      <c r="G1853" t="s">
        <v>998</v>
      </c>
      <c r="I1853">
        <v>20009577</v>
      </c>
      <c r="J1853" t="s">
        <v>3138</v>
      </c>
      <c r="K1853">
        <v>800157</v>
      </c>
      <c r="L1853">
        <v>1</v>
      </c>
      <c r="M1853" t="s">
        <v>1586</v>
      </c>
      <c r="N1853" t="s">
        <v>222</v>
      </c>
      <c r="O1853">
        <v>784000</v>
      </c>
    </row>
    <row r="1854" spans="1:15" x14ac:dyDescent="0.4">
      <c r="A1854" t="s">
        <v>1596</v>
      </c>
      <c r="B1854">
        <v>70</v>
      </c>
      <c r="C1854" t="s">
        <v>2</v>
      </c>
      <c r="D1854">
        <v>41</v>
      </c>
      <c r="E1854" t="s">
        <v>306</v>
      </c>
      <c r="F1854">
        <v>1510</v>
      </c>
      <c r="G1854" t="s">
        <v>870</v>
      </c>
      <c r="I1854">
        <v>20009638</v>
      </c>
      <c r="J1854" t="s">
        <v>3139</v>
      </c>
      <c r="K1854">
        <v>800159</v>
      </c>
      <c r="L1854">
        <v>1</v>
      </c>
      <c r="M1854" t="s">
        <v>268</v>
      </c>
      <c r="N1854" t="s">
        <v>214</v>
      </c>
      <c r="O1854">
        <v>1623200</v>
      </c>
    </row>
    <row r="1855" spans="1:15" x14ac:dyDescent="0.4">
      <c r="A1855" t="s">
        <v>1596</v>
      </c>
      <c r="B1855">
        <v>80</v>
      </c>
      <c r="C1855" t="s">
        <v>4</v>
      </c>
      <c r="D1855">
        <v>81</v>
      </c>
      <c r="E1855" t="s">
        <v>550</v>
      </c>
      <c r="F1855">
        <v>1154</v>
      </c>
      <c r="G1855" t="s">
        <v>1044</v>
      </c>
      <c r="I1855">
        <v>10068769</v>
      </c>
      <c r="J1855" t="s">
        <v>1527</v>
      </c>
      <c r="K1855">
        <v>800157</v>
      </c>
      <c r="L1855">
        <v>1</v>
      </c>
      <c r="M1855" t="s">
        <v>268</v>
      </c>
      <c r="N1855" t="s">
        <v>212</v>
      </c>
      <c r="O1855">
        <v>822400</v>
      </c>
    </row>
    <row r="1856" spans="1:15" x14ac:dyDescent="0.4">
      <c r="A1856" t="s">
        <v>1594</v>
      </c>
      <c r="B1856">
        <v>60</v>
      </c>
      <c r="C1856" t="s">
        <v>3</v>
      </c>
      <c r="D1856">
        <v>33</v>
      </c>
      <c r="E1856" t="s">
        <v>451</v>
      </c>
      <c r="F1856">
        <v>1505</v>
      </c>
      <c r="G1856" t="s">
        <v>900</v>
      </c>
      <c r="I1856">
        <v>20009533</v>
      </c>
      <c r="J1856" t="s">
        <v>3140</v>
      </c>
      <c r="K1856">
        <v>800157</v>
      </c>
      <c r="L1856">
        <v>1</v>
      </c>
      <c r="M1856" t="s">
        <v>1596</v>
      </c>
      <c r="N1856" t="s">
        <v>252</v>
      </c>
      <c r="O1856">
        <v>841600</v>
      </c>
    </row>
    <row r="1857" spans="1:15" x14ac:dyDescent="0.4">
      <c r="A1857" t="s">
        <v>250</v>
      </c>
      <c r="B1857">
        <v>80</v>
      </c>
      <c r="C1857" t="s">
        <v>4</v>
      </c>
      <c r="D1857">
        <v>71</v>
      </c>
      <c r="E1857" t="s">
        <v>556</v>
      </c>
      <c r="F1857">
        <v>1296</v>
      </c>
      <c r="G1857" t="s">
        <v>964</v>
      </c>
      <c r="I1857">
        <v>20009557</v>
      </c>
      <c r="J1857" t="s">
        <v>3141</v>
      </c>
      <c r="K1857">
        <v>800159</v>
      </c>
      <c r="L1857">
        <v>1</v>
      </c>
      <c r="M1857" t="s">
        <v>196</v>
      </c>
      <c r="N1857" t="s">
        <v>215</v>
      </c>
      <c r="O1857">
        <v>1320000</v>
      </c>
    </row>
    <row r="1858" spans="1:15" x14ac:dyDescent="0.4">
      <c r="A1858" t="s">
        <v>268</v>
      </c>
      <c r="B1858">
        <v>60</v>
      </c>
      <c r="C1858" t="s">
        <v>3</v>
      </c>
      <c r="D1858">
        <v>31</v>
      </c>
      <c r="E1858" t="s">
        <v>447</v>
      </c>
      <c r="F1858">
        <v>1543</v>
      </c>
      <c r="G1858" t="s">
        <v>1183</v>
      </c>
      <c r="I1858">
        <v>20009542</v>
      </c>
      <c r="J1858" t="s">
        <v>3142</v>
      </c>
      <c r="K1858">
        <v>800159</v>
      </c>
      <c r="L1858">
        <v>1</v>
      </c>
      <c r="M1858" t="s">
        <v>195</v>
      </c>
      <c r="N1858" t="s">
        <v>200</v>
      </c>
      <c r="O1858">
        <v>1336200</v>
      </c>
    </row>
    <row r="1859" spans="1:15" x14ac:dyDescent="0.4">
      <c r="A1859" t="s">
        <v>268</v>
      </c>
      <c r="B1859">
        <v>80</v>
      </c>
      <c r="C1859" t="s">
        <v>4</v>
      </c>
      <c r="D1859">
        <v>81</v>
      </c>
      <c r="E1859" t="s">
        <v>550</v>
      </c>
      <c r="F1859">
        <v>1154</v>
      </c>
      <c r="G1859" t="s">
        <v>1044</v>
      </c>
      <c r="I1859">
        <v>20009661</v>
      </c>
      <c r="J1859" t="s">
        <v>3143</v>
      </c>
      <c r="K1859">
        <v>800157</v>
      </c>
      <c r="L1859">
        <v>1</v>
      </c>
      <c r="M1859" t="s">
        <v>195</v>
      </c>
      <c r="N1859" t="s">
        <v>198</v>
      </c>
      <c r="O1859">
        <v>819200</v>
      </c>
    </row>
    <row r="1860" spans="1:15" x14ac:dyDescent="0.4">
      <c r="A1860" t="s">
        <v>1596</v>
      </c>
      <c r="B1860">
        <v>70</v>
      </c>
      <c r="C1860" t="s">
        <v>2</v>
      </c>
      <c r="D1860">
        <v>41</v>
      </c>
      <c r="E1860" t="s">
        <v>306</v>
      </c>
      <c r="F1860">
        <v>1445</v>
      </c>
      <c r="G1860" t="s">
        <v>886</v>
      </c>
      <c r="I1860">
        <v>20009672</v>
      </c>
      <c r="J1860" t="s">
        <v>3144</v>
      </c>
      <c r="K1860">
        <v>800155</v>
      </c>
      <c r="L1860">
        <v>1</v>
      </c>
      <c r="M1860" t="s">
        <v>268</v>
      </c>
      <c r="N1860" t="s">
        <v>250</v>
      </c>
      <c r="O1860">
        <v>254400</v>
      </c>
    </row>
    <row r="1861" spans="1:15" x14ac:dyDescent="0.4">
      <c r="A1861" t="s">
        <v>268</v>
      </c>
      <c r="B1861">
        <v>75</v>
      </c>
      <c r="C1861" t="s">
        <v>5</v>
      </c>
      <c r="D1861">
        <v>51</v>
      </c>
      <c r="E1861" t="s">
        <v>657</v>
      </c>
      <c r="F1861">
        <v>1415</v>
      </c>
      <c r="G1861" t="s">
        <v>1038</v>
      </c>
      <c r="I1861">
        <v>10088897</v>
      </c>
      <c r="J1861" t="s">
        <v>3145</v>
      </c>
      <c r="K1861">
        <v>800159</v>
      </c>
      <c r="L1861">
        <v>1</v>
      </c>
      <c r="M1861" t="s">
        <v>195</v>
      </c>
      <c r="N1861" t="s">
        <v>200</v>
      </c>
      <c r="O1861">
        <v>1336200</v>
      </c>
    </row>
    <row r="1862" spans="1:15" x14ac:dyDescent="0.4">
      <c r="A1862" t="s">
        <v>258</v>
      </c>
      <c r="B1862">
        <v>60</v>
      </c>
      <c r="C1862" t="s">
        <v>3</v>
      </c>
      <c r="D1862">
        <v>33</v>
      </c>
      <c r="E1862" t="s">
        <v>451</v>
      </c>
      <c r="F1862">
        <v>1372</v>
      </c>
      <c r="G1862" t="s">
        <v>992</v>
      </c>
      <c r="I1862">
        <v>20009647</v>
      </c>
      <c r="J1862" t="s">
        <v>3146</v>
      </c>
      <c r="K1862">
        <v>800157</v>
      </c>
      <c r="L1862">
        <v>1</v>
      </c>
      <c r="M1862" t="s">
        <v>221</v>
      </c>
      <c r="N1862" t="s">
        <v>329</v>
      </c>
      <c r="O1862">
        <v>787200</v>
      </c>
    </row>
    <row r="1863" spans="1:15" x14ac:dyDescent="0.4">
      <c r="A1863" t="s">
        <v>195</v>
      </c>
      <c r="B1863">
        <v>76</v>
      </c>
      <c r="C1863" t="s">
        <v>6</v>
      </c>
      <c r="D1863">
        <v>61</v>
      </c>
      <c r="E1863" t="s">
        <v>703</v>
      </c>
      <c r="F1863">
        <v>1563</v>
      </c>
      <c r="G1863" t="s">
        <v>942</v>
      </c>
      <c r="I1863">
        <v>20009659</v>
      </c>
      <c r="J1863" t="s">
        <v>3147</v>
      </c>
      <c r="K1863">
        <v>800157</v>
      </c>
      <c r="L1863">
        <v>1</v>
      </c>
      <c r="M1863" t="s">
        <v>185</v>
      </c>
      <c r="N1863" t="s">
        <v>188</v>
      </c>
      <c r="O1863">
        <v>790400</v>
      </c>
    </row>
    <row r="1864" spans="1:15" x14ac:dyDescent="0.4">
      <c r="A1864" t="s">
        <v>1594</v>
      </c>
      <c r="B1864">
        <v>80</v>
      </c>
      <c r="C1864" t="s">
        <v>4</v>
      </c>
      <c r="D1864">
        <v>81</v>
      </c>
      <c r="E1864" t="s">
        <v>550</v>
      </c>
      <c r="F1864">
        <v>1322</v>
      </c>
      <c r="G1864" t="s">
        <v>961</v>
      </c>
      <c r="I1864">
        <v>20009602</v>
      </c>
      <c r="J1864" t="s">
        <v>3148</v>
      </c>
      <c r="K1864">
        <v>800159</v>
      </c>
      <c r="L1864">
        <v>1</v>
      </c>
      <c r="M1864" t="s">
        <v>1596</v>
      </c>
      <c r="N1864" t="s">
        <v>254</v>
      </c>
      <c r="O1864">
        <v>1374000</v>
      </c>
    </row>
    <row r="1865" spans="1:15" x14ac:dyDescent="0.4">
      <c r="A1865" t="s">
        <v>195</v>
      </c>
      <c r="B1865">
        <v>60</v>
      </c>
      <c r="C1865" t="s">
        <v>3</v>
      </c>
      <c r="D1865">
        <v>31</v>
      </c>
      <c r="E1865" t="s">
        <v>447</v>
      </c>
      <c r="F1865">
        <v>1116</v>
      </c>
      <c r="G1865" t="s">
        <v>1075</v>
      </c>
      <c r="I1865">
        <v>20009678</v>
      </c>
      <c r="J1865" t="s">
        <v>3149</v>
      </c>
      <c r="K1865">
        <v>800159</v>
      </c>
      <c r="L1865">
        <v>1</v>
      </c>
      <c r="M1865" t="s">
        <v>185</v>
      </c>
      <c r="N1865" t="s">
        <v>190</v>
      </c>
      <c r="O1865">
        <v>1325400</v>
      </c>
    </row>
    <row r="1866" spans="1:15" x14ac:dyDescent="0.4">
      <c r="A1866" t="s">
        <v>268</v>
      </c>
      <c r="B1866">
        <v>76</v>
      </c>
      <c r="C1866" t="s">
        <v>6</v>
      </c>
      <c r="D1866">
        <v>61</v>
      </c>
      <c r="E1866" t="s">
        <v>703</v>
      </c>
      <c r="F1866">
        <v>1472</v>
      </c>
      <c r="G1866" t="s">
        <v>998</v>
      </c>
      <c r="I1866">
        <v>10026105</v>
      </c>
      <c r="J1866" t="s">
        <v>3150</v>
      </c>
      <c r="K1866">
        <v>800159</v>
      </c>
      <c r="L1866">
        <v>1</v>
      </c>
      <c r="M1866" t="s">
        <v>195</v>
      </c>
      <c r="N1866" t="s">
        <v>200</v>
      </c>
      <c r="O1866">
        <v>1320000</v>
      </c>
    </row>
    <row r="1867" spans="1:15" x14ac:dyDescent="0.4">
      <c r="A1867" t="s">
        <v>195</v>
      </c>
      <c r="B1867">
        <v>70</v>
      </c>
      <c r="C1867" t="s">
        <v>2</v>
      </c>
      <c r="D1867">
        <v>41</v>
      </c>
      <c r="E1867" t="s">
        <v>306</v>
      </c>
      <c r="F1867">
        <v>1298</v>
      </c>
      <c r="G1867" t="s">
        <v>1277</v>
      </c>
      <c r="I1867">
        <v>20009674</v>
      </c>
      <c r="J1867" t="s">
        <v>3151</v>
      </c>
      <c r="K1867">
        <v>800157</v>
      </c>
      <c r="L1867">
        <v>1</v>
      </c>
      <c r="M1867" t="s">
        <v>185</v>
      </c>
      <c r="N1867" t="s">
        <v>188</v>
      </c>
      <c r="O1867">
        <v>802800</v>
      </c>
    </row>
    <row r="1868" spans="1:15" x14ac:dyDescent="0.4">
      <c r="A1868" t="s">
        <v>268</v>
      </c>
      <c r="B1868">
        <v>75</v>
      </c>
      <c r="C1868" t="s">
        <v>5</v>
      </c>
      <c r="D1868">
        <v>51</v>
      </c>
      <c r="E1868" t="s">
        <v>657</v>
      </c>
      <c r="F1868">
        <v>1415</v>
      </c>
      <c r="G1868" t="s">
        <v>1038</v>
      </c>
      <c r="I1868">
        <v>10060213</v>
      </c>
      <c r="J1868" t="s">
        <v>2853</v>
      </c>
      <c r="K1868">
        <v>800159</v>
      </c>
      <c r="L1868">
        <v>1</v>
      </c>
      <c r="M1868" t="s">
        <v>195</v>
      </c>
      <c r="N1868" t="s">
        <v>200</v>
      </c>
      <c r="O1868">
        <v>1320000</v>
      </c>
    </row>
    <row r="1869" spans="1:15" x14ac:dyDescent="0.4">
      <c r="A1869" t="s">
        <v>268</v>
      </c>
      <c r="B1869">
        <v>80</v>
      </c>
      <c r="C1869" t="s">
        <v>4</v>
      </c>
      <c r="D1869">
        <v>71</v>
      </c>
      <c r="E1869" t="s">
        <v>556</v>
      </c>
      <c r="F1869">
        <v>1296</v>
      </c>
      <c r="G1869" t="s">
        <v>964</v>
      </c>
      <c r="I1869">
        <v>20009494</v>
      </c>
      <c r="J1869" t="s">
        <v>3152</v>
      </c>
      <c r="K1869">
        <v>800159</v>
      </c>
      <c r="L1869">
        <v>1</v>
      </c>
      <c r="M1869" t="s">
        <v>195</v>
      </c>
      <c r="N1869" t="s">
        <v>200</v>
      </c>
      <c r="O1869">
        <v>1336200</v>
      </c>
    </row>
    <row r="1870" spans="1:15" x14ac:dyDescent="0.4">
      <c r="A1870" t="s">
        <v>195</v>
      </c>
      <c r="B1870">
        <v>80</v>
      </c>
      <c r="C1870" t="s">
        <v>4</v>
      </c>
      <c r="D1870">
        <v>81</v>
      </c>
      <c r="E1870" t="s">
        <v>550</v>
      </c>
      <c r="F1870">
        <v>1378</v>
      </c>
      <c r="G1870" t="s">
        <v>881</v>
      </c>
      <c r="I1870">
        <v>20009689</v>
      </c>
      <c r="J1870" t="s">
        <v>3153</v>
      </c>
      <c r="K1870">
        <v>800159</v>
      </c>
      <c r="L1870">
        <v>1</v>
      </c>
      <c r="M1870" t="s">
        <v>185</v>
      </c>
      <c r="N1870" t="s">
        <v>190</v>
      </c>
      <c r="O1870">
        <v>1320000</v>
      </c>
    </row>
    <row r="1871" spans="1:15" x14ac:dyDescent="0.4">
      <c r="A1871" t="s">
        <v>268</v>
      </c>
      <c r="B1871">
        <v>60</v>
      </c>
      <c r="C1871" t="s">
        <v>3</v>
      </c>
      <c r="D1871">
        <v>31</v>
      </c>
      <c r="E1871" t="s">
        <v>447</v>
      </c>
      <c r="F1871">
        <v>1543</v>
      </c>
      <c r="G1871" t="s">
        <v>1183</v>
      </c>
      <c r="I1871">
        <v>20009614</v>
      </c>
      <c r="J1871" t="s">
        <v>3154</v>
      </c>
      <c r="K1871">
        <v>800159</v>
      </c>
      <c r="L1871">
        <v>1</v>
      </c>
      <c r="M1871" t="s">
        <v>195</v>
      </c>
      <c r="N1871" t="s">
        <v>200</v>
      </c>
      <c r="O1871">
        <v>1341600</v>
      </c>
    </row>
    <row r="1872" spans="1:15" x14ac:dyDescent="0.4">
      <c r="A1872" t="s">
        <v>268</v>
      </c>
      <c r="B1872">
        <v>80</v>
      </c>
      <c r="C1872" t="s">
        <v>4</v>
      </c>
      <c r="D1872">
        <v>71</v>
      </c>
      <c r="E1872" t="s">
        <v>556</v>
      </c>
      <c r="F1872">
        <v>1296</v>
      </c>
      <c r="G1872" t="s">
        <v>964</v>
      </c>
      <c r="I1872">
        <v>20009589</v>
      </c>
      <c r="J1872" t="s">
        <v>3155</v>
      </c>
      <c r="K1872">
        <v>800159</v>
      </c>
      <c r="L1872">
        <v>1</v>
      </c>
      <c r="M1872" t="s">
        <v>195</v>
      </c>
      <c r="N1872" t="s">
        <v>200</v>
      </c>
      <c r="O1872">
        <v>1347000</v>
      </c>
    </row>
    <row r="1873" spans="1:15" x14ac:dyDescent="0.4">
      <c r="A1873" t="s">
        <v>268</v>
      </c>
      <c r="B1873">
        <v>50</v>
      </c>
      <c r="C1873" t="s">
        <v>1</v>
      </c>
      <c r="D1873">
        <v>11</v>
      </c>
      <c r="E1873" t="s">
        <v>192</v>
      </c>
      <c r="F1873">
        <v>1085</v>
      </c>
      <c r="G1873" t="s">
        <v>854</v>
      </c>
      <c r="I1873">
        <v>20008776</v>
      </c>
      <c r="J1873" t="s">
        <v>3156</v>
      </c>
      <c r="K1873">
        <v>800159</v>
      </c>
      <c r="L1873">
        <v>1</v>
      </c>
      <c r="M1873" t="s">
        <v>195</v>
      </c>
      <c r="N1873" t="s">
        <v>200</v>
      </c>
      <c r="O1873">
        <v>1449600</v>
      </c>
    </row>
    <row r="1874" spans="1:15" x14ac:dyDescent="0.4">
      <c r="A1874" t="s">
        <v>1589</v>
      </c>
      <c r="B1874">
        <v>80</v>
      </c>
      <c r="C1874" t="s">
        <v>4</v>
      </c>
      <c r="D1874">
        <v>81</v>
      </c>
      <c r="E1874" t="s">
        <v>550</v>
      </c>
      <c r="F1874">
        <v>1322</v>
      </c>
      <c r="G1874" t="s">
        <v>961</v>
      </c>
      <c r="I1874">
        <v>10077670</v>
      </c>
      <c r="J1874" t="s">
        <v>3157</v>
      </c>
      <c r="K1874">
        <v>800159</v>
      </c>
      <c r="L1874">
        <v>1</v>
      </c>
      <c r="M1874" t="s">
        <v>1594</v>
      </c>
      <c r="N1874" t="s">
        <v>294</v>
      </c>
      <c r="O1874">
        <v>1330800</v>
      </c>
    </row>
    <row r="1875" spans="1:15" x14ac:dyDescent="0.4">
      <c r="A1875" t="s">
        <v>311</v>
      </c>
      <c r="B1875">
        <v>80</v>
      </c>
      <c r="C1875" t="s">
        <v>4</v>
      </c>
      <c r="D1875">
        <v>81</v>
      </c>
      <c r="E1875" t="s">
        <v>550</v>
      </c>
      <c r="F1875">
        <v>1378</v>
      </c>
      <c r="G1875" t="s">
        <v>881</v>
      </c>
      <c r="I1875">
        <v>10024003</v>
      </c>
      <c r="J1875" t="s">
        <v>3158</v>
      </c>
      <c r="K1875">
        <v>800157</v>
      </c>
      <c r="L1875">
        <v>1</v>
      </c>
      <c r="M1875" t="s">
        <v>258</v>
      </c>
      <c r="N1875" t="s">
        <v>261</v>
      </c>
      <c r="O1875">
        <v>784000</v>
      </c>
    </row>
    <row r="1876" spans="1:15" x14ac:dyDescent="0.4">
      <c r="A1876" t="s">
        <v>1596</v>
      </c>
      <c r="B1876">
        <v>60</v>
      </c>
      <c r="C1876" t="s">
        <v>3</v>
      </c>
      <c r="D1876">
        <v>33</v>
      </c>
      <c r="E1876" t="s">
        <v>451</v>
      </c>
      <c r="F1876">
        <v>1273</v>
      </c>
      <c r="G1876" t="s">
        <v>1084</v>
      </c>
      <c r="I1876">
        <v>20009490</v>
      </c>
      <c r="J1876" t="s">
        <v>3159</v>
      </c>
      <c r="K1876">
        <v>800159</v>
      </c>
      <c r="L1876">
        <v>1</v>
      </c>
      <c r="M1876" t="s">
        <v>268</v>
      </c>
      <c r="N1876" t="s">
        <v>214</v>
      </c>
      <c r="O1876">
        <v>1330800</v>
      </c>
    </row>
    <row r="1877" spans="1:15" x14ac:dyDescent="0.4">
      <c r="A1877" t="s">
        <v>195</v>
      </c>
      <c r="B1877">
        <v>60</v>
      </c>
      <c r="C1877" t="s">
        <v>3</v>
      </c>
      <c r="D1877">
        <v>33</v>
      </c>
      <c r="E1877" t="s">
        <v>451</v>
      </c>
      <c r="F1877">
        <v>1372</v>
      </c>
      <c r="G1877" t="s">
        <v>992</v>
      </c>
      <c r="I1877">
        <v>10065265</v>
      </c>
      <c r="J1877" t="s">
        <v>3160</v>
      </c>
      <c r="K1877">
        <v>800159</v>
      </c>
      <c r="L1877">
        <v>1</v>
      </c>
      <c r="M1877" t="s">
        <v>185</v>
      </c>
      <c r="N1877" t="s">
        <v>190</v>
      </c>
      <c r="O1877">
        <v>1325400</v>
      </c>
    </row>
    <row r="1878" spans="1:15" x14ac:dyDescent="0.4">
      <c r="A1878" t="s">
        <v>281</v>
      </c>
      <c r="B1878">
        <v>70</v>
      </c>
      <c r="C1878" t="s">
        <v>2</v>
      </c>
      <c r="D1878">
        <v>41</v>
      </c>
      <c r="E1878" t="s">
        <v>306</v>
      </c>
      <c r="F1878">
        <v>1383</v>
      </c>
      <c r="G1878" t="s">
        <v>957</v>
      </c>
      <c r="I1878">
        <v>20009712</v>
      </c>
      <c r="J1878" t="s">
        <v>3161</v>
      </c>
      <c r="K1878">
        <v>800159</v>
      </c>
      <c r="L1878">
        <v>1</v>
      </c>
      <c r="M1878" t="s">
        <v>363</v>
      </c>
      <c r="N1878" t="s">
        <v>315</v>
      </c>
      <c r="O1878">
        <v>1320000</v>
      </c>
    </row>
    <row r="1879" spans="1:15" x14ac:dyDescent="0.4">
      <c r="A1879" t="s">
        <v>242</v>
      </c>
      <c r="B1879">
        <v>80</v>
      </c>
      <c r="C1879" t="s">
        <v>4</v>
      </c>
      <c r="D1879">
        <v>81</v>
      </c>
      <c r="E1879" t="s">
        <v>550</v>
      </c>
      <c r="F1879">
        <v>1322</v>
      </c>
      <c r="G1879" t="s">
        <v>961</v>
      </c>
      <c r="I1879">
        <v>20010211</v>
      </c>
      <c r="J1879" t="s">
        <v>3162</v>
      </c>
      <c r="K1879">
        <v>800159</v>
      </c>
      <c r="L1879">
        <v>1</v>
      </c>
      <c r="M1879" t="s">
        <v>311</v>
      </c>
      <c r="N1879" t="s">
        <v>316</v>
      </c>
      <c r="O1879">
        <v>1406400</v>
      </c>
    </row>
    <row r="1880" spans="1:15" x14ac:dyDescent="0.4">
      <c r="A1880" t="s">
        <v>281</v>
      </c>
      <c r="B1880">
        <v>76</v>
      </c>
      <c r="C1880" t="s">
        <v>6</v>
      </c>
      <c r="D1880">
        <v>61</v>
      </c>
      <c r="E1880" t="s">
        <v>703</v>
      </c>
      <c r="F1880">
        <v>1602</v>
      </c>
      <c r="G1880" t="s">
        <v>1013</v>
      </c>
      <c r="I1880">
        <v>20009777</v>
      </c>
      <c r="J1880" t="s">
        <v>3163</v>
      </c>
      <c r="K1880">
        <v>800159</v>
      </c>
      <c r="L1880">
        <v>1</v>
      </c>
      <c r="M1880" t="s">
        <v>363</v>
      </c>
      <c r="N1880" t="s">
        <v>315</v>
      </c>
      <c r="O1880">
        <v>1411800</v>
      </c>
    </row>
    <row r="1881" spans="1:15" x14ac:dyDescent="0.4">
      <c r="A1881" t="s">
        <v>363</v>
      </c>
      <c r="B1881">
        <v>76</v>
      </c>
      <c r="C1881" t="s">
        <v>6</v>
      </c>
      <c r="D1881">
        <v>61</v>
      </c>
      <c r="E1881" t="s">
        <v>703</v>
      </c>
      <c r="F1881">
        <v>1563</v>
      </c>
      <c r="G1881" t="s">
        <v>942</v>
      </c>
      <c r="I1881">
        <v>20009754</v>
      </c>
      <c r="J1881" t="s">
        <v>3164</v>
      </c>
      <c r="K1881">
        <v>800157</v>
      </c>
      <c r="L1881">
        <v>1</v>
      </c>
      <c r="M1881" t="s">
        <v>376</v>
      </c>
      <c r="N1881" t="s">
        <v>260</v>
      </c>
      <c r="O1881">
        <v>787200</v>
      </c>
    </row>
    <row r="1882" spans="1:15" x14ac:dyDescent="0.4">
      <c r="A1882" t="s">
        <v>195</v>
      </c>
      <c r="B1882">
        <v>75</v>
      </c>
      <c r="C1882" t="s">
        <v>5</v>
      </c>
      <c r="D1882">
        <v>51</v>
      </c>
      <c r="E1882" t="s">
        <v>657</v>
      </c>
      <c r="F1882">
        <v>1435</v>
      </c>
      <c r="G1882" t="s">
        <v>860</v>
      </c>
      <c r="I1882">
        <v>10084856</v>
      </c>
      <c r="J1882" t="s">
        <v>3165</v>
      </c>
      <c r="K1882">
        <v>800159</v>
      </c>
      <c r="L1882">
        <v>1</v>
      </c>
      <c r="M1882" t="s">
        <v>185</v>
      </c>
      <c r="N1882" t="s">
        <v>190</v>
      </c>
      <c r="O1882">
        <v>1284000</v>
      </c>
    </row>
    <row r="1883" spans="1:15" x14ac:dyDescent="0.4">
      <c r="A1883" t="s">
        <v>195</v>
      </c>
      <c r="B1883">
        <v>80</v>
      </c>
      <c r="C1883" t="s">
        <v>4</v>
      </c>
      <c r="D1883">
        <v>81</v>
      </c>
      <c r="E1883" t="s">
        <v>550</v>
      </c>
      <c r="F1883">
        <v>1322</v>
      </c>
      <c r="G1883" t="s">
        <v>961</v>
      </c>
      <c r="I1883">
        <v>20009724</v>
      </c>
      <c r="J1883" t="s">
        <v>3166</v>
      </c>
      <c r="K1883">
        <v>800157</v>
      </c>
      <c r="L1883">
        <v>1</v>
      </c>
      <c r="M1883" t="s">
        <v>185</v>
      </c>
      <c r="N1883" t="s">
        <v>188</v>
      </c>
      <c r="O1883">
        <v>812800</v>
      </c>
    </row>
    <row r="1884" spans="1:15" x14ac:dyDescent="0.4">
      <c r="A1884" t="s">
        <v>268</v>
      </c>
      <c r="B1884">
        <v>76</v>
      </c>
      <c r="C1884" t="s">
        <v>6</v>
      </c>
      <c r="D1884">
        <v>61</v>
      </c>
      <c r="E1884" t="s">
        <v>703</v>
      </c>
      <c r="F1884">
        <v>1389</v>
      </c>
      <c r="G1884" t="s">
        <v>1197</v>
      </c>
      <c r="I1884">
        <v>20009605</v>
      </c>
      <c r="J1884" t="s">
        <v>3167</v>
      </c>
      <c r="K1884">
        <v>800159</v>
      </c>
      <c r="L1884">
        <v>1</v>
      </c>
      <c r="M1884" t="s">
        <v>195</v>
      </c>
      <c r="N1884" t="s">
        <v>200</v>
      </c>
      <c r="O1884">
        <v>1525200</v>
      </c>
    </row>
    <row r="1885" spans="1:15" x14ac:dyDescent="0.4">
      <c r="A1885" t="s">
        <v>1596</v>
      </c>
      <c r="B1885">
        <v>50</v>
      </c>
      <c r="C1885" t="s">
        <v>1</v>
      </c>
      <c r="D1885">
        <v>11</v>
      </c>
      <c r="E1885" t="s">
        <v>192</v>
      </c>
      <c r="F1885">
        <v>1085</v>
      </c>
      <c r="G1885" t="s">
        <v>854</v>
      </c>
      <c r="I1885">
        <v>10062624</v>
      </c>
      <c r="J1885" t="s">
        <v>3168</v>
      </c>
      <c r="K1885">
        <v>800157</v>
      </c>
      <c r="L1885">
        <v>1</v>
      </c>
      <c r="M1885" t="s">
        <v>268</v>
      </c>
      <c r="N1885" t="s">
        <v>212</v>
      </c>
      <c r="O1885">
        <v>633600</v>
      </c>
    </row>
    <row r="1886" spans="1:15" x14ac:dyDescent="0.4">
      <c r="A1886" t="s">
        <v>281</v>
      </c>
      <c r="B1886">
        <v>70</v>
      </c>
      <c r="C1886" t="s">
        <v>2</v>
      </c>
      <c r="D1886">
        <v>41</v>
      </c>
      <c r="E1886" t="s">
        <v>306</v>
      </c>
      <c r="F1886">
        <v>1510</v>
      </c>
      <c r="G1886" t="s">
        <v>870</v>
      </c>
      <c r="I1886">
        <v>20009748</v>
      </c>
      <c r="J1886" t="s">
        <v>3169</v>
      </c>
      <c r="K1886">
        <v>800159</v>
      </c>
      <c r="L1886">
        <v>1</v>
      </c>
      <c r="M1886" t="s">
        <v>363</v>
      </c>
      <c r="N1886" t="s">
        <v>315</v>
      </c>
      <c r="O1886">
        <v>1696000</v>
      </c>
    </row>
    <row r="1887" spans="1:15" x14ac:dyDescent="0.4">
      <c r="A1887" t="s">
        <v>185</v>
      </c>
      <c r="B1887">
        <v>80</v>
      </c>
      <c r="C1887" t="s">
        <v>4</v>
      </c>
      <c r="D1887">
        <v>71</v>
      </c>
      <c r="E1887" t="s">
        <v>556</v>
      </c>
      <c r="F1887">
        <v>1296</v>
      </c>
      <c r="G1887" t="s">
        <v>964</v>
      </c>
      <c r="I1887">
        <v>20009677</v>
      </c>
      <c r="J1887" t="s">
        <v>3170</v>
      </c>
      <c r="K1887">
        <v>800159</v>
      </c>
      <c r="L1887">
        <v>1</v>
      </c>
      <c r="M1887" t="s">
        <v>275</v>
      </c>
      <c r="N1887" t="s">
        <v>234</v>
      </c>
      <c r="O1887">
        <v>1422600</v>
      </c>
    </row>
    <row r="1888" spans="1:15" x14ac:dyDescent="0.4">
      <c r="A1888" t="s">
        <v>281</v>
      </c>
      <c r="B1888">
        <v>60</v>
      </c>
      <c r="C1888" t="s">
        <v>3</v>
      </c>
      <c r="D1888">
        <v>31</v>
      </c>
      <c r="E1888" t="s">
        <v>447</v>
      </c>
      <c r="F1888">
        <v>1543</v>
      </c>
      <c r="G1888" t="s">
        <v>1183</v>
      </c>
      <c r="I1888">
        <v>20009746</v>
      </c>
      <c r="J1888" t="s">
        <v>3171</v>
      </c>
      <c r="K1888">
        <v>800159</v>
      </c>
      <c r="L1888">
        <v>1</v>
      </c>
      <c r="M1888" t="s">
        <v>363</v>
      </c>
      <c r="N1888" t="s">
        <v>315</v>
      </c>
      <c r="O1888">
        <v>1411800</v>
      </c>
    </row>
    <row r="1889" spans="1:15" x14ac:dyDescent="0.4">
      <c r="A1889" t="s">
        <v>185</v>
      </c>
      <c r="B1889">
        <v>80</v>
      </c>
      <c r="C1889" t="s">
        <v>4</v>
      </c>
      <c r="D1889">
        <v>81</v>
      </c>
      <c r="E1889" t="s">
        <v>550</v>
      </c>
      <c r="F1889">
        <v>1154</v>
      </c>
      <c r="G1889" t="s">
        <v>1044</v>
      </c>
      <c r="I1889">
        <v>10048348</v>
      </c>
      <c r="J1889" t="s">
        <v>3172</v>
      </c>
      <c r="K1889">
        <v>800159</v>
      </c>
      <c r="L1889">
        <v>1</v>
      </c>
      <c r="M1889" t="s">
        <v>275</v>
      </c>
      <c r="N1889" t="s">
        <v>234</v>
      </c>
      <c r="O1889">
        <v>1320000</v>
      </c>
    </row>
    <row r="1890" spans="1:15" x14ac:dyDescent="0.4">
      <c r="A1890" t="s">
        <v>185</v>
      </c>
      <c r="B1890">
        <v>80</v>
      </c>
      <c r="C1890" t="s">
        <v>4</v>
      </c>
      <c r="D1890">
        <v>81</v>
      </c>
      <c r="E1890" t="s">
        <v>550</v>
      </c>
      <c r="F1890">
        <v>1154</v>
      </c>
      <c r="G1890" t="s">
        <v>1044</v>
      </c>
      <c r="I1890">
        <v>20009755</v>
      </c>
      <c r="J1890" t="s">
        <v>3172</v>
      </c>
      <c r="K1890">
        <v>800159</v>
      </c>
      <c r="L1890">
        <v>1</v>
      </c>
      <c r="M1890" t="s">
        <v>275</v>
      </c>
      <c r="N1890" t="s">
        <v>234</v>
      </c>
      <c r="O1890">
        <v>1320000</v>
      </c>
    </row>
    <row r="1891" spans="1:15" x14ac:dyDescent="0.4">
      <c r="A1891" t="s">
        <v>290</v>
      </c>
      <c r="B1891">
        <v>60</v>
      </c>
      <c r="C1891" t="s">
        <v>3</v>
      </c>
      <c r="D1891">
        <v>33</v>
      </c>
      <c r="E1891" t="s">
        <v>451</v>
      </c>
      <c r="F1891">
        <v>1372</v>
      </c>
      <c r="G1891" t="s">
        <v>992</v>
      </c>
      <c r="I1891">
        <v>20009756</v>
      </c>
      <c r="J1891" t="s">
        <v>3173</v>
      </c>
      <c r="K1891">
        <v>800157</v>
      </c>
      <c r="L1891">
        <v>1</v>
      </c>
      <c r="M1891" t="s">
        <v>250</v>
      </c>
      <c r="N1891" t="s">
        <v>253</v>
      </c>
      <c r="O1891">
        <v>945000</v>
      </c>
    </row>
    <row r="1892" spans="1:15" x14ac:dyDescent="0.4">
      <c r="A1892" t="s">
        <v>195</v>
      </c>
      <c r="B1892">
        <v>60</v>
      </c>
      <c r="C1892" t="s">
        <v>3</v>
      </c>
      <c r="D1892">
        <v>31</v>
      </c>
      <c r="E1892" t="s">
        <v>447</v>
      </c>
      <c r="F1892">
        <v>1116</v>
      </c>
      <c r="G1892" t="s">
        <v>1075</v>
      </c>
      <c r="I1892">
        <v>20009656</v>
      </c>
      <c r="J1892" t="s">
        <v>3174</v>
      </c>
      <c r="K1892">
        <v>800159</v>
      </c>
      <c r="L1892">
        <v>1</v>
      </c>
      <c r="M1892" t="s">
        <v>185</v>
      </c>
      <c r="N1892" t="s">
        <v>190</v>
      </c>
      <c r="O1892">
        <v>1320000</v>
      </c>
    </row>
    <row r="1893" spans="1:15" x14ac:dyDescent="0.4">
      <c r="A1893" t="s">
        <v>195</v>
      </c>
      <c r="B1893">
        <v>60</v>
      </c>
      <c r="C1893" t="s">
        <v>3</v>
      </c>
      <c r="D1893">
        <v>33</v>
      </c>
      <c r="E1893" t="s">
        <v>451</v>
      </c>
      <c r="F1893">
        <v>1220</v>
      </c>
      <c r="G1893" t="s">
        <v>1343</v>
      </c>
      <c r="I1893">
        <v>20009749</v>
      </c>
      <c r="J1893" t="s">
        <v>3175</v>
      </c>
      <c r="K1893">
        <v>800159</v>
      </c>
      <c r="L1893">
        <v>1</v>
      </c>
      <c r="M1893" t="s">
        <v>185</v>
      </c>
      <c r="N1893" t="s">
        <v>190</v>
      </c>
      <c r="O1893">
        <v>1320000</v>
      </c>
    </row>
    <row r="1894" spans="1:15" x14ac:dyDescent="0.4">
      <c r="A1894" t="s">
        <v>275</v>
      </c>
      <c r="B1894">
        <v>60</v>
      </c>
      <c r="C1894" t="s">
        <v>3</v>
      </c>
      <c r="D1894">
        <v>33</v>
      </c>
      <c r="E1894" t="s">
        <v>451</v>
      </c>
      <c r="F1894">
        <v>1220</v>
      </c>
      <c r="G1894" t="s">
        <v>1343</v>
      </c>
      <c r="I1894">
        <v>10046983</v>
      </c>
      <c r="J1894" t="s">
        <v>3176</v>
      </c>
      <c r="K1894">
        <v>800159</v>
      </c>
      <c r="L1894">
        <v>1</v>
      </c>
      <c r="M1894" t="s">
        <v>281</v>
      </c>
      <c r="N1894" t="s">
        <v>246</v>
      </c>
      <c r="O1894">
        <v>1460400</v>
      </c>
    </row>
    <row r="1895" spans="1:15" x14ac:dyDescent="0.4">
      <c r="A1895" t="s">
        <v>275</v>
      </c>
      <c r="B1895">
        <v>76</v>
      </c>
      <c r="C1895" t="s">
        <v>6</v>
      </c>
      <c r="D1895">
        <v>61</v>
      </c>
      <c r="E1895" t="s">
        <v>703</v>
      </c>
      <c r="F1895">
        <v>1472</v>
      </c>
      <c r="G1895" t="s">
        <v>998</v>
      </c>
      <c r="I1895">
        <v>20009680</v>
      </c>
      <c r="J1895" t="s">
        <v>3177</v>
      </c>
      <c r="K1895">
        <v>800157</v>
      </c>
      <c r="L1895">
        <v>1</v>
      </c>
      <c r="M1895" t="s">
        <v>281</v>
      </c>
      <c r="N1895" t="s">
        <v>244</v>
      </c>
      <c r="O1895">
        <v>880000</v>
      </c>
    </row>
    <row r="1896" spans="1:15" x14ac:dyDescent="0.4">
      <c r="A1896" t="s">
        <v>203</v>
      </c>
      <c r="B1896">
        <v>60</v>
      </c>
      <c r="C1896" t="s">
        <v>3</v>
      </c>
      <c r="D1896">
        <v>31</v>
      </c>
      <c r="E1896" t="s">
        <v>447</v>
      </c>
      <c r="F1896">
        <v>1543</v>
      </c>
      <c r="G1896" t="s">
        <v>1183</v>
      </c>
      <c r="I1896">
        <v>10002697</v>
      </c>
      <c r="J1896" t="s">
        <v>3178</v>
      </c>
      <c r="K1896">
        <v>800157</v>
      </c>
      <c r="L1896">
        <v>1</v>
      </c>
      <c r="M1896" t="s">
        <v>290</v>
      </c>
      <c r="N1896" t="s">
        <v>293</v>
      </c>
      <c r="O1896">
        <v>828800</v>
      </c>
    </row>
    <row r="1897" spans="1:15" x14ac:dyDescent="0.4">
      <c r="A1897" t="s">
        <v>275</v>
      </c>
      <c r="B1897">
        <v>75</v>
      </c>
      <c r="C1897" t="s">
        <v>5</v>
      </c>
      <c r="D1897">
        <v>52</v>
      </c>
      <c r="E1897" t="s">
        <v>665</v>
      </c>
      <c r="F1897">
        <v>1403</v>
      </c>
      <c r="G1897" t="s">
        <v>925</v>
      </c>
      <c r="I1897">
        <v>20009768</v>
      </c>
      <c r="J1897" t="s">
        <v>3179</v>
      </c>
      <c r="K1897">
        <v>800157</v>
      </c>
      <c r="L1897">
        <v>1</v>
      </c>
      <c r="M1897" t="s">
        <v>281</v>
      </c>
      <c r="N1897" t="s">
        <v>244</v>
      </c>
      <c r="O1897">
        <v>864000</v>
      </c>
    </row>
    <row r="1898" spans="1:15" x14ac:dyDescent="0.4">
      <c r="A1898" t="s">
        <v>220</v>
      </c>
      <c r="B1898">
        <v>50</v>
      </c>
      <c r="C1898" t="s">
        <v>1</v>
      </c>
      <c r="D1898">
        <v>11</v>
      </c>
      <c r="E1898" t="s">
        <v>192</v>
      </c>
      <c r="F1898">
        <v>1085</v>
      </c>
      <c r="G1898" t="s">
        <v>854</v>
      </c>
      <c r="I1898">
        <v>20009770</v>
      </c>
      <c r="J1898" t="s">
        <v>2659</v>
      </c>
      <c r="K1898">
        <v>800157</v>
      </c>
      <c r="L1898">
        <v>1</v>
      </c>
      <c r="M1898" t="s">
        <v>203</v>
      </c>
      <c r="N1898" t="s">
        <v>206</v>
      </c>
      <c r="O1898">
        <v>784000</v>
      </c>
    </row>
    <row r="1899" spans="1:15" x14ac:dyDescent="0.4">
      <c r="A1899" t="s">
        <v>185</v>
      </c>
      <c r="B1899">
        <v>80</v>
      </c>
      <c r="C1899" t="s">
        <v>4</v>
      </c>
      <c r="D1899">
        <v>81</v>
      </c>
      <c r="E1899" t="s">
        <v>550</v>
      </c>
      <c r="F1899">
        <v>1322</v>
      </c>
      <c r="G1899" t="s">
        <v>961</v>
      </c>
      <c r="I1899">
        <v>10014328</v>
      </c>
      <c r="J1899" t="s">
        <v>3180</v>
      </c>
      <c r="K1899">
        <v>800159</v>
      </c>
      <c r="L1899">
        <v>1</v>
      </c>
      <c r="M1899" t="s">
        <v>275</v>
      </c>
      <c r="N1899" t="s">
        <v>234</v>
      </c>
      <c r="O1899">
        <v>1325400</v>
      </c>
    </row>
    <row r="1900" spans="1:15" x14ac:dyDescent="0.4">
      <c r="A1900" t="s">
        <v>281</v>
      </c>
      <c r="B1900">
        <v>50</v>
      </c>
      <c r="C1900" t="s">
        <v>1</v>
      </c>
      <c r="D1900">
        <v>21</v>
      </c>
      <c r="E1900" t="s">
        <v>182</v>
      </c>
      <c r="F1900">
        <v>1166</v>
      </c>
      <c r="G1900" t="s">
        <v>1082</v>
      </c>
      <c r="I1900">
        <v>10034794</v>
      </c>
      <c r="J1900" t="s">
        <v>3181</v>
      </c>
      <c r="K1900">
        <v>800159</v>
      </c>
      <c r="L1900">
        <v>1</v>
      </c>
      <c r="M1900" t="s">
        <v>363</v>
      </c>
      <c r="N1900" t="s">
        <v>315</v>
      </c>
      <c r="O1900">
        <v>1336200</v>
      </c>
    </row>
    <row r="1901" spans="1:15" x14ac:dyDescent="0.4">
      <c r="A1901" t="s">
        <v>363</v>
      </c>
      <c r="B1901">
        <v>76</v>
      </c>
      <c r="C1901" t="s">
        <v>6</v>
      </c>
      <c r="D1901">
        <v>61</v>
      </c>
      <c r="E1901" t="s">
        <v>703</v>
      </c>
      <c r="F1901">
        <v>1389</v>
      </c>
      <c r="G1901" t="s">
        <v>1197</v>
      </c>
      <c r="I1901">
        <v>10066746</v>
      </c>
      <c r="J1901" t="s">
        <v>3182</v>
      </c>
      <c r="K1901">
        <v>800159</v>
      </c>
      <c r="L1901">
        <v>1</v>
      </c>
      <c r="M1901" t="s">
        <v>376</v>
      </c>
      <c r="N1901" t="s">
        <v>262</v>
      </c>
      <c r="O1901">
        <v>1401000</v>
      </c>
    </row>
    <row r="1902" spans="1:15" x14ac:dyDescent="0.4">
      <c r="A1902" t="s">
        <v>363</v>
      </c>
      <c r="B1902">
        <v>76</v>
      </c>
      <c r="C1902" t="s">
        <v>6</v>
      </c>
      <c r="D1902">
        <v>61</v>
      </c>
      <c r="E1902" t="s">
        <v>703</v>
      </c>
      <c r="F1902">
        <v>1468</v>
      </c>
      <c r="G1902" t="s">
        <v>914</v>
      </c>
      <c r="I1902">
        <v>10079703</v>
      </c>
      <c r="J1902" t="s">
        <v>3183</v>
      </c>
      <c r="K1902">
        <v>800159</v>
      </c>
      <c r="L1902">
        <v>1</v>
      </c>
      <c r="M1902" t="s">
        <v>376</v>
      </c>
      <c r="N1902" t="s">
        <v>262</v>
      </c>
      <c r="O1902">
        <v>1401000</v>
      </c>
    </row>
    <row r="1903" spans="1:15" x14ac:dyDescent="0.4">
      <c r="A1903" t="s">
        <v>275</v>
      </c>
      <c r="B1903">
        <v>50</v>
      </c>
      <c r="C1903" t="s">
        <v>1</v>
      </c>
      <c r="D1903">
        <v>21</v>
      </c>
      <c r="E1903" t="s">
        <v>182</v>
      </c>
      <c r="F1903">
        <v>1264</v>
      </c>
      <c r="G1903" t="s">
        <v>1023</v>
      </c>
      <c r="I1903">
        <v>20009833</v>
      </c>
      <c r="J1903" t="s">
        <v>2790</v>
      </c>
      <c r="K1903">
        <v>800159</v>
      </c>
      <c r="L1903">
        <v>1</v>
      </c>
      <c r="M1903" t="s">
        <v>281</v>
      </c>
      <c r="N1903" t="s">
        <v>246</v>
      </c>
      <c r="O1903">
        <v>1406400</v>
      </c>
    </row>
    <row r="1904" spans="1:15" x14ac:dyDescent="0.4">
      <c r="A1904" t="s">
        <v>376</v>
      </c>
      <c r="B1904">
        <v>80</v>
      </c>
      <c r="C1904" t="s">
        <v>4</v>
      </c>
      <c r="D1904">
        <v>81</v>
      </c>
      <c r="E1904" t="s">
        <v>550</v>
      </c>
      <c r="F1904">
        <v>1154</v>
      </c>
      <c r="G1904" t="s">
        <v>1044</v>
      </c>
      <c r="I1904">
        <v>20009834</v>
      </c>
      <c r="J1904" t="s">
        <v>2980</v>
      </c>
      <c r="K1904">
        <v>800159</v>
      </c>
      <c r="L1904">
        <v>1</v>
      </c>
      <c r="M1904" t="s">
        <v>353</v>
      </c>
      <c r="N1904" t="s">
        <v>330</v>
      </c>
      <c r="O1904">
        <v>1357800</v>
      </c>
    </row>
    <row r="1905" spans="1:15" x14ac:dyDescent="0.4">
      <c r="A1905" t="s">
        <v>281</v>
      </c>
      <c r="B1905">
        <v>60</v>
      </c>
      <c r="C1905" t="s">
        <v>3</v>
      </c>
      <c r="D1905">
        <v>31</v>
      </c>
      <c r="E1905" t="s">
        <v>447</v>
      </c>
      <c r="F1905">
        <v>1299</v>
      </c>
      <c r="G1905" t="s">
        <v>947</v>
      </c>
      <c r="I1905">
        <v>20009836</v>
      </c>
      <c r="J1905" t="s">
        <v>3184</v>
      </c>
      <c r="K1905">
        <v>800159</v>
      </c>
      <c r="L1905">
        <v>1</v>
      </c>
      <c r="M1905" t="s">
        <v>363</v>
      </c>
      <c r="N1905" t="s">
        <v>315</v>
      </c>
      <c r="O1905">
        <v>1330800</v>
      </c>
    </row>
    <row r="1906" spans="1:15" x14ac:dyDescent="0.4">
      <c r="A1906" t="s">
        <v>363</v>
      </c>
      <c r="B1906">
        <v>76</v>
      </c>
      <c r="C1906" t="s">
        <v>6</v>
      </c>
      <c r="D1906">
        <v>61</v>
      </c>
      <c r="E1906" t="s">
        <v>703</v>
      </c>
      <c r="F1906">
        <v>1602</v>
      </c>
      <c r="G1906" t="s">
        <v>1013</v>
      </c>
      <c r="I1906">
        <v>20009730</v>
      </c>
      <c r="J1906" t="s">
        <v>3185</v>
      </c>
      <c r="K1906">
        <v>800159</v>
      </c>
      <c r="L1906">
        <v>1</v>
      </c>
      <c r="M1906" t="s">
        <v>376</v>
      </c>
      <c r="N1906" t="s">
        <v>262</v>
      </c>
      <c r="O1906">
        <v>1374000</v>
      </c>
    </row>
    <row r="1907" spans="1:15" x14ac:dyDescent="0.4">
      <c r="A1907" t="s">
        <v>275</v>
      </c>
      <c r="B1907">
        <v>76</v>
      </c>
      <c r="C1907" t="s">
        <v>6</v>
      </c>
      <c r="D1907">
        <v>61</v>
      </c>
      <c r="E1907" t="s">
        <v>703</v>
      </c>
      <c r="F1907">
        <v>1472</v>
      </c>
      <c r="G1907" t="s">
        <v>998</v>
      </c>
      <c r="I1907">
        <v>10040879</v>
      </c>
      <c r="J1907" t="s">
        <v>3186</v>
      </c>
      <c r="K1907">
        <v>800159</v>
      </c>
      <c r="L1907">
        <v>1</v>
      </c>
      <c r="M1907" t="s">
        <v>281</v>
      </c>
      <c r="N1907" t="s">
        <v>246</v>
      </c>
      <c r="O1907">
        <v>1320000</v>
      </c>
    </row>
    <row r="1908" spans="1:15" x14ac:dyDescent="0.4">
      <c r="A1908" t="s">
        <v>363</v>
      </c>
      <c r="B1908">
        <v>75</v>
      </c>
      <c r="C1908" t="s">
        <v>5</v>
      </c>
      <c r="D1908">
        <v>51</v>
      </c>
      <c r="E1908" t="s">
        <v>657</v>
      </c>
      <c r="F1908">
        <v>1435</v>
      </c>
      <c r="G1908" t="s">
        <v>860</v>
      </c>
      <c r="I1908">
        <v>10012035</v>
      </c>
      <c r="J1908" t="s">
        <v>3187</v>
      </c>
      <c r="K1908">
        <v>800159</v>
      </c>
      <c r="L1908">
        <v>1</v>
      </c>
      <c r="M1908" t="s">
        <v>376</v>
      </c>
      <c r="N1908" t="s">
        <v>262</v>
      </c>
      <c r="O1908">
        <v>1341600</v>
      </c>
    </row>
    <row r="1909" spans="1:15" x14ac:dyDescent="0.4">
      <c r="A1909" t="s">
        <v>275</v>
      </c>
      <c r="B1909">
        <v>60</v>
      </c>
      <c r="C1909" t="s">
        <v>3</v>
      </c>
      <c r="D1909">
        <v>33</v>
      </c>
      <c r="E1909" t="s">
        <v>451</v>
      </c>
      <c r="F1909">
        <v>1505</v>
      </c>
      <c r="G1909" t="s">
        <v>900</v>
      </c>
      <c r="I1909">
        <v>20009809</v>
      </c>
      <c r="J1909" t="s">
        <v>3188</v>
      </c>
      <c r="K1909">
        <v>800159</v>
      </c>
      <c r="L1909">
        <v>1</v>
      </c>
      <c r="M1909" t="s">
        <v>281</v>
      </c>
      <c r="N1909" t="s">
        <v>246</v>
      </c>
      <c r="O1909">
        <v>1320000</v>
      </c>
    </row>
    <row r="1910" spans="1:15" x14ac:dyDescent="0.4">
      <c r="A1910" t="s">
        <v>376</v>
      </c>
      <c r="B1910">
        <v>76</v>
      </c>
      <c r="C1910" t="s">
        <v>6</v>
      </c>
      <c r="D1910">
        <v>61</v>
      </c>
      <c r="E1910" t="s">
        <v>703</v>
      </c>
      <c r="F1910">
        <v>1475</v>
      </c>
      <c r="G1910" t="s">
        <v>909</v>
      </c>
      <c r="I1910">
        <v>20009812</v>
      </c>
      <c r="J1910" t="s">
        <v>3189</v>
      </c>
      <c r="K1910">
        <v>800159</v>
      </c>
      <c r="L1910">
        <v>1</v>
      </c>
      <c r="M1910" t="s">
        <v>353</v>
      </c>
      <c r="N1910" t="s">
        <v>330</v>
      </c>
      <c r="O1910">
        <v>1465800</v>
      </c>
    </row>
    <row r="1911" spans="1:15" x14ac:dyDescent="0.4">
      <c r="A1911" t="s">
        <v>220</v>
      </c>
      <c r="B1911">
        <v>80</v>
      </c>
      <c r="C1911" t="s">
        <v>4</v>
      </c>
      <c r="D1911">
        <v>81</v>
      </c>
      <c r="E1911" t="s">
        <v>550</v>
      </c>
      <c r="F1911">
        <v>1154</v>
      </c>
      <c r="G1911" t="s">
        <v>1044</v>
      </c>
      <c r="I1911">
        <v>10053996</v>
      </c>
      <c r="J1911" t="s">
        <v>2687</v>
      </c>
      <c r="K1911">
        <v>800157</v>
      </c>
      <c r="L1911">
        <v>1</v>
      </c>
      <c r="M1911" t="s">
        <v>203</v>
      </c>
      <c r="N1911" t="s">
        <v>206</v>
      </c>
      <c r="O1911">
        <v>784000</v>
      </c>
    </row>
    <row r="1912" spans="1:15" x14ac:dyDescent="0.4">
      <c r="A1912" t="s">
        <v>363</v>
      </c>
      <c r="B1912">
        <v>60</v>
      </c>
      <c r="C1912" t="s">
        <v>3</v>
      </c>
      <c r="D1912">
        <v>31</v>
      </c>
      <c r="E1912" t="s">
        <v>447</v>
      </c>
      <c r="F1912">
        <v>1299</v>
      </c>
      <c r="G1912" t="s">
        <v>947</v>
      </c>
      <c r="I1912">
        <v>20009796</v>
      </c>
      <c r="J1912" t="s">
        <v>3190</v>
      </c>
      <c r="K1912">
        <v>800159</v>
      </c>
      <c r="L1912">
        <v>1</v>
      </c>
      <c r="M1912" t="s">
        <v>376</v>
      </c>
      <c r="N1912" t="s">
        <v>262</v>
      </c>
      <c r="O1912">
        <v>1330800</v>
      </c>
    </row>
    <row r="1913" spans="1:15" x14ac:dyDescent="0.4">
      <c r="A1913" t="s">
        <v>363</v>
      </c>
      <c r="B1913">
        <v>76</v>
      </c>
      <c r="C1913" t="s">
        <v>6</v>
      </c>
      <c r="D1913">
        <v>61</v>
      </c>
      <c r="E1913" t="s">
        <v>703</v>
      </c>
      <c r="F1913">
        <v>1468</v>
      </c>
      <c r="G1913" t="s">
        <v>914</v>
      </c>
      <c r="I1913">
        <v>20009860</v>
      </c>
      <c r="J1913" t="s">
        <v>3191</v>
      </c>
      <c r="K1913">
        <v>800159</v>
      </c>
      <c r="L1913">
        <v>1</v>
      </c>
      <c r="M1913" t="s">
        <v>376</v>
      </c>
      <c r="N1913" t="s">
        <v>262</v>
      </c>
      <c r="O1913">
        <v>1406400</v>
      </c>
    </row>
    <row r="1914" spans="1:15" x14ac:dyDescent="0.4">
      <c r="A1914" t="s">
        <v>281</v>
      </c>
      <c r="B1914">
        <v>50</v>
      </c>
      <c r="C1914" t="s">
        <v>1</v>
      </c>
      <c r="D1914">
        <v>21</v>
      </c>
      <c r="E1914" t="s">
        <v>182</v>
      </c>
      <c r="F1914">
        <v>1345</v>
      </c>
      <c r="G1914" t="s">
        <v>874</v>
      </c>
      <c r="I1914">
        <v>10053856</v>
      </c>
      <c r="J1914" t="s">
        <v>3192</v>
      </c>
      <c r="K1914">
        <v>800159</v>
      </c>
      <c r="L1914">
        <v>1</v>
      </c>
      <c r="M1914" t="s">
        <v>363</v>
      </c>
      <c r="N1914" t="s">
        <v>315</v>
      </c>
      <c r="O1914">
        <v>1236000</v>
      </c>
    </row>
    <row r="1915" spans="1:15" x14ac:dyDescent="0.4">
      <c r="A1915" t="s">
        <v>353</v>
      </c>
      <c r="B1915">
        <v>80</v>
      </c>
      <c r="C1915" t="s">
        <v>4</v>
      </c>
      <c r="D1915">
        <v>81</v>
      </c>
      <c r="E1915" t="s">
        <v>550</v>
      </c>
      <c r="F1915">
        <v>1154</v>
      </c>
      <c r="G1915" t="s">
        <v>1044</v>
      </c>
      <c r="I1915">
        <v>20009874</v>
      </c>
      <c r="J1915" t="s">
        <v>3193</v>
      </c>
      <c r="K1915">
        <v>800159</v>
      </c>
      <c r="L1915">
        <v>1</v>
      </c>
      <c r="M1915" t="s">
        <v>220</v>
      </c>
      <c r="N1915" t="s">
        <v>225</v>
      </c>
      <c r="O1915">
        <v>1320000</v>
      </c>
    </row>
    <row r="1916" spans="1:15" x14ac:dyDescent="0.4">
      <c r="A1916" t="s">
        <v>376</v>
      </c>
      <c r="B1916">
        <v>80</v>
      </c>
      <c r="C1916" t="s">
        <v>4</v>
      </c>
      <c r="D1916">
        <v>71</v>
      </c>
      <c r="E1916" t="s">
        <v>556</v>
      </c>
      <c r="F1916">
        <v>1296</v>
      </c>
      <c r="G1916" t="s">
        <v>964</v>
      </c>
      <c r="I1916">
        <v>10043813</v>
      </c>
      <c r="J1916" t="s">
        <v>3194</v>
      </c>
      <c r="K1916">
        <v>800157</v>
      </c>
      <c r="L1916">
        <v>1</v>
      </c>
      <c r="M1916" t="s">
        <v>353</v>
      </c>
      <c r="N1916" t="s">
        <v>328</v>
      </c>
      <c r="O1916">
        <v>787200</v>
      </c>
    </row>
    <row r="1917" spans="1:15" x14ac:dyDescent="0.4">
      <c r="A1917" t="s">
        <v>376</v>
      </c>
      <c r="B1917">
        <v>76</v>
      </c>
      <c r="C1917" t="s">
        <v>6</v>
      </c>
      <c r="D1917">
        <v>61</v>
      </c>
      <c r="E1917" t="s">
        <v>703</v>
      </c>
      <c r="F1917">
        <v>1563</v>
      </c>
      <c r="G1917" t="s">
        <v>942</v>
      </c>
      <c r="I1917">
        <v>20009910</v>
      </c>
      <c r="J1917" t="s">
        <v>3195</v>
      </c>
      <c r="K1917">
        <v>800159</v>
      </c>
      <c r="L1917">
        <v>1</v>
      </c>
      <c r="M1917" t="s">
        <v>353</v>
      </c>
      <c r="N1917" t="s">
        <v>330</v>
      </c>
      <c r="O1917">
        <v>1525200</v>
      </c>
    </row>
    <row r="1918" spans="1:15" x14ac:dyDescent="0.4">
      <c r="A1918" t="s">
        <v>281</v>
      </c>
      <c r="B1918">
        <v>50</v>
      </c>
      <c r="C1918" t="s">
        <v>1</v>
      </c>
      <c r="D1918">
        <v>21</v>
      </c>
      <c r="E1918" t="s">
        <v>182</v>
      </c>
      <c r="F1918">
        <v>1166</v>
      </c>
      <c r="G1918" t="s">
        <v>1082</v>
      </c>
      <c r="I1918">
        <v>20009911</v>
      </c>
      <c r="J1918" t="s">
        <v>3196</v>
      </c>
      <c r="K1918">
        <v>800159</v>
      </c>
      <c r="L1918">
        <v>1</v>
      </c>
      <c r="M1918" t="s">
        <v>363</v>
      </c>
      <c r="N1918" t="s">
        <v>315</v>
      </c>
      <c r="O1918">
        <v>1320000</v>
      </c>
    </row>
    <row r="1919" spans="1:15" x14ac:dyDescent="0.4">
      <c r="A1919" t="s">
        <v>353</v>
      </c>
      <c r="B1919">
        <v>76</v>
      </c>
      <c r="C1919" t="s">
        <v>6</v>
      </c>
      <c r="D1919">
        <v>61</v>
      </c>
      <c r="E1919" t="s">
        <v>703</v>
      </c>
      <c r="F1919">
        <v>1475</v>
      </c>
      <c r="G1919" t="s">
        <v>909</v>
      </c>
      <c r="I1919">
        <v>20009899</v>
      </c>
      <c r="J1919" t="s">
        <v>3197</v>
      </c>
      <c r="K1919">
        <v>800157</v>
      </c>
      <c r="L1919">
        <v>1</v>
      </c>
      <c r="M1919" t="s">
        <v>220</v>
      </c>
      <c r="N1919" t="s">
        <v>223</v>
      </c>
      <c r="O1919">
        <v>787200</v>
      </c>
    </row>
    <row r="1920" spans="1:15" x14ac:dyDescent="0.4">
      <c r="A1920" t="s">
        <v>290</v>
      </c>
      <c r="B1920">
        <v>80</v>
      </c>
      <c r="C1920" t="s">
        <v>4</v>
      </c>
      <c r="D1920">
        <v>71</v>
      </c>
      <c r="E1920" t="s">
        <v>556</v>
      </c>
      <c r="F1920">
        <v>1296</v>
      </c>
      <c r="G1920" t="s">
        <v>964</v>
      </c>
      <c r="I1920">
        <v>10021517</v>
      </c>
      <c r="J1920" t="s">
        <v>3198</v>
      </c>
      <c r="K1920">
        <v>800159</v>
      </c>
      <c r="L1920">
        <v>1</v>
      </c>
      <c r="M1920" t="s">
        <v>250</v>
      </c>
      <c r="N1920" t="s">
        <v>255</v>
      </c>
      <c r="O1920">
        <v>1563000</v>
      </c>
    </row>
    <row r="1921" spans="1:15" x14ac:dyDescent="0.4">
      <c r="A1921" t="s">
        <v>290</v>
      </c>
      <c r="B1921">
        <v>75</v>
      </c>
      <c r="C1921" t="s">
        <v>5</v>
      </c>
      <c r="D1921">
        <v>52</v>
      </c>
      <c r="E1921" t="s">
        <v>665</v>
      </c>
      <c r="F1921">
        <v>1403</v>
      </c>
      <c r="G1921" t="s">
        <v>925</v>
      </c>
      <c r="I1921">
        <v>10074974</v>
      </c>
      <c r="J1921" t="s">
        <v>3199</v>
      </c>
      <c r="K1921">
        <v>800157</v>
      </c>
      <c r="L1921">
        <v>1</v>
      </c>
      <c r="M1921" t="s">
        <v>250</v>
      </c>
      <c r="N1921" t="s">
        <v>253</v>
      </c>
      <c r="O1921">
        <v>803200</v>
      </c>
    </row>
    <row r="1922" spans="1:15" x14ac:dyDescent="0.4">
      <c r="A1922" t="s">
        <v>220</v>
      </c>
      <c r="B1922">
        <v>76</v>
      </c>
      <c r="C1922" t="s">
        <v>6</v>
      </c>
      <c r="D1922">
        <v>61</v>
      </c>
      <c r="E1922" t="s">
        <v>703</v>
      </c>
      <c r="F1922">
        <v>1475</v>
      </c>
      <c r="G1922" t="s">
        <v>909</v>
      </c>
      <c r="I1922">
        <v>20009933</v>
      </c>
      <c r="J1922" t="s">
        <v>3200</v>
      </c>
      <c r="K1922">
        <v>800159</v>
      </c>
      <c r="L1922">
        <v>1</v>
      </c>
      <c r="M1922" t="s">
        <v>203</v>
      </c>
      <c r="N1922" t="s">
        <v>208</v>
      </c>
      <c r="O1922">
        <v>1406400</v>
      </c>
    </row>
    <row r="1923" spans="1:15" x14ac:dyDescent="0.4">
      <c r="A1923" t="s">
        <v>203</v>
      </c>
      <c r="B1923">
        <v>80</v>
      </c>
      <c r="C1923" t="s">
        <v>4</v>
      </c>
      <c r="D1923">
        <v>81</v>
      </c>
      <c r="E1923" t="s">
        <v>550</v>
      </c>
      <c r="F1923">
        <v>1154</v>
      </c>
      <c r="G1923" t="s">
        <v>1044</v>
      </c>
      <c r="I1923">
        <v>20010004</v>
      </c>
      <c r="J1923" t="s">
        <v>3201</v>
      </c>
      <c r="K1923">
        <v>800159</v>
      </c>
      <c r="L1923">
        <v>1</v>
      </c>
      <c r="M1923" t="s">
        <v>290</v>
      </c>
      <c r="N1923" t="s">
        <v>295</v>
      </c>
      <c r="O1923">
        <v>1336200</v>
      </c>
    </row>
    <row r="1924" spans="1:15" x14ac:dyDescent="0.4">
      <c r="A1924" t="s">
        <v>275</v>
      </c>
      <c r="B1924">
        <v>80</v>
      </c>
      <c r="C1924" t="s">
        <v>4</v>
      </c>
      <c r="D1924">
        <v>81</v>
      </c>
      <c r="E1924" t="s">
        <v>550</v>
      </c>
      <c r="F1924">
        <v>1436</v>
      </c>
      <c r="G1924" t="s">
        <v>918</v>
      </c>
      <c r="I1924">
        <v>20009854</v>
      </c>
      <c r="J1924" t="s">
        <v>3202</v>
      </c>
      <c r="K1924">
        <v>800159</v>
      </c>
      <c r="L1924">
        <v>1</v>
      </c>
      <c r="M1924" t="s">
        <v>281</v>
      </c>
      <c r="N1924" t="s">
        <v>246</v>
      </c>
      <c r="O1924">
        <v>1390200</v>
      </c>
    </row>
    <row r="1925" spans="1:15" x14ac:dyDescent="0.4">
      <c r="A1925" t="s">
        <v>363</v>
      </c>
      <c r="B1925">
        <v>80</v>
      </c>
      <c r="C1925" t="s">
        <v>4</v>
      </c>
      <c r="D1925">
        <v>81</v>
      </c>
      <c r="E1925" t="s">
        <v>550</v>
      </c>
      <c r="F1925">
        <v>1322</v>
      </c>
      <c r="G1925" t="s">
        <v>961</v>
      </c>
      <c r="I1925">
        <v>20009863</v>
      </c>
      <c r="J1925" t="s">
        <v>3203</v>
      </c>
      <c r="K1925">
        <v>800159</v>
      </c>
      <c r="L1925">
        <v>1</v>
      </c>
      <c r="M1925" t="s">
        <v>376</v>
      </c>
      <c r="N1925" t="s">
        <v>262</v>
      </c>
      <c r="O1925">
        <v>1330800</v>
      </c>
    </row>
    <row r="1926" spans="1:15" x14ac:dyDescent="0.4">
      <c r="A1926" t="s">
        <v>376</v>
      </c>
      <c r="B1926">
        <v>80</v>
      </c>
      <c r="C1926" t="s">
        <v>4</v>
      </c>
      <c r="D1926">
        <v>81</v>
      </c>
      <c r="E1926" t="s">
        <v>550</v>
      </c>
      <c r="F1926">
        <v>1154</v>
      </c>
      <c r="G1926" t="s">
        <v>1044</v>
      </c>
      <c r="I1926">
        <v>20009879</v>
      </c>
      <c r="J1926" t="s">
        <v>3204</v>
      </c>
      <c r="K1926">
        <v>800159</v>
      </c>
      <c r="L1926">
        <v>1</v>
      </c>
      <c r="M1926" t="s">
        <v>353</v>
      </c>
      <c r="N1926" t="s">
        <v>330</v>
      </c>
      <c r="O1926">
        <v>1509000</v>
      </c>
    </row>
    <row r="1927" spans="1:15" x14ac:dyDescent="0.4">
      <c r="A1927" t="s">
        <v>203</v>
      </c>
      <c r="B1927">
        <v>70</v>
      </c>
      <c r="C1927" t="s">
        <v>2</v>
      </c>
      <c r="D1927">
        <v>41</v>
      </c>
      <c r="E1927" t="s">
        <v>306</v>
      </c>
      <c r="F1927">
        <v>1552</v>
      </c>
      <c r="G1927" t="s">
        <v>929</v>
      </c>
      <c r="I1927">
        <v>20009865</v>
      </c>
      <c r="J1927" t="s">
        <v>3205</v>
      </c>
      <c r="K1927">
        <v>800159</v>
      </c>
      <c r="L1927">
        <v>1</v>
      </c>
      <c r="M1927" t="s">
        <v>290</v>
      </c>
      <c r="N1927" t="s">
        <v>295</v>
      </c>
      <c r="O1927">
        <v>1417200</v>
      </c>
    </row>
    <row r="1928" spans="1:15" x14ac:dyDescent="0.4">
      <c r="A1928" t="s">
        <v>363</v>
      </c>
      <c r="B1928">
        <v>76</v>
      </c>
      <c r="C1928" t="s">
        <v>6</v>
      </c>
      <c r="D1928">
        <v>61</v>
      </c>
      <c r="E1928" t="s">
        <v>703</v>
      </c>
      <c r="F1928">
        <v>1389</v>
      </c>
      <c r="G1928" t="s">
        <v>1197</v>
      </c>
      <c r="I1928">
        <v>20009383</v>
      </c>
      <c r="J1928" t="s">
        <v>3206</v>
      </c>
      <c r="K1928">
        <v>800159</v>
      </c>
      <c r="L1928">
        <v>1</v>
      </c>
      <c r="M1928" t="s">
        <v>376</v>
      </c>
      <c r="N1928" t="s">
        <v>262</v>
      </c>
      <c r="O1928">
        <v>1395600</v>
      </c>
    </row>
    <row r="1929" spans="1:15" x14ac:dyDescent="0.4">
      <c r="A1929" t="s">
        <v>186</v>
      </c>
      <c r="B1929">
        <v>76</v>
      </c>
      <c r="C1929" t="s">
        <v>6</v>
      </c>
      <c r="D1929">
        <v>61</v>
      </c>
      <c r="E1929" t="s">
        <v>703</v>
      </c>
      <c r="F1929">
        <v>1602</v>
      </c>
      <c r="G1929" t="s">
        <v>1013</v>
      </c>
      <c r="I1929">
        <v>20009827</v>
      </c>
      <c r="J1929" t="s">
        <v>3207</v>
      </c>
      <c r="K1929">
        <v>800157</v>
      </c>
      <c r="L1929">
        <v>1</v>
      </c>
      <c r="M1929" t="s">
        <v>238</v>
      </c>
      <c r="N1929" t="s">
        <v>189</v>
      </c>
      <c r="O1929">
        <v>784000</v>
      </c>
    </row>
    <row r="1930" spans="1:15" x14ac:dyDescent="0.4">
      <c r="A1930" t="s">
        <v>376</v>
      </c>
      <c r="B1930">
        <v>75</v>
      </c>
      <c r="C1930" t="s">
        <v>5</v>
      </c>
      <c r="D1930">
        <v>51</v>
      </c>
      <c r="E1930" t="s">
        <v>657</v>
      </c>
      <c r="F1930">
        <v>1415</v>
      </c>
      <c r="G1930" t="s">
        <v>1038</v>
      </c>
      <c r="I1930">
        <v>20009886</v>
      </c>
      <c r="J1930" t="s">
        <v>3208</v>
      </c>
      <c r="K1930">
        <v>800159</v>
      </c>
      <c r="L1930">
        <v>1</v>
      </c>
      <c r="M1930" t="s">
        <v>353</v>
      </c>
      <c r="N1930" t="s">
        <v>330</v>
      </c>
      <c r="O1930">
        <v>1444200</v>
      </c>
    </row>
    <row r="1931" spans="1:15" x14ac:dyDescent="0.4">
      <c r="A1931" t="s">
        <v>363</v>
      </c>
      <c r="B1931">
        <v>70</v>
      </c>
      <c r="C1931" t="s">
        <v>2</v>
      </c>
      <c r="D1931">
        <v>41</v>
      </c>
      <c r="E1931" t="s">
        <v>306</v>
      </c>
      <c r="F1931">
        <v>1118</v>
      </c>
      <c r="G1931" t="s">
        <v>1471</v>
      </c>
      <c r="I1931">
        <v>20009887</v>
      </c>
      <c r="J1931" t="s">
        <v>3209</v>
      </c>
      <c r="K1931">
        <v>800159</v>
      </c>
      <c r="L1931">
        <v>1</v>
      </c>
      <c r="M1931" t="s">
        <v>376</v>
      </c>
      <c r="N1931" t="s">
        <v>262</v>
      </c>
      <c r="O1931">
        <v>1320000</v>
      </c>
    </row>
    <row r="1932" spans="1:15" x14ac:dyDescent="0.4">
      <c r="A1932" t="s">
        <v>220</v>
      </c>
      <c r="B1932">
        <v>60</v>
      </c>
      <c r="C1932" t="s">
        <v>3</v>
      </c>
      <c r="D1932">
        <v>31</v>
      </c>
      <c r="E1932" t="s">
        <v>447</v>
      </c>
      <c r="F1932">
        <v>1116</v>
      </c>
      <c r="G1932" t="s">
        <v>1075</v>
      </c>
      <c r="I1932">
        <v>20009888</v>
      </c>
      <c r="J1932" t="s">
        <v>3210</v>
      </c>
      <c r="K1932">
        <v>800159</v>
      </c>
      <c r="L1932">
        <v>1</v>
      </c>
      <c r="M1932" t="s">
        <v>203</v>
      </c>
      <c r="N1932" t="s">
        <v>208</v>
      </c>
      <c r="O1932">
        <v>1422600</v>
      </c>
    </row>
    <row r="1933" spans="1:15" x14ac:dyDescent="0.4">
      <c r="A1933" t="s">
        <v>363</v>
      </c>
      <c r="B1933">
        <v>50</v>
      </c>
      <c r="C1933" t="s">
        <v>1</v>
      </c>
      <c r="D1933">
        <v>21</v>
      </c>
      <c r="E1933" t="s">
        <v>182</v>
      </c>
      <c r="F1933">
        <v>1264</v>
      </c>
      <c r="G1933" t="s">
        <v>1023</v>
      </c>
      <c r="I1933">
        <v>20009912</v>
      </c>
      <c r="J1933" t="s">
        <v>3211</v>
      </c>
      <c r="K1933">
        <v>800159</v>
      </c>
      <c r="L1933">
        <v>1</v>
      </c>
      <c r="M1933" t="s">
        <v>376</v>
      </c>
      <c r="N1933" t="s">
        <v>262</v>
      </c>
      <c r="O1933">
        <v>1390200</v>
      </c>
    </row>
    <row r="1934" spans="1:15" x14ac:dyDescent="0.4">
      <c r="A1934" t="s">
        <v>376</v>
      </c>
      <c r="B1934">
        <v>70</v>
      </c>
      <c r="C1934" t="s">
        <v>2</v>
      </c>
      <c r="D1934">
        <v>41</v>
      </c>
      <c r="E1934" t="s">
        <v>306</v>
      </c>
      <c r="F1934">
        <v>1118</v>
      </c>
      <c r="G1934" t="s">
        <v>1471</v>
      </c>
      <c r="I1934">
        <v>20009892</v>
      </c>
      <c r="J1934" t="s">
        <v>1979</v>
      </c>
      <c r="K1934">
        <v>800159</v>
      </c>
      <c r="L1934">
        <v>1</v>
      </c>
      <c r="M1934" t="s">
        <v>353</v>
      </c>
      <c r="N1934" t="s">
        <v>330</v>
      </c>
      <c r="O1934">
        <v>1471200</v>
      </c>
    </row>
    <row r="1935" spans="1:15" x14ac:dyDescent="0.4">
      <c r="A1935" t="s">
        <v>281</v>
      </c>
      <c r="B1935">
        <v>50</v>
      </c>
      <c r="C1935" t="s">
        <v>1</v>
      </c>
      <c r="D1935">
        <v>21</v>
      </c>
      <c r="E1935" t="s">
        <v>182</v>
      </c>
      <c r="F1935">
        <v>1264</v>
      </c>
      <c r="G1935" t="s">
        <v>1023</v>
      </c>
      <c r="I1935">
        <v>20009909</v>
      </c>
      <c r="J1935" t="s">
        <v>3212</v>
      </c>
      <c r="K1935">
        <v>800159</v>
      </c>
      <c r="L1935">
        <v>1</v>
      </c>
      <c r="M1935" t="s">
        <v>363</v>
      </c>
      <c r="N1935" t="s">
        <v>315</v>
      </c>
      <c r="O1935">
        <v>1438800</v>
      </c>
    </row>
    <row r="1936" spans="1:15" x14ac:dyDescent="0.4">
      <c r="A1936" t="s">
        <v>203</v>
      </c>
      <c r="B1936">
        <v>60</v>
      </c>
      <c r="C1936" t="s">
        <v>3</v>
      </c>
      <c r="D1936">
        <v>31</v>
      </c>
      <c r="E1936" t="s">
        <v>447</v>
      </c>
      <c r="F1936">
        <v>1612</v>
      </c>
      <c r="G1936" t="s">
        <v>1720</v>
      </c>
      <c r="I1936">
        <v>20009960</v>
      </c>
      <c r="J1936" t="s">
        <v>3213</v>
      </c>
      <c r="K1936">
        <v>800157</v>
      </c>
      <c r="L1936">
        <v>1</v>
      </c>
      <c r="M1936" t="s">
        <v>290</v>
      </c>
      <c r="N1936" t="s">
        <v>293</v>
      </c>
      <c r="O1936">
        <v>880000</v>
      </c>
    </row>
    <row r="1937" spans="1:15" x14ac:dyDescent="0.4">
      <c r="A1937" t="s">
        <v>250</v>
      </c>
      <c r="B1937">
        <v>70</v>
      </c>
      <c r="C1937" t="s">
        <v>2</v>
      </c>
      <c r="D1937">
        <v>41</v>
      </c>
      <c r="E1937" t="s">
        <v>306</v>
      </c>
      <c r="F1937">
        <v>1383</v>
      </c>
      <c r="G1937" t="s">
        <v>957</v>
      </c>
      <c r="I1937">
        <v>20009938</v>
      </c>
      <c r="J1937" t="s">
        <v>3214</v>
      </c>
      <c r="K1937">
        <v>800157</v>
      </c>
      <c r="L1937">
        <v>1</v>
      </c>
      <c r="M1937" t="s">
        <v>196</v>
      </c>
      <c r="N1937" t="s">
        <v>213</v>
      </c>
      <c r="O1937">
        <v>816000</v>
      </c>
    </row>
    <row r="1938" spans="1:15" x14ac:dyDescent="0.4">
      <c r="A1938" t="s">
        <v>290</v>
      </c>
      <c r="B1938">
        <v>75</v>
      </c>
      <c r="C1938" t="s">
        <v>5</v>
      </c>
      <c r="D1938">
        <v>51</v>
      </c>
      <c r="E1938" t="s">
        <v>657</v>
      </c>
      <c r="F1938">
        <v>1365</v>
      </c>
      <c r="G1938" t="s">
        <v>1148</v>
      </c>
      <c r="I1938">
        <v>20005839</v>
      </c>
      <c r="J1938" t="s">
        <v>3215</v>
      </c>
      <c r="K1938">
        <v>800159</v>
      </c>
      <c r="L1938">
        <v>1</v>
      </c>
      <c r="M1938" t="s">
        <v>250</v>
      </c>
      <c r="N1938" t="s">
        <v>255</v>
      </c>
      <c r="O1938">
        <v>1330800</v>
      </c>
    </row>
    <row r="1939" spans="1:15" x14ac:dyDescent="0.4">
      <c r="A1939" t="s">
        <v>230</v>
      </c>
      <c r="B1939">
        <v>80</v>
      </c>
      <c r="C1939" t="s">
        <v>4</v>
      </c>
      <c r="D1939">
        <v>81</v>
      </c>
      <c r="E1939" t="s">
        <v>550</v>
      </c>
      <c r="F1939">
        <v>1322</v>
      </c>
      <c r="G1939" t="s">
        <v>961</v>
      </c>
      <c r="I1939">
        <v>20010046</v>
      </c>
      <c r="J1939" t="s">
        <v>3216</v>
      </c>
      <c r="K1939">
        <v>800159</v>
      </c>
      <c r="L1939">
        <v>1</v>
      </c>
      <c r="M1939" t="s">
        <v>242</v>
      </c>
      <c r="N1939" t="s">
        <v>247</v>
      </c>
      <c r="O1939">
        <v>1330800</v>
      </c>
    </row>
    <row r="1940" spans="1:15" x14ac:dyDescent="0.4">
      <c r="A1940" t="s">
        <v>258</v>
      </c>
      <c r="B1940">
        <v>80</v>
      </c>
      <c r="C1940" t="s">
        <v>4</v>
      </c>
      <c r="D1940">
        <v>71</v>
      </c>
      <c r="E1940" t="s">
        <v>556</v>
      </c>
      <c r="F1940">
        <v>1296</v>
      </c>
      <c r="G1940" t="s">
        <v>964</v>
      </c>
      <c r="I1940">
        <v>20009966</v>
      </c>
      <c r="J1940" t="s">
        <v>3217</v>
      </c>
      <c r="K1940">
        <v>800159</v>
      </c>
      <c r="L1940">
        <v>1</v>
      </c>
      <c r="M1940" t="s">
        <v>221</v>
      </c>
      <c r="N1940" t="s">
        <v>331</v>
      </c>
      <c r="O1940">
        <v>1325400</v>
      </c>
    </row>
    <row r="1941" spans="1:15" x14ac:dyDescent="0.4">
      <c r="A1941" t="s">
        <v>311</v>
      </c>
      <c r="B1941">
        <v>60</v>
      </c>
      <c r="C1941" t="s">
        <v>3</v>
      </c>
      <c r="D1941">
        <v>33</v>
      </c>
      <c r="E1941" t="s">
        <v>451</v>
      </c>
      <c r="F1941">
        <v>1273</v>
      </c>
      <c r="G1941" t="s">
        <v>1084</v>
      </c>
      <c r="I1941">
        <v>20010123</v>
      </c>
      <c r="J1941" t="s">
        <v>2039</v>
      </c>
      <c r="K1941">
        <v>800157</v>
      </c>
      <c r="L1941">
        <v>1</v>
      </c>
      <c r="M1941" t="s">
        <v>258</v>
      </c>
      <c r="N1941" t="s">
        <v>261</v>
      </c>
      <c r="O1941">
        <v>835200</v>
      </c>
    </row>
    <row r="1942" spans="1:15" x14ac:dyDescent="0.4">
      <c r="A1942" t="s">
        <v>242</v>
      </c>
      <c r="B1942">
        <v>76</v>
      </c>
      <c r="C1942" t="s">
        <v>6</v>
      </c>
      <c r="D1942">
        <v>61</v>
      </c>
      <c r="E1942" t="s">
        <v>703</v>
      </c>
      <c r="F1942">
        <v>1602</v>
      </c>
      <c r="G1942" t="s">
        <v>1013</v>
      </c>
      <c r="I1942">
        <v>20010166</v>
      </c>
      <c r="J1942" t="s">
        <v>3218</v>
      </c>
      <c r="K1942">
        <v>800159</v>
      </c>
      <c r="L1942">
        <v>1</v>
      </c>
      <c r="M1942" t="s">
        <v>311</v>
      </c>
      <c r="N1942" t="s">
        <v>316</v>
      </c>
      <c r="O1942">
        <v>1357800</v>
      </c>
    </row>
    <row r="1943" spans="1:15" x14ac:dyDescent="0.4">
      <c r="A1943" t="s">
        <v>238</v>
      </c>
      <c r="B1943">
        <v>76</v>
      </c>
      <c r="C1943" t="s">
        <v>6</v>
      </c>
      <c r="D1943">
        <v>61</v>
      </c>
      <c r="E1943" t="s">
        <v>703</v>
      </c>
      <c r="F1943">
        <v>1468</v>
      </c>
      <c r="G1943" t="s">
        <v>914</v>
      </c>
      <c r="I1943">
        <v>10017261</v>
      </c>
      <c r="J1943" t="s">
        <v>2627</v>
      </c>
      <c r="K1943">
        <v>800159</v>
      </c>
      <c r="L1943">
        <v>1</v>
      </c>
      <c r="M1943" t="s">
        <v>230</v>
      </c>
      <c r="N1943" t="s">
        <v>235</v>
      </c>
      <c r="O1943">
        <v>1325400</v>
      </c>
    </row>
    <row r="1944" spans="1:15" x14ac:dyDescent="0.4">
      <c r="A1944" t="s">
        <v>238</v>
      </c>
      <c r="B1944">
        <v>60</v>
      </c>
      <c r="C1944" t="s">
        <v>3</v>
      </c>
      <c r="D1944">
        <v>31</v>
      </c>
      <c r="E1944" t="s">
        <v>447</v>
      </c>
      <c r="F1944">
        <v>1543</v>
      </c>
      <c r="G1944" t="s">
        <v>1183</v>
      </c>
      <c r="I1944">
        <v>20010172</v>
      </c>
      <c r="J1944" t="s">
        <v>3219</v>
      </c>
      <c r="K1944">
        <v>800159</v>
      </c>
      <c r="L1944">
        <v>1</v>
      </c>
      <c r="M1944" t="s">
        <v>230</v>
      </c>
      <c r="N1944" t="s">
        <v>235</v>
      </c>
      <c r="O1944">
        <v>1325400</v>
      </c>
    </row>
    <row r="1945" spans="1:15" x14ac:dyDescent="0.4">
      <c r="A1945" t="s">
        <v>311</v>
      </c>
      <c r="B1945">
        <v>50</v>
      </c>
      <c r="C1945" t="s">
        <v>1</v>
      </c>
      <c r="D1945">
        <v>21</v>
      </c>
      <c r="E1945" t="s">
        <v>182</v>
      </c>
      <c r="F1945">
        <v>1345</v>
      </c>
      <c r="G1945" t="s">
        <v>874</v>
      </c>
      <c r="I1945">
        <v>10090095</v>
      </c>
      <c r="J1945" t="s">
        <v>3220</v>
      </c>
      <c r="K1945">
        <v>800159</v>
      </c>
      <c r="L1945">
        <v>1</v>
      </c>
      <c r="M1945" t="s">
        <v>258</v>
      </c>
      <c r="N1945" t="s">
        <v>263</v>
      </c>
      <c r="O1945">
        <v>1320000</v>
      </c>
    </row>
    <row r="1946" spans="1:15" x14ac:dyDescent="0.4">
      <c r="A1946" t="s">
        <v>258</v>
      </c>
      <c r="B1946">
        <v>76</v>
      </c>
      <c r="C1946" t="s">
        <v>6</v>
      </c>
      <c r="D1946">
        <v>61</v>
      </c>
      <c r="E1946" t="s">
        <v>703</v>
      </c>
      <c r="F1946">
        <v>1389</v>
      </c>
      <c r="G1946" t="s">
        <v>1197</v>
      </c>
      <c r="I1946">
        <v>10036504</v>
      </c>
      <c r="J1946" t="s">
        <v>3221</v>
      </c>
      <c r="K1946">
        <v>800157</v>
      </c>
      <c r="L1946">
        <v>1</v>
      </c>
      <c r="M1946" t="s">
        <v>221</v>
      </c>
      <c r="N1946" t="s">
        <v>329</v>
      </c>
      <c r="O1946">
        <v>784000</v>
      </c>
    </row>
    <row r="1947" spans="1:15" x14ac:dyDescent="0.4">
      <c r="A1947" t="s">
        <v>242</v>
      </c>
      <c r="B1947">
        <v>70</v>
      </c>
      <c r="C1947" t="s">
        <v>2</v>
      </c>
      <c r="D1947">
        <v>41</v>
      </c>
      <c r="E1947" t="s">
        <v>306</v>
      </c>
      <c r="F1947">
        <v>1298</v>
      </c>
      <c r="G1947" t="s">
        <v>1277</v>
      </c>
      <c r="I1947">
        <v>10057406</v>
      </c>
      <c r="J1947" t="s">
        <v>3222</v>
      </c>
      <c r="K1947">
        <v>800159</v>
      </c>
      <c r="L1947">
        <v>1</v>
      </c>
      <c r="M1947" t="s">
        <v>311</v>
      </c>
      <c r="N1947" t="s">
        <v>316</v>
      </c>
      <c r="O1947">
        <v>1272000</v>
      </c>
    </row>
    <row r="1948" spans="1:15" x14ac:dyDescent="0.4">
      <c r="A1948" t="s">
        <v>1469</v>
      </c>
      <c r="B1948">
        <v>80</v>
      </c>
      <c r="C1948" t="s">
        <v>4</v>
      </c>
      <c r="D1948">
        <v>81</v>
      </c>
      <c r="E1948" t="s">
        <v>550</v>
      </c>
      <c r="F1948">
        <v>1436</v>
      </c>
      <c r="G1948" t="s">
        <v>918</v>
      </c>
      <c r="I1948">
        <v>10035877</v>
      </c>
      <c r="J1948" t="s">
        <v>3223</v>
      </c>
      <c r="K1948">
        <v>800155</v>
      </c>
      <c r="L1948">
        <v>1</v>
      </c>
      <c r="M1948" t="s">
        <v>1475</v>
      </c>
      <c r="N1948" t="s">
        <v>195</v>
      </c>
      <c r="O1948">
        <v>355200</v>
      </c>
    </row>
    <row r="1949" spans="1:15" x14ac:dyDescent="0.4">
      <c r="A1949" t="s">
        <v>238</v>
      </c>
      <c r="B1949">
        <v>80</v>
      </c>
      <c r="C1949" t="s">
        <v>4</v>
      </c>
      <c r="D1949">
        <v>81</v>
      </c>
      <c r="E1949" t="s">
        <v>550</v>
      </c>
      <c r="F1949">
        <v>1436</v>
      </c>
      <c r="G1949" t="s">
        <v>918</v>
      </c>
      <c r="I1949">
        <v>10035877</v>
      </c>
      <c r="J1949" t="s">
        <v>3223</v>
      </c>
      <c r="K1949">
        <v>800157</v>
      </c>
      <c r="L1949">
        <v>1</v>
      </c>
      <c r="M1949" t="s">
        <v>230</v>
      </c>
      <c r="N1949" t="s">
        <v>233</v>
      </c>
      <c r="O1949">
        <v>841600</v>
      </c>
    </row>
    <row r="1950" spans="1:15" x14ac:dyDescent="0.4">
      <c r="A1950" t="s">
        <v>203</v>
      </c>
      <c r="B1950">
        <v>75</v>
      </c>
      <c r="C1950" t="s">
        <v>5</v>
      </c>
      <c r="D1950">
        <v>51</v>
      </c>
      <c r="E1950" t="s">
        <v>657</v>
      </c>
      <c r="F1950">
        <v>1435</v>
      </c>
      <c r="G1950" t="s">
        <v>860</v>
      </c>
      <c r="I1950">
        <v>10059046</v>
      </c>
      <c r="J1950" t="s">
        <v>3224</v>
      </c>
      <c r="K1950">
        <v>800157</v>
      </c>
      <c r="L1950">
        <v>1</v>
      </c>
      <c r="M1950" t="s">
        <v>290</v>
      </c>
      <c r="N1950" t="s">
        <v>293</v>
      </c>
      <c r="O1950">
        <v>816000</v>
      </c>
    </row>
    <row r="1951" spans="1:15" x14ac:dyDescent="0.4">
      <c r="A1951" t="s">
        <v>275</v>
      </c>
      <c r="B1951">
        <v>50</v>
      </c>
      <c r="C1951" t="s">
        <v>1</v>
      </c>
      <c r="D1951">
        <v>11</v>
      </c>
      <c r="E1951" t="s">
        <v>192</v>
      </c>
      <c r="F1951">
        <v>1085</v>
      </c>
      <c r="G1951" t="s">
        <v>854</v>
      </c>
      <c r="I1951">
        <v>10029790</v>
      </c>
      <c r="J1951" t="s">
        <v>1543</v>
      </c>
      <c r="K1951">
        <v>800155</v>
      </c>
      <c r="L1951">
        <v>1</v>
      </c>
      <c r="M1951" t="s">
        <v>281</v>
      </c>
      <c r="N1951" t="s">
        <v>230</v>
      </c>
      <c r="O1951">
        <v>154800</v>
      </c>
    </row>
    <row r="1952" spans="1:15" x14ac:dyDescent="0.4">
      <c r="A1952" t="s">
        <v>1470</v>
      </c>
      <c r="B1952">
        <v>70</v>
      </c>
      <c r="C1952" t="s">
        <v>2</v>
      </c>
      <c r="D1952">
        <v>41</v>
      </c>
      <c r="E1952" t="s">
        <v>306</v>
      </c>
      <c r="F1952">
        <v>1510</v>
      </c>
      <c r="G1952" t="s">
        <v>870</v>
      </c>
      <c r="I1952">
        <v>20005328</v>
      </c>
      <c r="J1952" t="s">
        <v>3225</v>
      </c>
      <c r="K1952">
        <v>800156</v>
      </c>
      <c r="L1952">
        <v>1</v>
      </c>
      <c r="M1952" t="s">
        <v>1469</v>
      </c>
      <c r="N1952" t="s">
        <v>196</v>
      </c>
      <c r="O1952">
        <v>567500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90FA6-47C4-4222-8157-CF00EC9AD2CB}">
  <dimension ref="A1:Y320"/>
  <sheetViews>
    <sheetView workbookViewId="0"/>
  </sheetViews>
  <sheetFormatPr defaultRowHeight="18.75" x14ac:dyDescent="0.4"/>
  <sheetData>
    <row r="1" spans="1:25" x14ac:dyDescent="0.4">
      <c r="A1" t="s">
        <v>824</v>
      </c>
      <c r="B1" t="s">
        <v>825</v>
      </c>
      <c r="C1" t="s">
        <v>826</v>
      </c>
      <c r="D1" t="s">
        <v>827</v>
      </c>
      <c r="E1" t="s">
        <v>828</v>
      </c>
      <c r="F1" t="s">
        <v>829</v>
      </c>
      <c r="G1" t="s">
        <v>830</v>
      </c>
      <c r="H1" t="s">
        <v>831</v>
      </c>
      <c r="I1" t="s">
        <v>832</v>
      </c>
      <c r="J1" t="s">
        <v>833</v>
      </c>
      <c r="K1" t="s">
        <v>834</v>
      </c>
      <c r="L1" t="s">
        <v>835</v>
      </c>
      <c r="M1" t="s">
        <v>836</v>
      </c>
      <c r="N1" t="s">
        <v>837</v>
      </c>
      <c r="O1" t="s">
        <v>838</v>
      </c>
      <c r="P1" t="s">
        <v>839</v>
      </c>
      <c r="Q1" t="s">
        <v>840</v>
      </c>
      <c r="R1" t="s">
        <v>841</v>
      </c>
      <c r="S1" t="s">
        <v>842</v>
      </c>
      <c r="T1" t="s">
        <v>843</v>
      </c>
      <c r="U1" t="s">
        <v>844</v>
      </c>
      <c r="V1" t="s">
        <v>845</v>
      </c>
      <c r="W1" t="s">
        <v>846</v>
      </c>
      <c r="X1" t="s">
        <v>847</v>
      </c>
      <c r="Y1" t="s">
        <v>848</v>
      </c>
    </row>
    <row r="2" spans="1:25" x14ac:dyDescent="0.4">
      <c r="A2" t="s">
        <v>268</v>
      </c>
      <c r="B2">
        <v>588320</v>
      </c>
      <c r="C2" t="s">
        <v>849</v>
      </c>
      <c r="D2">
        <v>20004229</v>
      </c>
      <c r="E2">
        <v>20017854</v>
      </c>
      <c r="F2" t="s">
        <v>850</v>
      </c>
      <c r="G2" t="s">
        <v>266</v>
      </c>
      <c r="H2">
        <v>2758800</v>
      </c>
      <c r="I2" t="s">
        <v>851</v>
      </c>
      <c r="J2" t="s">
        <v>267</v>
      </c>
      <c r="K2">
        <v>3</v>
      </c>
      <c r="L2" t="s">
        <v>852</v>
      </c>
      <c r="M2" t="s">
        <v>853</v>
      </c>
      <c r="N2" t="s">
        <v>854</v>
      </c>
      <c r="O2" t="s">
        <v>818</v>
      </c>
      <c r="P2" t="s">
        <v>191</v>
      </c>
      <c r="Q2" t="s">
        <v>192</v>
      </c>
      <c r="R2" t="s">
        <v>855</v>
      </c>
      <c r="S2" t="s">
        <v>270</v>
      </c>
      <c r="W2">
        <v>1</v>
      </c>
      <c r="X2" t="s">
        <v>195</v>
      </c>
      <c r="Y2" t="s">
        <v>302</v>
      </c>
    </row>
    <row r="3" spans="1:25" x14ac:dyDescent="0.4">
      <c r="A3" t="s">
        <v>268</v>
      </c>
      <c r="B3">
        <v>588587</v>
      </c>
      <c r="C3" t="s">
        <v>267</v>
      </c>
      <c r="D3">
        <v>20006277</v>
      </c>
      <c r="E3">
        <v>10026249</v>
      </c>
      <c r="F3" t="s">
        <v>856</v>
      </c>
      <c r="G3" t="s">
        <v>660</v>
      </c>
      <c r="H3">
        <v>1710000</v>
      </c>
      <c r="I3" t="s">
        <v>857</v>
      </c>
      <c r="J3" t="s">
        <v>661</v>
      </c>
      <c r="K3">
        <v>45</v>
      </c>
      <c r="L3" t="s">
        <v>858</v>
      </c>
      <c r="M3" t="s">
        <v>859</v>
      </c>
      <c r="N3" t="s">
        <v>860</v>
      </c>
      <c r="O3" t="s">
        <v>821</v>
      </c>
      <c r="P3" t="s">
        <v>656</v>
      </c>
      <c r="Q3" t="s">
        <v>657</v>
      </c>
      <c r="R3" t="s">
        <v>861</v>
      </c>
      <c r="S3" t="s">
        <v>861</v>
      </c>
      <c r="U3">
        <v>20003274</v>
      </c>
      <c r="V3" t="s">
        <v>862</v>
      </c>
      <c r="W3">
        <v>1</v>
      </c>
      <c r="X3" t="s">
        <v>195</v>
      </c>
      <c r="Y3" t="s">
        <v>302</v>
      </c>
    </row>
    <row r="4" spans="1:25" x14ac:dyDescent="0.4">
      <c r="A4" t="s">
        <v>268</v>
      </c>
      <c r="B4">
        <v>588588</v>
      </c>
      <c r="C4" t="s">
        <v>267</v>
      </c>
      <c r="D4">
        <v>20004751</v>
      </c>
      <c r="E4">
        <v>10055953</v>
      </c>
      <c r="F4" t="s">
        <v>863</v>
      </c>
      <c r="G4" t="s">
        <v>672</v>
      </c>
      <c r="H4">
        <v>1107000</v>
      </c>
      <c r="I4" t="s">
        <v>857</v>
      </c>
      <c r="J4" t="s">
        <v>673</v>
      </c>
      <c r="K4">
        <v>26</v>
      </c>
      <c r="L4" t="s">
        <v>864</v>
      </c>
      <c r="M4" t="s">
        <v>859</v>
      </c>
      <c r="N4" t="s">
        <v>860</v>
      </c>
      <c r="O4" t="s">
        <v>821</v>
      </c>
      <c r="P4" t="s">
        <v>656</v>
      </c>
      <c r="Q4" t="s">
        <v>657</v>
      </c>
      <c r="R4" t="s">
        <v>865</v>
      </c>
      <c r="S4" t="s">
        <v>866</v>
      </c>
      <c r="U4">
        <v>20004751</v>
      </c>
      <c r="V4" t="s">
        <v>863</v>
      </c>
      <c r="W4">
        <v>1</v>
      </c>
      <c r="X4" t="s">
        <v>195</v>
      </c>
      <c r="Y4" t="s">
        <v>302</v>
      </c>
    </row>
    <row r="5" spans="1:25" x14ac:dyDescent="0.4">
      <c r="A5" t="s">
        <v>268</v>
      </c>
      <c r="B5">
        <v>588840</v>
      </c>
      <c r="C5" t="s">
        <v>867</v>
      </c>
      <c r="D5">
        <v>20002218</v>
      </c>
      <c r="E5">
        <v>20017980</v>
      </c>
      <c r="F5" t="s">
        <v>868</v>
      </c>
      <c r="G5" t="s">
        <v>371</v>
      </c>
      <c r="H5">
        <v>2043944</v>
      </c>
      <c r="I5" t="s">
        <v>162</v>
      </c>
      <c r="J5" t="s">
        <v>270</v>
      </c>
      <c r="K5">
        <v>3</v>
      </c>
      <c r="L5" t="s">
        <v>852</v>
      </c>
      <c r="M5" t="s">
        <v>869</v>
      </c>
      <c r="N5" t="s">
        <v>870</v>
      </c>
      <c r="O5" t="s">
        <v>820</v>
      </c>
      <c r="P5" t="s">
        <v>305</v>
      </c>
      <c r="Q5" t="s">
        <v>306</v>
      </c>
      <c r="R5" t="s">
        <v>866</v>
      </c>
      <c r="S5" t="s">
        <v>270</v>
      </c>
      <c r="U5">
        <v>10004794</v>
      </c>
      <c r="V5" t="s">
        <v>871</v>
      </c>
      <c r="W5">
        <v>1</v>
      </c>
      <c r="X5" t="s">
        <v>185</v>
      </c>
      <c r="Y5" t="s">
        <v>239</v>
      </c>
    </row>
    <row r="6" spans="1:25" x14ac:dyDescent="0.4">
      <c r="A6" t="s">
        <v>268</v>
      </c>
      <c r="B6">
        <v>589126</v>
      </c>
      <c r="C6" t="s">
        <v>673</v>
      </c>
      <c r="D6">
        <v>20002218</v>
      </c>
      <c r="E6">
        <v>20018106</v>
      </c>
      <c r="F6" t="s">
        <v>868</v>
      </c>
      <c r="G6" t="s">
        <v>269</v>
      </c>
      <c r="H6">
        <v>2394200</v>
      </c>
      <c r="I6" t="s">
        <v>872</v>
      </c>
      <c r="J6" t="s">
        <v>270</v>
      </c>
      <c r="K6">
        <v>3</v>
      </c>
      <c r="L6" t="s">
        <v>852</v>
      </c>
      <c r="M6" t="s">
        <v>873</v>
      </c>
      <c r="N6" t="s">
        <v>874</v>
      </c>
      <c r="O6" t="s">
        <v>818</v>
      </c>
      <c r="P6" t="s">
        <v>181</v>
      </c>
      <c r="Q6" t="s">
        <v>182</v>
      </c>
      <c r="R6" t="s">
        <v>875</v>
      </c>
      <c r="S6" t="s">
        <v>270</v>
      </c>
      <c r="W6">
        <v>1</v>
      </c>
      <c r="X6" t="s">
        <v>275</v>
      </c>
      <c r="Y6" t="s">
        <v>235</v>
      </c>
    </row>
    <row r="7" spans="1:25" x14ac:dyDescent="0.4">
      <c r="A7" t="s">
        <v>195</v>
      </c>
      <c r="B7">
        <v>586464</v>
      </c>
      <c r="C7" t="s">
        <v>876</v>
      </c>
      <c r="D7">
        <v>20002210</v>
      </c>
      <c r="E7">
        <v>20015665</v>
      </c>
      <c r="F7" t="s">
        <v>877</v>
      </c>
      <c r="G7" t="s">
        <v>598</v>
      </c>
      <c r="H7">
        <v>2106824</v>
      </c>
      <c r="I7" t="s">
        <v>878</v>
      </c>
      <c r="J7" t="s">
        <v>562</v>
      </c>
      <c r="K7">
        <v>25</v>
      </c>
      <c r="L7" t="s">
        <v>879</v>
      </c>
      <c r="M7" t="s">
        <v>880</v>
      </c>
      <c r="N7" t="s">
        <v>881</v>
      </c>
      <c r="O7" t="s">
        <v>822</v>
      </c>
      <c r="P7" t="s">
        <v>549</v>
      </c>
      <c r="Q7" t="s">
        <v>550</v>
      </c>
      <c r="R7" t="s">
        <v>882</v>
      </c>
      <c r="S7" t="s">
        <v>367</v>
      </c>
      <c r="U7">
        <v>20002210</v>
      </c>
      <c r="V7" t="s">
        <v>877</v>
      </c>
      <c r="W7">
        <v>1</v>
      </c>
      <c r="X7" t="s">
        <v>275</v>
      </c>
      <c r="Y7" t="s">
        <v>235</v>
      </c>
    </row>
    <row r="8" spans="1:25" x14ac:dyDescent="0.4">
      <c r="A8" t="s">
        <v>195</v>
      </c>
      <c r="B8">
        <v>587157</v>
      </c>
      <c r="C8" t="s">
        <v>883</v>
      </c>
      <c r="D8">
        <v>10091437</v>
      </c>
      <c r="E8">
        <v>10091437</v>
      </c>
      <c r="F8" t="s">
        <v>350</v>
      </c>
      <c r="G8" t="s">
        <v>350</v>
      </c>
      <c r="H8">
        <v>1250000</v>
      </c>
      <c r="I8" t="s">
        <v>884</v>
      </c>
      <c r="J8" t="s">
        <v>194</v>
      </c>
      <c r="K8">
        <v>25</v>
      </c>
      <c r="L8" t="s">
        <v>879</v>
      </c>
      <c r="M8" t="s">
        <v>885</v>
      </c>
      <c r="N8" t="s">
        <v>886</v>
      </c>
      <c r="O8" t="s">
        <v>820</v>
      </c>
      <c r="P8" t="s">
        <v>305</v>
      </c>
      <c r="Q8" t="s">
        <v>306</v>
      </c>
      <c r="R8" t="s">
        <v>194</v>
      </c>
      <c r="S8" t="s">
        <v>194</v>
      </c>
      <c r="W8">
        <v>1</v>
      </c>
      <c r="X8" t="s">
        <v>275</v>
      </c>
      <c r="Y8" t="s">
        <v>235</v>
      </c>
    </row>
    <row r="9" spans="1:25" x14ac:dyDescent="0.4">
      <c r="A9" t="s">
        <v>195</v>
      </c>
      <c r="B9">
        <v>588022</v>
      </c>
      <c r="C9" t="s">
        <v>887</v>
      </c>
      <c r="D9">
        <v>20002297</v>
      </c>
      <c r="E9">
        <v>20009090</v>
      </c>
      <c r="F9" t="s">
        <v>888</v>
      </c>
      <c r="G9" t="s">
        <v>593</v>
      </c>
      <c r="H9">
        <v>2101360</v>
      </c>
      <c r="I9" t="s">
        <v>889</v>
      </c>
      <c r="J9" t="s">
        <v>594</v>
      </c>
      <c r="K9">
        <v>16</v>
      </c>
      <c r="L9" t="s">
        <v>890</v>
      </c>
      <c r="M9" t="s">
        <v>891</v>
      </c>
      <c r="N9" t="s">
        <v>892</v>
      </c>
      <c r="O9" t="s">
        <v>822</v>
      </c>
      <c r="P9" t="s">
        <v>549</v>
      </c>
      <c r="Q9" t="s">
        <v>550</v>
      </c>
      <c r="R9" t="s">
        <v>594</v>
      </c>
      <c r="S9" t="s">
        <v>194</v>
      </c>
      <c r="U9">
        <v>20002297</v>
      </c>
      <c r="V9" t="s">
        <v>888</v>
      </c>
      <c r="W9">
        <v>1</v>
      </c>
      <c r="X9" t="s">
        <v>195</v>
      </c>
      <c r="Y9" t="s">
        <v>302</v>
      </c>
    </row>
    <row r="10" spans="1:25" x14ac:dyDescent="0.4">
      <c r="A10" t="s">
        <v>195</v>
      </c>
      <c r="B10">
        <v>588754</v>
      </c>
      <c r="C10" t="s">
        <v>855</v>
      </c>
      <c r="D10">
        <v>10004689</v>
      </c>
      <c r="E10">
        <v>20017963</v>
      </c>
      <c r="F10" t="s">
        <v>893</v>
      </c>
      <c r="G10" t="s">
        <v>366</v>
      </c>
      <c r="H10">
        <v>1104600</v>
      </c>
      <c r="I10" t="s">
        <v>894</v>
      </c>
      <c r="J10" t="s">
        <v>367</v>
      </c>
      <c r="K10">
        <v>3</v>
      </c>
      <c r="L10" t="s">
        <v>852</v>
      </c>
      <c r="M10" t="s">
        <v>869</v>
      </c>
      <c r="N10" t="s">
        <v>870</v>
      </c>
      <c r="O10" t="s">
        <v>820</v>
      </c>
      <c r="P10" t="s">
        <v>305</v>
      </c>
      <c r="Q10" t="s">
        <v>306</v>
      </c>
      <c r="R10" t="s">
        <v>367</v>
      </c>
      <c r="S10" t="s">
        <v>895</v>
      </c>
      <c r="U10">
        <v>10004689</v>
      </c>
      <c r="V10" t="s">
        <v>893</v>
      </c>
      <c r="W10">
        <v>1</v>
      </c>
      <c r="X10" t="s">
        <v>275</v>
      </c>
      <c r="Y10" t="s">
        <v>235</v>
      </c>
    </row>
    <row r="11" spans="1:25" x14ac:dyDescent="0.4">
      <c r="A11" t="s">
        <v>195</v>
      </c>
      <c r="B11">
        <v>589248</v>
      </c>
      <c r="C11" t="s">
        <v>896</v>
      </c>
      <c r="D11">
        <v>10004685</v>
      </c>
      <c r="E11">
        <v>20018090</v>
      </c>
      <c r="F11" t="s">
        <v>897</v>
      </c>
      <c r="G11" t="s">
        <v>501</v>
      </c>
      <c r="H11">
        <v>1104600</v>
      </c>
      <c r="I11" t="s">
        <v>898</v>
      </c>
      <c r="J11" t="s">
        <v>502</v>
      </c>
      <c r="K11">
        <v>3</v>
      </c>
      <c r="L11" t="s">
        <v>852</v>
      </c>
      <c r="M11" t="s">
        <v>899</v>
      </c>
      <c r="N11" t="s">
        <v>900</v>
      </c>
      <c r="O11" t="s">
        <v>819</v>
      </c>
      <c r="P11" t="s">
        <v>450</v>
      </c>
      <c r="Q11" t="s">
        <v>451</v>
      </c>
      <c r="R11" t="s">
        <v>502</v>
      </c>
      <c r="S11" t="s">
        <v>901</v>
      </c>
      <c r="W11">
        <v>1</v>
      </c>
      <c r="X11" t="s">
        <v>275</v>
      </c>
      <c r="Y11" t="s">
        <v>235</v>
      </c>
    </row>
    <row r="12" spans="1:25" x14ac:dyDescent="0.4">
      <c r="A12" t="s">
        <v>195</v>
      </c>
      <c r="B12">
        <v>589359</v>
      </c>
      <c r="C12" t="s">
        <v>866</v>
      </c>
      <c r="D12">
        <v>10006104</v>
      </c>
      <c r="E12">
        <v>10037691</v>
      </c>
      <c r="F12" t="s">
        <v>902</v>
      </c>
      <c r="G12" t="s">
        <v>226</v>
      </c>
      <c r="H12">
        <v>2514440</v>
      </c>
      <c r="I12" t="s">
        <v>903</v>
      </c>
      <c r="J12" t="s">
        <v>227</v>
      </c>
      <c r="K12">
        <v>16</v>
      </c>
      <c r="L12" t="s">
        <v>890</v>
      </c>
      <c r="M12" t="s">
        <v>853</v>
      </c>
      <c r="N12" t="s">
        <v>854</v>
      </c>
      <c r="O12" t="s">
        <v>818</v>
      </c>
      <c r="P12" t="s">
        <v>191</v>
      </c>
      <c r="Q12" t="s">
        <v>192</v>
      </c>
      <c r="R12" t="s">
        <v>904</v>
      </c>
      <c r="S12" t="s">
        <v>905</v>
      </c>
      <c r="U12">
        <v>10006104</v>
      </c>
      <c r="V12" t="s">
        <v>902</v>
      </c>
      <c r="W12">
        <v>1</v>
      </c>
      <c r="X12" t="s">
        <v>185</v>
      </c>
      <c r="Y12" t="s">
        <v>239</v>
      </c>
    </row>
    <row r="13" spans="1:25" x14ac:dyDescent="0.4">
      <c r="A13" t="s">
        <v>195</v>
      </c>
      <c r="B13">
        <v>589408</v>
      </c>
      <c r="C13" t="s">
        <v>270</v>
      </c>
      <c r="D13">
        <v>20002160</v>
      </c>
      <c r="E13">
        <v>10025659</v>
      </c>
      <c r="F13" t="s">
        <v>906</v>
      </c>
      <c r="G13" t="s">
        <v>712</v>
      </c>
      <c r="H13">
        <v>2419428</v>
      </c>
      <c r="I13" t="s">
        <v>162</v>
      </c>
      <c r="J13" t="s">
        <v>358</v>
      </c>
      <c r="K13">
        <v>28</v>
      </c>
      <c r="L13" t="s">
        <v>907</v>
      </c>
      <c r="M13" t="s">
        <v>908</v>
      </c>
      <c r="N13" t="s">
        <v>909</v>
      </c>
      <c r="O13" t="s">
        <v>823</v>
      </c>
      <c r="P13" t="s">
        <v>702</v>
      </c>
      <c r="Q13" t="s">
        <v>703</v>
      </c>
      <c r="R13" t="s">
        <v>358</v>
      </c>
      <c r="S13" t="s">
        <v>194</v>
      </c>
      <c r="U13">
        <v>20007173</v>
      </c>
      <c r="V13" t="s">
        <v>910</v>
      </c>
      <c r="W13">
        <v>1</v>
      </c>
      <c r="X13" t="s">
        <v>281</v>
      </c>
      <c r="Y13" t="s">
        <v>247</v>
      </c>
    </row>
    <row r="14" spans="1:25" x14ac:dyDescent="0.4">
      <c r="A14" t="s">
        <v>195</v>
      </c>
      <c r="B14">
        <v>589539</v>
      </c>
      <c r="C14" t="s">
        <v>904</v>
      </c>
      <c r="D14">
        <v>20002496</v>
      </c>
      <c r="E14">
        <v>20018116</v>
      </c>
      <c r="F14" t="s">
        <v>911</v>
      </c>
      <c r="G14" t="s">
        <v>766</v>
      </c>
      <c r="H14">
        <v>1606400</v>
      </c>
      <c r="I14" t="s">
        <v>912</v>
      </c>
      <c r="J14" t="s">
        <v>194</v>
      </c>
      <c r="K14">
        <v>3</v>
      </c>
      <c r="L14" t="s">
        <v>852</v>
      </c>
      <c r="M14" t="s">
        <v>913</v>
      </c>
      <c r="N14" t="s">
        <v>914</v>
      </c>
      <c r="O14" t="s">
        <v>823</v>
      </c>
      <c r="P14" t="s">
        <v>702</v>
      </c>
      <c r="Q14" t="s">
        <v>703</v>
      </c>
      <c r="R14" t="s">
        <v>194</v>
      </c>
      <c r="S14" t="s">
        <v>194</v>
      </c>
      <c r="U14">
        <v>20002496</v>
      </c>
      <c r="V14" t="s">
        <v>911</v>
      </c>
      <c r="W14">
        <v>1</v>
      </c>
      <c r="X14" t="s">
        <v>185</v>
      </c>
      <c r="Y14" t="s">
        <v>239</v>
      </c>
    </row>
    <row r="15" spans="1:25" x14ac:dyDescent="0.4">
      <c r="A15" t="s">
        <v>195</v>
      </c>
      <c r="B15">
        <v>589566</v>
      </c>
      <c r="C15" t="s">
        <v>915</v>
      </c>
      <c r="D15">
        <v>20002210</v>
      </c>
      <c r="E15">
        <v>10024328</v>
      </c>
      <c r="F15" t="s">
        <v>877</v>
      </c>
      <c r="G15" t="s">
        <v>561</v>
      </c>
      <c r="H15">
        <v>1895000</v>
      </c>
      <c r="I15" t="s">
        <v>889</v>
      </c>
      <c r="J15" t="s">
        <v>562</v>
      </c>
      <c r="K15">
        <v>35</v>
      </c>
      <c r="L15" t="s">
        <v>916</v>
      </c>
      <c r="M15" t="s">
        <v>917</v>
      </c>
      <c r="N15" t="s">
        <v>918</v>
      </c>
      <c r="O15" t="s">
        <v>822</v>
      </c>
      <c r="P15" t="s">
        <v>549</v>
      </c>
      <c r="Q15" t="s">
        <v>550</v>
      </c>
      <c r="R15" t="s">
        <v>882</v>
      </c>
      <c r="S15" t="s">
        <v>562</v>
      </c>
      <c r="U15">
        <v>20005631</v>
      </c>
      <c r="V15" t="s">
        <v>919</v>
      </c>
      <c r="W15">
        <v>1</v>
      </c>
      <c r="X15" t="s">
        <v>275</v>
      </c>
      <c r="Y15" t="s">
        <v>235</v>
      </c>
    </row>
    <row r="16" spans="1:25" x14ac:dyDescent="0.4">
      <c r="A16" t="s">
        <v>195</v>
      </c>
      <c r="B16">
        <v>589800</v>
      </c>
      <c r="C16" t="s">
        <v>920</v>
      </c>
      <c r="D16">
        <v>20002746</v>
      </c>
      <c r="E16">
        <v>10030445</v>
      </c>
      <c r="F16" t="s">
        <v>921</v>
      </c>
      <c r="G16" t="s">
        <v>666</v>
      </c>
      <c r="H16">
        <v>2558680</v>
      </c>
      <c r="I16" t="s">
        <v>922</v>
      </c>
      <c r="J16" t="s">
        <v>667</v>
      </c>
      <c r="K16">
        <v>14</v>
      </c>
      <c r="L16" t="s">
        <v>923</v>
      </c>
      <c r="M16" t="s">
        <v>924</v>
      </c>
      <c r="N16" t="s">
        <v>925</v>
      </c>
      <c r="O16" t="s">
        <v>821</v>
      </c>
      <c r="P16" t="s">
        <v>664</v>
      </c>
      <c r="Q16" t="s">
        <v>665</v>
      </c>
      <c r="R16" t="s">
        <v>194</v>
      </c>
      <c r="S16" t="s">
        <v>194</v>
      </c>
      <c r="U16">
        <v>20002746</v>
      </c>
      <c r="V16" t="s">
        <v>921</v>
      </c>
      <c r="W16">
        <v>1</v>
      </c>
      <c r="X16" t="s">
        <v>281</v>
      </c>
      <c r="Y16" t="s">
        <v>247</v>
      </c>
    </row>
    <row r="17" spans="1:25" x14ac:dyDescent="0.4">
      <c r="A17" t="s">
        <v>195</v>
      </c>
      <c r="B17">
        <v>589909</v>
      </c>
      <c r="C17" t="s">
        <v>882</v>
      </c>
      <c r="D17">
        <v>20003059</v>
      </c>
      <c r="E17">
        <v>20016906</v>
      </c>
      <c r="F17" t="s">
        <v>926</v>
      </c>
      <c r="G17" t="s">
        <v>357</v>
      </c>
      <c r="H17">
        <v>1895144</v>
      </c>
      <c r="I17" t="s">
        <v>927</v>
      </c>
      <c r="J17" t="s">
        <v>358</v>
      </c>
      <c r="K17">
        <v>3</v>
      </c>
      <c r="L17" t="s">
        <v>852</v>
      </c>
      <c r="M17" t="s">
        <v>928</v>
      </c>
      <c r="N17" t="s">
        <v>929</v>
      </c>
      <c r="O17" t="s">
        <v>820</v>
      </c>
      <c r="P17" t="s">
        <v>305</v>
      </c>
      <c r="Q17" t="s">
        <v>306</v>
      </c>
      <c r="R17" t="s">
        <v>603</v>
      </c>
      <c r="S17" t="s">
        <v>194</v>
      </c>
      <c r="U17">
        <v>20003059</v>
      </c>
      <c r="V17" t="s">
        <v>926</v>
      </c>
      <c r="W17">
        <v>1</v>
      </c>
      <c r="X17" t="s">
        <v>275</v>
      </c>
      <c r="Y17" t="s">
        <v>235</v>
      </c>
    </row>
    <row r="18" spans="1:25" x14ac:dyDescent="0.4">
      <c r="A18" t="s">
        <v>195</v>
      </c>
      <c r="B18">
        <v>589918</v>
      </c>
      <c r="C18" t="s">
        <v>882</v>
      </c>
      <c r="D18">
        <v>10006104</v>
      </c>
      <c r="E18">
        <v>10004806</v>
      </c>
      <c r="F18" t="s">
        <v>902</v>
      </c>
      <c r="G18" t="s">
        <v>193</v>
      </c>
      <c r="H18">
        <v>2552600</v>
      </c>
      <c r="I18" t="s">
        <v>930</v>
      </c>
      <c r="J18" t="s">
        <v>194</v>
      </c>
      <c r="K18">
        <v>16</v>
      </c>
      <c r="L18" t="s">
        <v>890</v>
      </c>
      <c r="M18" t="s">
        <v>853</v>
      </c>
      <c r="N18" t="s">
        <v>854</v>
      </c>
      <c r="O18" t="s">
        <v>818</v>
      </c>
      <c r="P18" t="s">
        <v>191</v>
      </c>
      <c r="Q18" t="s">
        <v>192</v>
      </c>
      <c r="R18" t="s">
        <v>358</v>
      </c>
      <c r="S18" t="s">
        <v>194</v>
      </c>
      <c r="U18">
        <v>10006104</v>
      </c>
      <c r="V18" t="s">
        <v>902</v>
      </c>
      <c r="W18">
        <v>1</v>
      </c>
      <c r="X18" t="s">
        <v>185</v>
      </c>
      <c r="Y18" t="s">
        <v>239</v>
      </c>
    </row>
    <row r="19" spans="1:25" x14ac:dyDescent="0.4">
      <c r="A19" t="s">
        <v>195</v>
      </c>
      <c r="B19">
        <v>590130</v>
      </c>
      <c r="C19" t="s">
        <v>667</v>
      </c>
      <c r="D19">
        <v>20002407</v>
      </c>
      <c r="E19">
        <v>20016778</v>
      </c>
      <c r="F19" t="s">
        <v>931</v>
      </c>
      <c r="G19" t="s">
        <v>602</v>
      </c>
      <c r="H19">
        <v>1360200</v>
      </c>
      <c r="I19" t="s">
        <v>889</v>
      </c>
      <c r="J19" t="s">
        <v>603</v>
      </c>
      <c r="K19">
        <v>23</v>
      </c>
      <c r="L19" t="s">
        <v>932</v>
      </c>
      <c r="M19" t="s">
        <v>917</v>
      </c>
      <c r="N19" t="s">
        <v>918</v>
      </c>
      <c r="O19" t="s">
        <v>822</v>
      </c>
      <c r="P19" t="s">
        <v>549</v>
      </c>
      <c r="Q19" t="s">
        <v>550</v>
      </c>
      <c r="R19" t="s">
        <v>667</v>
      </c>
      <c r="S19" t="s">
        <v>594</v>
      </c>
      <c r="U19">
        <v>20002407</v>
      </c>
      <c r="V19" t="s">
        <v>931</v>
      </c>
      <c r="W19">
        <v>1</v>
      </c>
      <c r="X19" t="s">
        <v>281</v>
      </c>
      <c r="Y19" t="s">
        <v>247</v>
      </c>
    </row>
    <row r="20" spans="1:25" x14ac:dyDescent="0.4">
      <c r="A20" t="s">
        <v>185</v>
      </c>
      <c r="B20">
        <v>588998</v>
      </c>
      <c r="C20" t="s">
        <v>861</v>
      </c>
      <c r="D20">
        <v>10005845</v>
      </c>
      <c r="E20">
        <v>20017971</v>
      </c>
      <c r="F20" t="s">
        <v>933</v>
      </c>
      <c r="G20" t="s">
        <v>368</v>
      </c>
      <c r="H20">
        <v>1857664</v>
      </c>
      <c r="I20" t="s">
        <v>934</v>
      </c>
      <c r="J20" t="s">
        <v>369</v>
      </c>
      <c r="K20">
        <v>3</v>
      </c>
      <c r="L20" t="s">
        <v>852</v>
      </c>
      <c r="M20" t="s">
        <v>935</v>
      </c>
      <c r="N20" t="s">
        <v>936</v>
      </c>
      <c r="O20" t="s">
        <v>820</v>
      </c>
      <c r="P20" t="s">
        <v>305</v>
      </c>
      <c r="Q20" t="s">
        <v>306</v>
      </c>
      <c r="R20" t="s">
        <v>937</v>
      </c>
      <c r="S20" t="s">
        <v>272</v>
      </c>
      <c r="U20">
        <v>20007626</v>
      </c>
      <c r="V20" t="s">
        <v>938</v>
      </c>
      <c r="W20">
        <v>1</v>
      </c>
      <c r="X20" t="s">
        <v>275</v>
      </c>
      <c r="Y20" t="s">
        <v>235</v>
      </c>
    </row>
    <row r="21" spans="1:25" x14ac:dyDescent="0.4">
      <c r="A21" t="s">
        <v>185</v>
      </c>
      <c r="B21">
        <v>589869</v>
      </c>
      <c r="C21" t="s">
        <v>939</v>
      </c>
      <c r="D21">
        <v>20003884</v>
      </c>
      <c r="E21">
        <v>20018088</v>
      </c>
      <c r="F21" t="s">
        <v>940</v>
      </c>
      <c r="G21" t="s">
        <v>765</v>
      </c>
      <c r="H21">
        <v>1498000</v>
      </c>
      <c r="I21" t="s">
        <v>45</v>
      </c>
      <c r="J21" t="s">
        <v>500</v>
      </c>
      <c r="K21">
        <v>3</v>
      </c>
      <c r="L21" t="s">
        <v>852</v>
      </c>
      <c r="M21" t="s">
        <v>941</v>
      </c>
      <c r="N21" t="s">
        <v>942</v>
      </c>
      <c r="O21" t="s">
        <v>823</v>
      </c>
      <c r="P21" t="s">
        <v>702</v>
      </c>
      <c r="Q21" t="s">
        <v>703</v>
      </c>
      <c r="R21" t="s">
        <v>500</v>
      </c>
      <c r="S21" t="s">
        <v>500</v>
      </c>
      <c r="U21">
        <v>20003884</v>
      </c>
      <c r="V21" t="s">
        <v>940</v>
      </c>
      <c r="W21">
        <v>1</v>
      </c>
      <c r="X21" t="s">
        <v>281</v>
      </c>
      <c r="Y21" t="s">
        <v>247</v>
      </c>
    </row>
    <row r="22" spans="1:25" x14ac:dyDescent="0.4">
      <c r="A22" t="s">
        <v>185</v>
      </c>
      <c r="B22">
        <v>589942</v>
      </c>
      <c r="C22" t="s">
        <v>562</v>
      </c>
      <c r="D22">
        <v>10004862</v>
      </c>
      <c r="E22">
        <v>20017984</v>
      </c>
      <c r="F22" t="s">
        <v>943</v>
      </c>
      <c r="G22" t="s">
        <v>497</v>
      </c>
      <c r="H22">
        <v>2297300</v>
      </c>
      <c r="I22" t="s">
        <v>944</v>
      </c>
      <c r="J22" t="s">
        <v>498</v>
      </c>
      <c r="K22">
        <v>2</v>
      </c>
      <c r="L22" t="s">
        <v>945</v>
      </c>
      <c r="M22" t="s">
        <v>946</v>
      </c>
      <c r="N22" t="s">
        <v>947</v>
      </c>
      <c r="O22" t="s">
        <v>819</v>
      </c>
      <c r="P22" t="s">
        <v>446</v>
      </c>
      <c r="Q22" t="s">
        <v>447</v>
      </c>
      <c r="R22" t="s">
        <v>948</v>
      </c>
      <c r="S22" t="s">
        <v>308</v>
      </c>
      <c r="W22">
        <v>1</v>
      </c>
      <c r="X22" t="s">
        <v>281</v>
      </c>
      <c r="Y22" t="s">
        <v>247</v>
      </c>
    </row>
    <row r="23" spans="1:25" x14ac:dyDescent="0.4">
      <c r="A23" t="s">
        <v>185</v>
      </c>
      <c r="B23">
        <v>590075</v>
      </c>
      <c r="C23" t="s">
        <v>949</v>
      </c>
      <c r="D23">
        <v>10004243</v>
      </c>
      <c r="E23">
        <v>20018216</v>
      </c>
      <c r="F23" t="s">
        <v>950</v>
      </c>
      <c r="G23" t="s">
        <v>271</v>
      </c>
      <c r="H23">
        <v>2902520</v>
      </c>
      <c r="I23" t="s">
        <v>951</v>
      </c>
      <c r="J23" t="s">
        <v>272</v>
      </c>
      <c r="K23">
        <v>3</v>
      </c>
      <c r="L23" t="s">
        <v>852</v>
      </c>
      <c r="M23" t="s">
        <v>873</v>
      </c>
      <c r="N23" t="s">
        <v>874</v>
      </c>
      <c r="O23" t="s">
        <v>818</v>
      </c>
      <c r="P23" t="s">
        <v>181</v>
      </c>
      <c r="Q23" t="s">
        <v>182</v>
      </c>
      <c r="R23" t="s">
        <v>589</v>
      </c>
      <c r="S23" t="s">
        <v>500</v>
      </c>
      <c r="U23">
        <v>10004243</v>
      </c>
      <c r="V23" t="s">
        <v>950</v>
      </c>
      <c r="W23">
        <v>1</v>
      </c>
      <c r="X23" t="s">
        <v>275</v>
      </c>
      <c r="Y23" t="s">
        <v>235</v>
      </c>
    </row>
    <row r="24" spans="1:25" x14ac:dyDescent="0.4">
      <c r="A24" t="s">
        <v>185</v>
      </c>
      <c r="B24">
        <v>590076</v>
      </c>
      <c r="C24" t="s">
        <v>949</v>
      </c>
      <c r="D24">
        <v>10004735</v>
      </c>
      <c r="E24">
        <v>10088423</v>
      </c>
      <c r="F24" t="s">
        <v>952</v>
      </c>
      <c r="G24" t="s">
        <v>264</v>
      </c>
      <c r="H24">
        <v>2315000</v>
      </c>
      <c r="I24" t="s">
        <v>951</v>
      </c>
      <c r="J24" t="s">
        <v>265</v>
      </c>
      <c r="K24">
        <v>16</v>
      </c>
      <c r="L24" t="s">
        <v>890</v>
      </c>
      <c r="M24" t="s">
        <v>873</v>
      </c>
      <c r="N24" t="s">
        <v>874</v>
      </c>
      <c r="O24" t="s">
        <v>818</v>
      </c>
      <c r="P24" t="s">
        <v>181</v>
      </c>
      <c r="Q24" t="s">
        <v>182</v>
      </c>
      <c r="R24" t="s">
        <v>369</v>
      </c>
      <c r="S24" t="s">
        <v>589</v>
      </c>
      <c r="U24">
        <v>20017975</v>
      </c>
      <c r="V24" t="s">
        <v>953</v>
      </c>
      <c r="W24">
        <v>1</v>
      </c>
      <c r="X24" t="s">
        <v>363</v>
      </c>
      <c r="Y24" t="s">
        <v>316</v>
      </c>
    </row>
    <row r="25" spans="1:25" x14ac:dyDescent="0.4">
      <c r="A25" t="s">
        <v>185</v>
      </c>
      <c r="B25">
        <v>590105</v>
      </c>
      <c r="C25" t="s">
        <v>667</v>
      </c>
      <c r="D25">
        <v>20003978</v>
      </c>
      <c r="E25">
        <v>10007509</v>
      </c>
      <c r="F25" t="s">
        <v>954</v>
      </c>
      <c r="G25" t="s">
        <v>307</v>
      </c>
      <c r="H25">
        <v>1888000</v>
      </c>
      <c r="I25" t="s">
        <v>955</v>
      </c>
      <c r="J25" t="s">
        <v>308</v>
      </c>
      <c r="K25">
        <v>26</v>
      </c>
      <c r="L25" t="s">
        <v>864</v>
      </c>
      <c r="M25" t="s">
        <v>956</v>
      </c>
      <c r="N25" t="s">
        <v>957</v>
      </c>
      <c r="O25" t="s">
        <v>820</v>
      </c>
      <c r="P25" t="s">
        <v>305</v>
      </c>
      <c r="Q25" t="s">
        <v>306</v>
      </c>
      <c r="R25" t="s">
        <v>498</v>
      </c>
      <c r="S25" t="s">
        <v>265</v>
      </c>
      <c r="W25">
        <v>1</v>
      </c>
      <c r="X25" t="s">
        <v>281</v>
      </c>
      <c r="Y25" t="s">
        <v>247</v>
      </c>
    </row>
    <row r="26" spans="1:25" x14ac:dyDescent="0.4">
      <c r="A26" t="s">
        <v>185</v>
      </c>
      <c r="B26">
        <v>590245</v>
      </c>
      <c r="C26" t="s">
        <v>594</v>
      </c>
      <c r="D26">
        <v>10005479</v>
      </c>
      <c r="E26">
        <v>10008530</v>
      </c>
      <c r="F26" t="s">
        <v>958</v>
      </c>
      <c r="G26" t="s">
        <v>551</v>
      </c>
      <c r="H26">
        <v>2023460</v>
      </c>
      <c r="I26" t="s">
        <v>959</v>
      </c>
      <c r="J26" t="s">
        <v>500</v>
      </c>
      <c r="K26">
        <v>2</v>
      </c>
      <c r="L26" t="s">
        <v>945</v>
      </c>
      <c r="M26" t="s">
        <v>960</v>
      </c>
      <c r="N26" t="s">
        <v>961</v>
      </c>
      <c r="O26" t="s">
        <v>822</v>
      </c>
      <c r="P26" t="s">
        <v>549</v>
      </c>
      <c r="Q26" t="s">
        <v>550</v>
      </c>
      <c r="R26" t="s">
        <v>500</v>
      </c>
      <c r="S26" t="s">
        <v>500</v>
      </c>
      <c r="U26">
        <v>10005479</v>
      </c>
      <c r="V26" t="s">
        <v>958</v>
      </c>
      <c r="W26">
        <v>1</v>
      </c>
      <c r="X26" t="s">
        <v>363</v>
      </c>
      <c r="Y26" t="s">
        <v>316</v>
      </c>
    </row>
    <row r="27" spans="1:25" x14ac:dyDescent="0.4">
      <c r="A27" t="s">
        <v>185</v>
      </c>
      <c r="B27">
        <v>590653</v>
      </c>
      <c r="C27" t="s">
        <v>498</v>
      </c>
      <c r="D27">
        <v>20002471</v>
      </c>
      <c r="E27">
        <v>10092056</v>
      </c>
      <c r="F27" t="s">
        <v>962</v>
      </c>
      <c r="G27" t="s">
        <v>590</v>
      </c>
      <c r="H27">
        <v>2284720</v>
      </c>
      <c r="I27" t="s">
        <v>889</v>
      </c>
      <c r="J27" t="s">
        <v>591</v>
      </c>
      <c r="K27">
        <v>16</v>
      </c>
      <c r="L27" t="s">
        <v>890</v>
      </c>
      <c r="M27" t="s">
        <v>963</v>
      </c>
      <c r="N27" t="s">
        <v>964</v>
      </c>
      <c r="O27" t="s">
        <v>822</v>
      </c>
      <c r="P27" t="s">
        <v>555</v>
      </c>
      <c r="Q27" t="s">
        <v>556</v>
      </c>
      <c r="R27" t="s">
        <v>591</v>
      </c>
      <c r="S27" t="s">
        <v>591</v>
      </c>
      <c r="U27">
        <v>20002471</v>
      </c>
      <c r="V27" t="s">
        <v>962</v>
      </c>
      <c r="W27">
        <v>1</v>
      </c>
      <c r="X27" t="s">
        <v>363</v>
      </c>
      <c r="Y27" t="s">
        <v>316</v>
      </c>
    </row>
    <row r="28" spans="1:25" x14ac:dyDescent="0.4">
      <c r="A28" t="s">
        <v>185</v>
      </c>
      <c r="B28">
        <v>590755</v>
      </c>
      <c r="C28" t="s">
        <v>965</v>
      </c>
      <c r="D28">
        <v>20002456</v>
      </c>
      <c r="E28">
        <v>10087279</v>
      </c>
      <c r="F28" t="s">
        <v>966</v>
      </c>
      <c r="G28" t="s">
        <v>588</v>
      </c>
      <c r="H28">
        <v>1866735</v>
      </c>
      <c r="I28" t="s">
        <v>889</v>
      </c>
      <c r="J28" t="s">
        <v>589</v>
      </c>
      <c r="K28">
        <v>25</v>
      </c>
      <c r="L28" t="s">
        <v>879</v>
      </c>
      <c r="M28" t="s">
        <v>963</v>
      </c>
      <c r="N28" t="s">
        <v>964</v>
      </c>
      <c r="O28" t="s">
        <v>822</v>
      </c>
      <c r="P28" t="s">
        <v>555</v>
      </c>
      <c r="Q28" t="s">
        <v>556</v>
      </c>
      <c r="R28" t="s">
        <v>184</v>
      </c>
      <c r="S28" t="s">
        <v>500</v>
      </c>
      <c r="U28">
        <v>20002456</v>
      </c>
      <c r="V28" t="s">
        <v>966</v>
      </c>
      <c r="W28">
        <v>1</v>
      </c>
      <c r="X28" t="s">
        <v>363</v>
      </c>
      <c r="Y28" t="s">
        <v>316</v>
      </c>
    </row>
    <row r="29" spans="1:25" x14ac:dyDescent="0.4">
      <c r="A29" t="s">
        <v>185</v>
      </c>
      <c r="B29">
        <v>590798</v>
      </c>
      <c r="C29" t="s">
        <v>967</v>
      </c>
      <c r="D29">
        <v>20002322</v>
      </c>
      <c r="E29">
        <v>10000245</v>
      </c>
      <c r="F29" t="s">
        <v>968</v>
      </c>
      <c r="G29" t="s">
        <v>183</v>
      </c>
      <c r="H29">
        <v>1539000</v>
      </c>
      <c r="I29" t="s">
        <v>872</v>
      </c>
      <c r="J29" t="s">
        <v>184</v>
      </c>
      <c r="K29">
        <v>45</v>
      </c>
      <c r="L29" t="s">
        <v>858</v>
      </c>
      <c r="M29" t="s">
        <v>873</v>
      </c>
      <c r="N29" t="s">
        <v>874</v>
      </c>
      <c r="O29" t="s">
        <v>818</v>
      </c>
      <c r="P29" t="s">
        <v>181</v>
      </c>
      <c r="Q29" t="s">
        <v>182</v>
      </c>
      <c r="R29" t="s">
        <v>184</v>
      </c>
      <c r="S29" t="s">
        <v>589</v>
      </c>
      <c r="W29">
        <v>1</v>
      </c>
      <c r="X29" t="s">
        <v>363</v>
      </c>
      <c r="Y29" t="s">
        <v>316</v>
      </c>
    </row>
    <row r="30" spans="1:25" x14ac:dyDescent="0.4">
      <c r="A30" t="s">
        <v>185</v>
      </c>
      <c r="B30">
        <v>590863</v>
      </c>
      <c r="C30" t="s">
        <v>369</v>
      </c>
      <c r="D30">
        <v>10005845</v>
      </c>
      <c r="E30">
        <v>20017994</v>
      </c>
      <c r="F30" t="s">
        <v>933</v>
      </c>
      <c r="G30" t="s">
        <v>499</v>
      </c>
      <c r="H30">
        <v>1920129</v>
      </c>
      <c r="I30" t="s">
        <v>969</v>
      </c>
      <c r="J30" t="s">
        <v>500</v>
      </c>
      <c r="K30">
        <v>3</v>
      </c>
      <c r="L30" t="s">
        <v>852</v>
      </c>
      <c r="M30" t="s">
        <v>899</v>
      </c>
      <c r="N30" t="s">
        <v>900</v>
      </c>
      <c r="O30" t="s">
        <v>819</v>
      </c>
      <c r="P30" t="s">
        <v>450</v>
      </c>
      <c r="Q30" t="s">
        <v>451</v>
      </c>
      <c r="R30" t="s">
        <v>500</v>
      </c>
      <c r="S30" t="s">
        <v>500</v>
      </c>
      <c r="W30">
        <v>1</v>
      </c>
      <c r="X30" t="s">
        <v>363</v>
      </c>
      <c r="Y30" t="s">
        <v>316</v>
      </c>
    </row>
    <row r="31" spans="1:25" x14ac:dyDescent="0.4">
      <c r="A31" t="s">
        <v>275</v>
      </c>
      <c r="B31">
        <v>588283</v>
      </c>
      <c r="C31" t="s">
        <v>849</v>
      </c>
      <c r="D31">
        <v>10082455</v>
      </c>
      <c r="E31">
        <v>10082455</v>
      </c>
      <c r="F31" t="s">
        <v>970</v>
      </c>
      <c r="G31" t="s">
        <v>348</v>
      </c>
      <c r="H31">
        <v>4012740</v>
      </c>
      <c r="I31" t="s">
        <v>971</v>
      </c>
      <c r="J31" t="s">
        <v>349</v>
      </c>
      <c r="K31">
        <v>16</v>
      </c>
      <c r="L31" t="s">
        <v>890</v>
      </c>
      <c r="M31" t="s">
        <v>935</v>
      </c>
      <c r="N31" t="s">
        <v>936</v>
      </c>
      <c r="O31" t="s">
        <v>820</v>
      </c>
      <c r="P31" t="s">
        <v>305</v>
      </c>
      <c r="Q31" t="s">
        <v>306</v>
      </c>
      <c r="R31" t="s">
        <v>972</v>
      </c>
      <c r="S31" t="s">
        <v>277</v>
      </c>
      <c r="T31" t="s">
        <v>973</v>
      </c>
      <c r="W31">
        <v>1</v>
      </c>
      <c r="X31" t="s">
        <v>281</v>
      </c>
      <c r="Y31" t="s">
        <v>247</v>
      </c>
    </row>
    <row r="32" spans="1:25" x14ac:dyDescent="0.4">
      <c r="A32" t="s">
        <v>275</v>
      </c>
      <c r="B32">
        <v>590420</v>
      </c>
      <c r="C32" t="s">
        <v>974</v>
      </c>
      <c r="D32">
        <v>20002218</v>
      </c>
      <c r="E32">
        <v>20017974</v>
      </c>
      <c r="F32" t="s">
        <v>868</v>
      </c>
      <c r="G32" t="s">
        <v>496</v>
      </c>
      <c r="H32">
        <v>2664488</v>
      </c>
      <c r="I32" t="s">
        <v>975</v>
      </c>
      <c r="J32" t="s">
        <v>274</v>
      </c>
      <c r="K32">
        <v>3</v>
      </c>
      <c r="L32" t="s">
        <v>852</v>
      </c>
      <c r="M32" t="s">
        <v>976</v>
      </c>
      <c r="N32" t="s">
        <v>977</v>
      </c>
      <c r="O32" t="s">
        <v>819</v>
      </c>
      <c r="P32" t="s">
        <v>446</v>
      </c>
      <c r="Q32" t="s">
        <v>447</v>
      </c>
      <c r="R32" t="s">
        <v>978</v>
      </c>
      <c r="S32" t="s">
        <v>274</v>
      </c>
      <c r="W32">
        <v>1</v>
      </c>
      <c r="X32" t="s">
        <v>376</v>
      </c>
      <c r="Y32" t="s">
        <v>263</v>
      </c>
    </row>
    <row r="33" spans="1:25" x14ac:dyDescent="0.4">
      <c r="A33" t="s">
        <v>275</v>
      </c>
      <c r="B33">
        <v>590618</v>
      </c>
      <c r="C33" t="s">
        <v>979</v>
      </c>
      <c r="D33">
        <v>20003978</v>
      </c>
      <c r="E33">
        <v>20018109</v>
      </c>
      <c r="F33" t="s">
        <v>954</v>
      </c>
      <c r="G33" t="s">
        <v>377</v>
      </c>
      <c r="H33">
        <v>2050000</v>
      </c>
      <c r="I33" t="s">
        <v>980</v>
      </c>
      <c r="J33" t="s">
        <v>277</v>
      </c>
      <c r="K33">
        <v>99</v>
      </c>
      <c r="L33" t="s">
        <v>981</v>
      </c>
      <c r="M33" t="s">
        <v>956</v>
      </c>
      <c r="N33" t="s">
        <v>957</v>
      </c>
      <c r="O33" t="s">
        <v>820</v>
      </c>
      <c r="P33" t="s">
        <v>305</v>
      </c>
      <c r="Q33" t="s">
        <v>306</v>
      </c>
      <c r="R33" t="s">
        <v>972</v>
      </c>
      <c r="S33" t="s">
        <v>274</v>
      </c>
      <c r="W33">
        <v>1</v>
      </c>
      <c r="X33" t="s">
        <v>363</v>
      </c>
      <c r="Y33" t="s">
        <v>316</v>
      </c>
    </row>
    <row r="34" spans="1:25" x14ac:dyDescent="0.4">
      <c r="A34" t="s">
        <v>275</v>
      </c>
      <c r="B34">
        <v>590627</v>
      </c>
      <c r="C34" t="s">
        <v>979</v>
      </c>
      <c r="D34">
        <v>20017976</v>
      </c>
      <c r="E34">
        <v>20017976</v>
      </c>
      <c r="F34" t="s">
        <v>370</v>
      </c>
      <c r="G34" t="s">
        <v>370</v>
      </c>
      <c r="H34">
        <v>2777400</v>
      </c>
      <c r="I34" t="s">
        <v>955</v>
      </c>
      <c r="J34" t="s">
        <v>274</v>
      </c>
      <c r="K34">
        <v>3</v>
      </c>
      <c r="L34" t="s">
        <v>852</v>
      </c>
      <c r="M34" t="s">
        <v>956</v>
      </c>
      <c r="N34" t="s">
        <v>957</v>
      </c>
      <c r="O34" t="s">
        <v>820</v>
      </c>
      <c r="P34" t="s">
        <v>305</v>
      </c>
      <c r="Q34" t="s">
        <v>306</v>
      </c>
      <c r="R34" t="s">
        <v>972</v>
      </c>
      <c r="S34" t="s">
        <v>274</v>
      </c>
      <c r="T34" t="s">
        <v>973</v>
      </c>
      <c r="W34">
        <v>1</v>
      </c>
      <c r="X34" t="s">
        <v>363</v>
      </c>
      <c r="Y34" t="s">
        <v>316</v>
      </c>
    </row>
    <row r="35" spans="1:25" x14ac:dyDescent="0.4">
      <c r="A35" t="s">
        <v>275</v>
      </c>
      <c r="B35">
        <v>590688</v>
      </c>
      <c r="C35" t="s">
        <v>308</v>
      </c>
      <c r="D35">
        <v>20006410</v>
      </c>
      <c r="E35">
        <v>20018218</v>
      </c>
      <c r="F35" t="s">
        <v>982</v>
      </c>
      <c r="G35" t="s">
        <v>610</v>
      </c>
      <c r="H35">
        <v>2799094</v>
      </c>
      <c r="I35" t="s">
        <v>983</v>
      </c>
      <c r="J35" t="s">
        <v>566</v>
      </c>
      <c r="K35">
        <v>3</v>
      </c>
      <c r="L35" t="s">
        <v>852</v>
      </c>
      <c r="M35" t="s">
        <v>880</v>
      </c>
      <c r="N35" t="s">
        <v>881</v>
      </c>
      <c r="O35" t="s">
        <v>822</v>
      </c>
      <c r="P35" t="s">
        <v>549</v>
      </c>
      <c r="Q35" t="s">
        <v>550</v>
      </c>
      <c r="R35" t="s">
        <v>677</v>
      </c>
      <c r="S35" t="s">
        <v>972</v>
      </c>
      <c r="U35">
        <v>20006410</v>
      </c>
      <c r="V35" t="s">
        <v>982</v>
      </c>
      <c r="W35">
        <v>1</v>
      </c>
      <c r="X35" t="s">
        <v>363</v>
      </c>
      <c r="Y35" t="s">
        <v>316</v>
      </c>
    </row>
    <row r="36" spans="1:25" x14ac:dyDescent="0.4">
      <c r="A36" t="s">
        <v>275</v>
      </c>
      <c r="B36">
        <v>590796</v>
      </c>
      <c r="C36" t="s">
        <v>937</v>
      </c>
      <c r="D36">
        <v>10004691</v>
      </c>
      <c r="E36">
        <v>20017991</v>
      </c>
      <c r="F36" t="s">
        <v>984</v>
      </c>
      <c r="G36" t="s">
        <v>606</v>
      </c>
      <c r="H36">
        <v>2712584</v>
      </c>
      <c r="I36" t="s">
        <v>985</v>
      </c>
      <c r="J36" t="s">
        <v>607</v>
      </c>
      <c r="K36">
        <v>3</v>
      </c>
      <c r="L36" t="s">
        <v>852</v>
      </c>
      <c r="M36" t="s">
        <v>880</v>
      </c>
      <c r="N36" t="s">
        <v>881</v>
      </c>
      <c r="O36" t="s">
        <v>822</v>
      </c>
      <c r="P36" t="s">
        <v>549</v>
      </c>
      <c r="Q36" t="s">
        <v>550</v>
      </c>
      <c r="R36" t="s">
        <v>607</v>
      </c>
      <c r="S36" t="s">
        <v>972</v>
      </c>
      <c r="U36">
        <v>10004691</v>
      </c>
      <c r="V36" t="s">
        <v>984</v>
      </c>
      <c r="W36">
        <v>1</v>
      </c>
      <c r="X36" t="s">
        <v>376</v>
      </c>
      <c r="Y36" t="s">
        <v>263</v>
      </c>
    </row>
    <row r="37" spans="1:25" x14ac:dyDescent="0.4">
      <c r="A37" t="s">
        <v>275</v>
      </c>
      <c r="B37">
        <v>590797</v>
      </c>
      <c r="C37" t="s">
        <v>937</v>
      </c>
      <c r="D37">
        <v>20003532</v>
      </c>
      <c r="E37">
        <v>10037862</v>
      </c>
      <c r="F37" t="s">
        <v>986</v>
      </c>
      <c r="G37" t="s">
        <v>565</v>
      </c>
      <c r="H37">
        <v>1472992</v>
      </c>
      <c r="I37" t="s">
        <v>987</v>
      </c>
      <c r="J37" t="s">
        <v>566</v>
      </c>
      <c r="K37">
        <v>42</v>
      </c>
      <c r="L37" t="s">
        <v>988</v>
      </c>
      <c r="M37" t="s">
        <v>880</v>
      </c>
      <c r="N37" t="s">
        <v>881</v>
      </c>
      <c r="O37" t="s">
        <v>822</v>
      </c>
      <c r="P37" t="s">
        <v>549</v>
      </c>
      <c r="Q37" t="s">
        <v>550</v>
      </c>
      <c r="R37" t="s">
        <v>566</v>
      </c>
      <c r="S37" t="s">
        <v>972</v>
      </c>
      <c r="U37">
        <v>20003532</v>
      </c>
      <c r="V37" t="s">
        <v>986</v>
      </c>
      <c r="W37">
        <v>1</v>
      </c>
      <c r="X37" t="s">
        <v>376</v>
      </c>
      <c r="Y37" t="s">
        <v>263</v>
      </c>
    </row>
    <row r="38" spans="1:25" x14ac:dyDescent="0.4">
      <c r="A38" t="s">
        <v>275</v>
      </c>
      <c r="B38">
        <v>590871</v>
      </c>
      <c r="C38" t="s">
        <v>265</v>
      </c>
      <c r="D38">
        <v>20006277</v>
      </c>
      <c r="E38">
        <v>10010269</v>
      </c>
      <c r="F38" t="s">
        <v>856</v>
      </c>
      <c r="G38" t="s">
        <v>456</v>
      </c>
      <c r="H38">
        <v>1576440</v>
      </c>
      <c r="I38" t="s">
        <v>989</v>
      </c>
      <c r="J38" t="s">
        <v>457</v>
      </c>
      <c r="K38">
        <v>10</v>
      </c>
      <c r="L38" t="s">
        <v>990</v>
      </c>
      <c r="M38" t="s">
        <v>991</v>
      </c>
      <c r="N38" t="s">
        <v>992</v>
      </c>
      <c r="O38" t="s">
        <v>819</v>
      </c>
      <c r="P38" t="s">
        <v>450</v>
      </c>
      <c r="Q38" t="s">
        <v>451</v>
      </c>
      <c r="R38" t="s">
        <v>589</v>
      </c>
      <c r="S38" t="s">
        <v>993</v>
      </c>
      <c r="U38">
        <v>20002156</v>
      </c>
      <c r="V38" t="s">
        <v>994</v>
      </c>
      <c r="W38">
        <v>1</v>
      </c>
      <c r="X38" t="s">
        <v>281</v>
      </c>
      <c r="Y38" t="s">
        <v>247</v>
      </c>
    </row>
    <row r="39" spans="1:25" x14ac:dyDescent="0.4">
      <c r="A39" t="s">
        <v>275</v>
      </c>
      <c r="B39">
        <v>590963</v>
      </c>
      <c r="C39" t="s">
        <v>995</v>
      </c>
      <c r="D39">
        <v>20003978</v>
      </c>
      <c r="E39">
        <v>20018304</v>
      </c>
      <c r="F39" t="s">
        <v>954</v>
      </c>
      <c r="G39" t="s">
        <v>387</v>
      </c>
      <c r="H39">
        <v>2350000</v>
      </c>
      <c r="I39" t="s">
        <v>955</v>
      </c>
      <c r="J39" t="s">
        <v>388</v>
      </c>
      <c r="K39">
        <v>3</v>
      </c>
      <c r="L39" t="s">
        <v>852</v>
      </c>
      <c r="M39" t="s">
        <v>956</v>
      </c>
      <c r="N39" t="s">
        <v>957</v>
      </c>
      <c r="O39" t="s">
        <v>820</v>
      </c>
      <c r="P39" t="s">
        <v>305</v>
      </c>
      <c r="Q39" t="s">
        <v>306</v>
      </c>
      <c r="R39" t="s">
        <v>388</v>
      </c>
      <c r="S39" t="s">
        <v>607</v>
      </c>
      <c r="W39">
        <v>1</v>
      </c>
      <c r="X39" t="s">
        <v>281</v>
      </c>
      <c r="Y39" t="s">
        <v>247</v>
      </c>
    </row>
    <row r="40" spans="1:25" x14ac:dyDescent="0.4">
      <c r="A40" t="s">
        <v>275</v>
      </c>
      <c r="B40">
        <v>591044</v>
      </c>
      <c r="C40" t="s">
        <v>589</v>
      </c>
      <c r="D40">
        <v>20002786</v>
      </c>
      <c r="E40">
        <v>10040343</v>
      </c>
      <c r="F40" t="s">
        <v>996</v>
      </c>
      <c r="G40" t="s">
        <v>719</v>
      </c>
      <c r="H40">
        <v>1673320</v>
      </c>
      <c r="I40" t="s">
        <v>45</v>
      </c>
      <c r="J40" t="s">
        <v>720</v>
      </c>
      <c r="K40">
        <v>28</v>
      </c>
      <c r="L40" t="s">
        <v>907</v>
      </c>
      <c r="M40" t="s">
        <v>997</v>
      </c>
      <c r="N40" t="s">
        <v>998</v>
      </c>
      <c r="O40" t="s">
        <v>823</v>
      </c>
      <c r="P40" t="s">
        <v>702</v>
      </c>
      <c r="Q40" t="s">
        <v>703</v>
      </c>
      <c r="R40" t="s">
        <v>388</v>
      </c>
      <c r="S40" t="s">
        <v>457</v>
      </c>
      <c r="U40">
        <v>20002786</v>
      </c>
      <c r="V40" t="s">
        <v>996</v>
      </c>
      <c r="W40">
        <v>1</v>
      </c>
      <c r="X40" t="s">
        <v>275</v>
      </c>
      <c r="Y40" t="s">
        <v>235</v>
      </c>
    </row>
    <row r="41" spans="1:25" x14ac:dyDescent="0.4">
      <c r="A41" t="s">
        <v>275</v>
      </c>
      <c r="B41">
        <v>591210</v>
      </c>
      <c r="C41" t="s">
        <v>500</v>
      </c>
      <c r="D41">
        <v>20002160</v>
      </c>
      <c r="E41">
        <v>20018319</v>
      </c>
      <c r="F41" t="s">
        <v>906</v>
      </c>
      <c r="G41" t="s">
        <v>770</v>
      </c>
      <c r="H41">
        <v>2226000</v>
      </c>
      <c r="I41" t="s">
        <v>999</v>
      </c>
      <c r="J41" t="s">
        <v>771</v>
      </c>
      <c r="K41">
        <v>3</v>
      </c>
      <c r="L41" t="s">
        <v>852</v>
      </c>
      <c r="M41" t="s">
        <v>908</v>
      </c>
      <c r="N41" t="s">
        <v>909</v>
      </c>
      <c r="O41" t="s">
        <v>823</v>
      </c>
      <c r="P41" t="s">
        <v>702</v>
      </c>
      <c r="Q41" t="s">
        <v>703</v>
      </c>
      <c r="R41" t="s">
        <v>1000</v>
      </c>
      <c r="S41" t="s">
        <v>972</v>
      </c>
      <c r="U41">
        <v>20007173</v>
      </c>
      <c r="V41" t="s">
        <v>910</v>
      </c>
      <c r="W41">
        <v>1</v>
      </c>
      <c r="X41" t="s">
        <v>376</v>
      </c>
      <c r="Y41" t="s">
        <v>263</v>
      </c>
    </row>
    <row r="42" spans="1:25" x14ac:dyDescent="0.4">
      <c r="A42" t="s">
        <v>275</v>
      </c>
      <c r="B42">
        <v>591254</v>
      </c>
      <c r="C42" t="s">
        <v>500</v>
      </c>
      <c r="D42">
        <v>10004489</v>
      </c>
      <c r="E42">
        <v>20018336</v>
      </c>
      <c r="F42" t="s">
        <v>1001</v>
      </c>
      <c r="G42" t="s">
        <v>276</v>
      </c>
      <c r="H42">
        <v>1104600</v>
      </c>
      <c r="I42" t="s">
        <v>872</v>
      </c>
      <c r="J42" t="s">
        <v>277</v>
      </c>
      <c r="K42">
        <v>3</v>
      </c>
      <c r="L42" t="s">
        <v>852</v>
      </c>
      <c r="M42" t="s">
        <v>873</v>
      </c>
      <c r="N42" t="s">
        <v>874</v>
      </c>
      <c r="O42" t="s">
        <v>818</v>
      </c>
      <c r="P42" t="s">
        <v>181</v>
      </c>
      <c r="Q42" t="s">
        <v>182</v>
      </c>
      <c r="R42" t="s">
        <v>686</v>
      </c>
      <c r="S42" t="s">
        <v>277</v>
      </c>
      <c r="W42">
        <v>1</v>
      </c>
      <c r="X42" t="s">
        <v>376</v>
      </c>
      <c r="Y42" t="s">
        <v>263</v>
      </c>
    </row>
    <row r="43" spans="1:25" x14ac:dyDescent="0.4">
      <c r="A43" t="s">
        <v>275</v>
      </c>
      <c r="B43">
        <v>591256</v>
      </c>
      <c r="C43" t="s">
        <v>500</v>
      </c>
      <c r="D43">
        <v>10005845</v>
      </c>
      <c r="E43">
        <v>10028207</v>
      </c>
      <c r="F43" t="s">
        <v>933</v>
      </c>
      <c r="G43" t="s">
        <v>321</v>
      </c>
      <c r="H43">
        <v>1477240</v>
      </c>
      <c r="I43" t="s">
        <v>1002</v>
      </c>
      <c r="J43" t="s">
        <v>322</v>
      </c>
      <c r="K43">
        <v>2</v>
      </c>
      <c r="L43" t="s">
        <v>945</v>
      </c>
      <c r="M43" t="s">
        <v>928</v>
      </c>
      <c r="N43" t="s">
        <v>929</v>
      </c>
      <c r="O43" t="s">
        <v>820</v>
      </c>
      <c r="P43" t="s">
        <v>305</v>
      </c>
      <c r="Q43" t="s">
        <v>306</v>
      </c>
      <c r="R43" t="s">
        <v>972</v>
      </c>
      <c r="S43" t="s">
        <v>978</v>
      </c>
      <c r="U43">
        <v>10005845</v>
      </c>
      <c r="V43" t="s">
        <v>933</v>
      </c>
      <c r="W43">
        <v>1</v>
      </c>
      <c r="X43" t="s">
        <v>363</v>
      </c>
      <c r="Y43" t="s">
        <v>316</v>
      </c>
    </row>
    <row r="44" spans="1:25" x14ac:dyDescent="0.4">
      <c r="A44" t="s">
        <v>275</v>
      </c>
      <c r="B44">
        <v>591290</v>
      </c>
      <c r="C44" t="s">
        <v>388</v>
      </c>
      <c r="D44">
        <v>10004863</v>
      </c>
      <c r="E44">
        <v>20017735</v>
      </c>
      <c r="F44" t="s">
        <v>1003</v>
      </c>
      <c r="G44" t="s">
        <v>492</v>
      </c>
      <c r="H44">
        <v>2469712</v>
      </c>
      <c r="I44" t="s">
        <v>1004</v>
      </c>
      <c r="J44" t="s">
        <v>349</v>
      </c>
      <c r="K44">
        <v>3</v>
      </c>
      <c r="L44" t="s">
        <v>852</v>
      </c>
      <c r="M44" t="s">
        <v>899</v>
      </c>
      <c r="N44" t="s">
        <v>900</v>
      </c>
      <c r="O44" t="s">
        <v>819</v>
      </c>
      <c r="P44" t="s">
        <v>450</v>
      </c>
      <c r="Q44" t="s">
        <v>451</v>
      </c>
      <c r="R44" t="s">
        <v>993</v>
      </c>
      <c r="S44" t="s">
        <v>274</v>
      </c>
      <c r="W44">
        <v>1</v>
      </c>
      <c r="X44" t="s">
        <v>363</v>
      </c>
      <c r="Y44" t="s">
        <v>316</v>
      </c>
    </row>
    <row r="45" spans="1:25" x14ac:dyDescent="0.4">
      <c r="A45" t="s">
        <v>275</v>
      </c>
      <c r="B45">
        <v>591351</v>
      </c>
      <c r="C45" t="s">
        <v>771</v>
      </c>
      <c r="D45">
        <v>20002746</v>
      </c>
      <c r="E45">
        <v>10075037</v>
      </c>
      <c r="F45" t="s">
        <v>921</v>
      </c>
      <c r="G45" t="s">
        <v>676</v>
      </c>
      <c r="H45">
        <v>1910984</v>
      </c>
      <c r="I45" t="s">
        <v>1005</v>
      </c>
      <c r="J45" t="s">
        <v>677</v>
      </c>
      <c r="K45">
        <v>14</v>
      </c>
      <c r="L45" t="s">
        <v>923</v>
      </c>
      <c r="M45" t="s">
        <v>924</v>
      </c>
      <c r="N45" t="s">
        <v>925</v>
      </c>
      <c r="O45" t="s">
        <v>821</v>
      </c>
      <c r="P45" t="s">
        <v>664</v>
      </c>
      <c r="Q45" t="s">
        <v>665</v>
      </c>
      <c r="R45" t="s">
        <v>457</v>
      </c>
      <c r="S45" t="s">
        <v>274</v>
      </c>
      <c r="U45">
        <v>20002746</v>
      </c>
      <c r="V45" t="s">
        <v>921</v>
      </c>
      <c r="W45">
        <v>1</v>
      </c>
      <c r="X45" t="s">
        <v>281</v>
      </c>
      <c r="Y45" t="s">
        <v>247</v>
      </c>
    </row>
    <row r="46" spans="1:25" x14ac:dyDescent="0.4">
      <c r="A46" t="s">
        <v>275</v>
      </c>
      <c r="B46">
        <v>591358</v>
      </c>
      <c r="C46" t="s">
        <v>1006</v>
      </c>
      <c r="D46">
        <v>20002467</v>
      </c>
      <c r="E46">
        <v>10091893</v>
      </c>
      <c r="F46" t="s">
        <v>1007</v>
      </c>
      <c r="G46" t="s">
        <v>736</v>
      </c>
      <c r="H46">
        <v>2364848</v>
      </c>
      <c r="I46" t="s">
        <v>1008</v>
      </c>
      <c r="J46" t="s">
        <v>322</v>
      </c>
      <c r="K46">
        <v>16</v>
      </c>
      <c r="L46" t="s">
        <v>890</v>
      </c>
      <c r="M46" t="s">
        <v>908</v>
      </c>
      <c r="N46" t="s">
        <v>909</v>
      </c>
      <c r="O46" t="s">
        <v>823</v>
      </c>
      <c r="P46" t="s">
        <v>702</v>
      </c>
      <c r="Q46" t="s">
        <v>703</v>
      </c>
      <c r="R46" t="s">
        <v>457</v>
      </c>
      <c r="S46" t="s">
        <v>277</v>
      </c>
      <c r="U46">
        <v>20002467</v>
      </c>
      <c r="V46" t="s">
        <v>1007</v>
      </c>
      <c r="W46">
        <v>1</v>
      </c>
      <c r="X46" t="s">
        <v>376</v>
      </c>
      <c r="Y46" t="s">
        <v>263</v>
      </c>
    </row>
    <row r="47" spans="1:25" x14ac:dyDescent="0.4">
      <c r="A47" t="s">
        <v>275</v>
      </c>
      <c r="B47">
        <v>591377</v>
      </c>
      <c r="C47" t="s">
        <v>1006</v>
      </c>
      <c r="D47">
        <v>20002364</v>
      </c>
      <c r="E47">
        <v>10066870</v>
      </c>
      <c r="F47" t="s">
        <v>1009</v>
      </c>
      <c r="G47" t="s">
        <v>727</v>
      </c>
      <c r="H47">
        <v>1439000</v>
      </c>
      <c r="I47" t="s">
        <v>1010</v>
      </c>
      <c r="J47" t="s">
        <v>322</v>
      </c>
      <c r="K47">
        <v>13</v>
      </c>
      <c r="L47" t="s">
        <v>1011</v>
      </c>
      <c r="M47" t="s">
        <v>1012</v>
      </c>
      <c r="N47" t="s">
        <v>1013</v>
      </c>
      <c r="O47" t="s">
        <v>823</v>
      </c>
      <c r="P47" t="s">
        <v>702</v>
      </c>
      <c r="Q47" t="s">
        <v>703</v>
      </c>
      <c r="R47" t="s">
        <v>972</v>
      </c>
      <c r="S47" t="s">
        <v>993</v>
      </c>
      <c r="U47">
        <v>20002364</v>
      </c>
      <c r="V47" t="s">
        <v>1009</v>
      </c>
      <c r="W47">
        <v>1</v>
      </c>
      <c r="X47" t="s">
        <v>363</v>
      </c>
      <c r="Y47" t="s">
        <v>316</v>
      </c>
    </row>
    <row r="48" spans="1:25" x14ac:dyDescent="0.4">
      <c r="A48" t="s">
        <v>275</v>
      </c>
      <c r="B48">
        <v>591391</v>
      </c>
      <c r="C48" t="s">
        <v>1014</v>
      </c>
      <c r="D48">
        <v>10006104</v>
      </c>
      <c r="E48">
        <v>20018311</v>
      </c>
      <c r="F48" t="s">
        <v>902</v>
      </c>
      <c r="G48" t="s">
        <v>273</v>
      </c>
      <c r="H48">
        <v>1889200</v>
      </c>
      <c r="I48" t="s">
        <v>1015</v>
      </c>
      <c r="J48" t="s">
        <v>274</v>
      </c>
      <c r="K48">
        <v>3</v>
      </c>
      <c r="L48" t="s">
        <v>852</v>
      </c>
      <c r="M48" t="s">
        <v>1016</v>
      </c>
      <c r="N48" t="s">
        <v>1017</v>
      </c>
      <c r="O48" t="s">
        <v>818</v>
      </c>
      <c r="P48" t="s">
        <v>191</v>
      </c>
      <c r="Q48" t="s">
        <v>192</v>
      </c>
      <c r="R48" t="s">
        <v>274</v>
      </c>
      <c r="S48" t="s">
        <v>274</v>
      </c>
      <c r="U48">
        <v>10006104</v>
      </c>
      <c r="V48" t="s">
        <v>902</v>
      </c>
      <c r="W48">
        <v>1</v>
      </c>
      <c r="X48" t="s">
        <v>363</v>
      </c>
      <c r="Y48" t="s">
        <v>316</v>
      </c>
    </row>
    <row r="49" spans="1:25" x14ac:dyDescent="0.4">
      <c r="A49" t="s">
        <v>275</v>
      </c>
      <c r="B49">
        <v>591473</v>
      </c>
      <c r="C49" t="s">
        <v>771</v>
      </c>
      <c r="D49">
        <v>10048331</v>
      </c>
      <c r="E49">
        <v>10048331</v>
      </c>
      <c r="F49" t="s">
        <v>574</v>
      </c>
      <c r="G49" t="s">
        <v>574</v>
      </c>
      <c r="H49">
        <v>1535920</v>
      </c>
      <c r="I49" t="s">
        <v>1018</v>
      </c>
      <c r="J49" t="s">
        <v>349</v>
      </c>
      <c r="K49">
        <v>25</v>
      </c>
      <c r="L49" t="s">
        <v>879</v>
      </c>
      <c r="M49" t="s">
        <v>960</v>
      </c>
      <c r="N49" t="s">
        <v>961</v>
      </c>
      <c r="O49" t="s">
        <v>822</v>
      </c>
      <c r="P49" t="s">
        <v>549</v>
      </c>
      <c r="Q49" t="s">
        <v>550</v>
      </c>
      <c r="R49" t="s">
        <v>274</v>
      </c>
      <c r="S49" t="s">
        <v>274</v>
      </c>
      <c r="W49">
        <v>1</v>
      </c>
      <c r="X49" t="s">
        <v>363</v>
      </c>
      <c r="Y49" t="s">
        <v>316</v>
      </c>
    </row>
    <row r="50" spans="1:25" x14ac:dyDescent="0.4">
      <c r="A50" t="s">
        <v>275</v>
      </c>
      <c r="B50">
        <v>591528</v>
      </c>
      <c r="C50" t="s">
        <v>457</v>
      </c>
      <c r="D50">
        <v>20002210</v>
      </c>
      <c r="E50">
        <v>10080441</v>
      </c>
      <c r="F50" t="s">
        <v>877</v>
      </c>
      <c r="G50" t="s">
        <v>585</v>
      </c>
      <c r="H50">
        <v>2250000</v>
      </c>
      <c r="I50" t="s">
        <v>1019</v>
      </c>
      <c r="J50" t="s">
        <v>277</v>
      </c>
      <c r="K50">
        <v>26</v>
      </c>
      <c r="L50" t="s">
        <v>864</v>
      </c>
      <c r="M50" t="s">
        <v>917</v>
      </c>
      <c r="N50" t="s">
        <v>918</v>
      </c>
      <c r="O50" t="s">
        <v>822</v>
      </c>
      <c r="P50" t="s">
        <v>549</v>
      </c>
      <c r="Q50" t="s">
        <v>550</v>
      </c>
      <c r="R50" t="s">
        <v>978</v>
      </c>
      <c r="S50" t="s">
        <v>274</v>
      </c>
      <c r="U50">
        <v>20005631</v>
      </c>
      <c r="V50" t="s">
        <v>919</v>
      </c>
      <c r="W50">
        <v>1</v>
      </c>
      <c r="X50" t="s">
        <v>376</v>
      </c>
      <c r="Y50" t="s">
        <v>263</v>
      </c>
    </row>
    <row r="51" spans="1:25" x14ac:dyDescent="0.4">
      <c r="A51" t="s">
        <v>275</v>
      </c>
      <c r="B51">
        <v>591564</v>
      </c>
      <c r="C51" t="s">
        <v>677</v>
      </c>
      <c r="D51">
        <v>10005091</v>
      </c>
      <c r="E51">
        <v>20018393</v>
      </c>
      <c r="F51" t="s">
        <v>1020</v>
      </c>
      <c r="G51" t="s">
        <v>278</v>
      </c>
      <c r="H51">
        <v>2430360</v>
      </c>
      <c r="I51" t="s">
        <v>1021</v>
      </c>
      <c r="J51" t="s">
        <v>274</v>
      </c>
      <c r="K51">
        <v>3</v>
      </c>
      <c r="L51" t="s">
        <v>852</v>
      </c>
      <c r="M51" t="s">
        <v>1022</v>
      </c>
      <c r="N51" t="s">
        <v>1023</v>
      </c>
      <c r="O51" t="s">
        <v>818</v>
      </c>
      <c r="P51" t="s">
        <v>181</v>
      </c>
      <c r="Q51" t="s">
        <v>182</v>
      </c>
      <c r="R51" t="s">
        <v>978</v>
      </c>
      <c r="S51" t="s">
        <v>274</v>
      </c>
      <c r="W51">
        <v>1</v>
      </c>
      <c r="X51" t="s">
        <v>363</v>
      </c>
      <c r="Y51" t="s">
        <v>316</v>
      </c>
    </row>
    <row r="52" spans="1:25" x14ac:dyDescent="0.4">
      <c r="A52" t="s">
        <v>275</v>
      </c>
      <c r="B52">
        <v>591658</v>
      </c>
      <c r="C52" t="s">
        <v>993</v>
      </c>
      <c r="D52">
        <v>20006410</v>
      </c>
      <c r="E52">
        <v>20018413</v>
      </c>
      <c r="F52" t="s">
        <v>982</v>
      </c>
      <c r="G52" t="s">
        <v>617</v>
      </c>
      <c r="H52">
        <v>1104600</v>
      </c>
      <c r="I52" t="s">
        <v>1024</v>
      </c>
      <c r="J52" t="s">
        <v>274</v>
      </c>
      <c r="K52">
        <v>3</v>
      </c>
      <c r="L52" t="s">
        <v>852</v>
      </c>
      <c r="M52" t="s">
        <v>960</v>
      </c>
      <c r="N52" t="s">
        <v>961</v>
      </c>
      <c r="O52" t="s">
        <v>822</v>
      </c>
      <c r="P52" t="s">
        <v>549</v>
      </c>
      <c r="Q52" t="s">
        <v>550</v>
      </c>
      <c r="R52" t="s">
        <v>274</v>
      </c>
      <c r="S52" t="s">
        <v>274</v>
      </c>
      <c r="U52">
        <v>20006410</v>
      </c>
      <c r="V52" t="s">
        <v>982</v>
      </c>
      <c r="W52">
        <v>1</v>
      </c>
      <c r="X52" t="s">
        <v>376</v>
      </c>
      <c r="Y52" t="s">
        <v>263</v>
      </c>
    </row>
    <row r="53" spans="1:25" x14ac:dyDescent="0.4">
      <c r="A53" t="s">
        <v>275</v>
      </c>
      <c r="B53">
        <v>591681</v>
      </c>
      <c r="C53" t="s">
        <v>591</v>
      </c>
      <c r="D53">
        <v>10006299</v>
      </c>
      <c r="E53">
        <v>20018296</v>
      </c>
      <c r="F53" t="s">
        <v>1025</v>
      </c>
      <c r="G53" t="s">
        <v>685</v>
      </c>
      <c r="H53">
        <v>1523100</v>
      </c>
      <c r="I53" t="s">
        <v>1026</v>
      </c>
      <c r="J53" t="s">
        <v>686</v>
      </c>
      <c r="K53">
        <v>3</v>
      </c>
      <c r="L53" t="s">
        <v>852</v>
      </c>
      <c r="M53" t="s">
        <v>859</v>
      </c>
      <c r="N53" t="s">
        <v>860</v>
      </c>
      <c r="O53" t="s">
        <v>821</v>
      </c>
      <c r="P53" t="s">
        <v>656</v>
      </c>
      <c r="Q53" t="s">
        <v>657</v>
      </c>
      <c r="R53" t="s">
        <v>322</v>
      </c>
      <c r="S53" t="s">
        <v>277</v>
      </c>
      <c r="U53">
        <v>10006299</v>
      </c>
      <c r="V53" t="s">
        <v>1025</v>
      </c>
      <c r="W53">
        <v>1</v>
      </c>
      <c r="X53" t="s">
        <v>363</v>
      </c>
      <c r="Y53" t="s">
        <v>316</v>
      </c>
    </row>
    <row r="54" spans="1:25" x14ac:dyDescent="0.4">
      <c r="A54" t="s">
        <v>281</v>
      </c>
      <c r="B54">
        <v>590764</v>
      </c>
      <c r="C54" t="s">
        <v>1027</v>
      </c>
      <c r="D54">
        <v>10063720</v>
      </c>
      <c r="E54">
        <v>20017988</v>
      </c>
      <c r="F54" t="s">
        <v>1028</v>
      </c>
      <c r="G54" t="s">
        <v>372</v>
      </c>
      <c r="H54">
        <v>1469000</v>
      </c>
      <c r="I54" t="s">
        <v>955</v>
      </c>
      <c r="J54" t="s">
        <v>373</v>
      </c>
      <c r="K54">
        <v>3</v>
      </c>
      <c r="L54" t="s">
        <v>852</v>
      </c>
      <c r="M54" t="s">
        <v>956</v>
      </c>
      <c r="N54" t="s">
        <v>957</v>
      </c>
      <c r="O54" t="s">
        <v>820</v>
      </c>
      <c r="P54" t="s">
        <v>305</v>
      </c>
      <c r="Q54" t="s">
        <v>306</v>
      </c>
      <c r="R54" t="s">
        <v>373</v>
      </c>
      <c r="S54" t="s">
        <v>747</v>
      </c>
      <c r="U54">
        <v>10063720</v>
      </c>
      <c r="V54" t="s">
        <v>1028</v>
      </c>
      <c r="W54">
        <v>1</v>
      </c>
      <c r="X54" t="s">
        <v>376</v>
      </c>
      <c r="Y54" t="s">
        <v>263</v>
      </c>
    </row>
    <row r="55" spans="1:25" x14ac:dyDescent="0.4">
      <c r="A55" t="s">
        <v>281</v>
      </c>
      <c r="B55">
        <v>591282</v>
      </c>
      <c r="C55" t="s">
        <v>500</v>
      </c>
      <c r="D55">
        <v>20002218</v>
      </c>
      <c r="E55">
        <v>20018302</v>
      </c>
      <c r="F55" t="s">
        <v>868</v>
      </c>
      <c r="G55" t="s">
        <v>385</v>
      </c>
      <c r="H55">
        <v>1460040</v>
      </c>
      <c r="I55" t="s">
        <v>927</v>
      </c>
      <c r="J55" t="s">
        <v>386</v>
      </c>
      <c r="K55">
        <v>3</v>
      </c>
      <c r="L55" t="s">
        <v>852</v>
      </c>
      <c r="M55" t="s">
        <v>928</v>
      </c>
      <c r="N55" t="s">
        <v>929</v>
      </c>
      <c r="O55" t="s">
        <v>820</v>
      </c>
      <c r="P55" t="s">
        <v>305</v>
      </c>
      <c r="Q55" t="s">
        <v>306</v>
      </c>
      <c r="R55" t="s">
        <v>386</v>
      </c>
      <c r="S55" t="s">
        <v>396</v>
      </c>
      <c r="U55">
        <v>10063684</v>
      </c>
      <c r="V55" t="s">
        <v>1029</v>
      </c>
      <c r="W55">
        <v>1</v>
      </c>
      <c r="X55" t="s">
        <v>376</v>
      </c>
      <c r="Y55" t="s">
        <v>263</v>
      </c>
    </row>
    <row r="56" spans="1:25" x14ac:dyDescent="0.4">
      <c r="A56" t="s">
        <v>281</v>
      </c>
      <c r="B56">
        <v>591379</v>
      </c>
      <c r="C56" t="s">
        <v>1006</v>
      </c>
      <c r="D56">
        <v>20002364</v>
      </c>
      <c r="E56">
        <v>20018122</v>
      </c>
      <c r="F56" t="s">
        <v>1009</v>
      </c>
      <c r="G56" t="s">
        <v>767</v>
      </c>
      <c r="H56">
        <v>1304600</v>
      </c>
      <c r="I56" t="s">
        <v>1030</v>
      </c>
      <c r="J56" t="s">
        <v>392</v>
      </c>
      <c r="K56">
        <v>3</v>
      </c>
      <c r="L56" t="s">
        <v>852</v>
      </c>
      <c r="M56" t="s">
        <v>1012</v>
      </c>
      <c r="N56" t="s">
        <v>1013</v>
      </c>
      <c r="O56" t="s">
        <v>823</v>
      </c>
      <c r="P56" t="s">
        <v>702</v>
      </c>
      <c r="Q56" t="s">
        <v>703</v>
      </c>
      <c r="R56" t="s">
        <v>1031</v>
      </c>
      <c r="S56" t="s">
        <v>392</v>
      </c>
      <c r="U56">
        <v>20002364</v>
      </c>
      <c r="V56" t="s">
        <v>1009</v>
      </c>
      <c r="W56">
        <v>1</v>
      </c>
      <c r="X56" t="s">
        <v>363</v>
      </c>
      <c r="Y56" t="s">
        <v>316</v>
      </c>
    </row>
    <row r="57" spans="1:25" x14ac:dyDescent="0.4">
      <c r="A57" t="s">
        <v>281</v>
      </c>
      <c r="B57">
        <v>591498</v>
      </c>
      <c r="C57" t="s">
        <v>771</v>
      </c>
      <c r="D57">
        <v>20007812</v>
      </c>
      <c r="E57">
        <v>20018396</v>
      </c>
      <c r="F57" t="s">
        <v>1032</v>
      </c>
      <c r="G57" t="s">
        <v>511</v>
      </c>
      <c r="H57">
        <v>2609644</v>
      </c>
      <c r="I57" t="s">
        <v>1033</v>
      </c>
      <c r="J57" t="s">
        <v>373</v>
      </c>
      <c r="K57">
        <v>3</v>
      </c>
      <c r="L57" t="s">
        <v>852</v>
      </c>
      <c r="M57" t="s">
        <v>991</v>
      </c>
      <c r="N57" t="s">
        <v>992</v>
      </c>
      <c r="O57" t="s">
        <v>819</v>
      </c>
      <c r="P57" t="s">
        <v>450</v>
      </c>
      <c r="Q57" t="s">
        <v>451</v>
      </c>
      <c r="R57" t="s">
        <v>277</v>
      </c>
      <c r="S57" t="s">
        <v>340</v>
      </c>
      <c r="U57">
        <v>20007812</v>
      </c>
      <c r="V57" t="s">
        <v>1032</v>
      </c>
      <c r="W57">
        <v>1</v>
      </c>
      <c r="X57" t="s">
        <v>363</v>
      </c>
      <c r="Y57" t="s">
        <v>316</v>
      </c>
    </row>
    <row r="58" spans="1:25" x14ac:dyDescent="0.4">
      <c r="A58" t="s">
        <v>281</v>
      </c>
      <c r="B58">
        <v>591527</v>
      </c>
      <c r="C58" t="s">
        <v>457</v>
      </c>
      <c r="D58">
        <v>20002218</v>
      </c>
      <c r="E58">
        <v>10044624</v>
      </c>
      <c r="F58" t="s">
        <v>868</v>
      </c>
      <c r="G58" t="s">
        <v>339</v>
      </c>
      <c r="H58">
        <v>2015784</v>
      </c>
      <c r="I58" t="s">
        <v>894</v>
      </c>
      <c r="J58" t="s">
        <v>340</v>
      </c>
      <c r="K58">
        <v>2</v>
      </c>
      <c r="L58" t="s">
        <v>945</v>
      </c>
      <c r="M58" t="s">
        <v>869</v>
      </c>
      <c r="N58" t="s">
        <v>870</v>
      </c>
      <c r="O58" t="s">
        <v>820</v>
      </c>
      <c r="P58" t="s">
        <v>305</v>
      </c>
      <c r="Q58" t="s">
        <v>306</v>
      </c>
      <c r="R58" t="s">
        <v>659</v>
      </c>
      <c r="S58" t="s">
        <v>453</v>
      </c>
      <c r="U58">
        <v>10004794</v>
      </c>
      <c r="V58" t="s">
        <v>871</v>
      </c>
      <c r="W58">
        <v>1</v>
      </c>
      <c r="X58" t="s">
        <v>376</v>
      </c>
      <c r="Y58" t="s">
        <v>263</v>
      </c>
    </row>
    <row r="59" spans="1:25" x14ac:dyDescent="0.4">
      <c r="A59" t="s">
        <v>281</v>
      </c>
      <c r="B59">
        <v>591542</v>
      </c>
      <c r="C59" t="s">
        <v>677</v>
      </c>
      <c r="D59">
        <v>10005845</v>
      </c>
      <c r="E59">
        <v>20017598</v>
      </c>
      <c r="F59" t="s">
        <v>933</v>
      </c>
      <c r="G59" t="s">
        <v>491</v>
      </c>
      <c r="H59">
        <v>2122760</v>
      </c>
      <c r="I59" t="s">
        <v>1034</v>
      </c>
      <c r="J59" t="s">
        <v>466</v>
      </c>
      <c r="K59">
        <v>0</v>
      </c>
      <c r="L59" t="s">
        <v>1035</v>
      </c>
      <c r="M59" t="s">
        <v>946</v>
      </c>
      <c r="N59" t="s">
        <v>947</v>
      </c>
      <c r="O59" t="s">
        <v>819</v>
      </c>
      <c r="P59" t="s">
        <v>446</v>
      </c>
      <c r="Q59" t="s">
        <v>447</v>
      </c>
      <c r="R59" t="s">
        <v>564</v>
      </c>
      <c r="S59" t="s">
        <v>466</v>
      </c>
      <c r="W59">
        <v>1</v>
      </c>
      <c r="X59" t="s">
        <v>376</v>
      </c>
      <c r="Y59" t="s">
        <v>263</v>
      </c>
    </row>
    <row r="60" spans="1:25" x14ac:dyDescent="0.4">
      <c r="A60" t="s">
        <v>281</v>
      </c>
      <c r="B60">
        <v>591580</v>
      </c>
      <c r="C60" t="s">
        <v>566</v>
      </c>
      <c r="D60">
        <v>10005747</v>
      </c>
      <c r="E60">
        <v>20018303</v>
      </c>
      <c r="F60" t="s">
        <v>1036</v>
      </c>
      <c r="G60" t="s">
        <v>687</v>
      </c>
      <c r="H60">
        <v>2476000</v>
      </c>
      <c r="I60" t="s">
        <v>1026</v>
      </c>
      <c r="J60" t="s">
        <v>280</v>
      </c>
      <c r="K60">
        <v>3</v>
      </c>
      <c r="L60" t="s">
        <v>852</v>
      </c>
      <c r="M60" t="s">
        <v>1037</v>
      </c>
      <c r="N60" t="s">
        <v>1038</v>
      </c>
      <c r="O60" t="s">
        <v>821</v>
      </c>
      <c r="P60" t="s">
        <v>656</v>
      </c>
      <c r="Q60" t="s">
        <v>657</v>
      </c>
      <c r="R60" t="s">
        <v>280</v>
      </c>
      <c r="S60" t="s">
        <v>396</v>
      </c>
      <c r="W60">
        <v>1</v>
      </c>
      <c r="X60" t="s">
        <v>376</v>
      </c>
      <c r="Y60" t="s">
        <v>263</v>
      </c>
    </row>
    <row r="61" spans="1:25" x14ac:dyDescent="0.4">
      <c r="A61" t="s">
        <v>281</v>
      </c>
      <c r="B61">
        <v>591697</v>
      </c>
      <c r="C61" t="s">
        <v>322</v>
      </c>
      <c r="D61">
        <v>10004861</v>
      </c>
      <c r="E61">
        <v>20013105</v>
      </c>
      <c r="F61" t="s">
        <v>1039</v>
      </c>
      <c r="G61" t="s">
        <v>746</v>
      </c>
      <c r="H61">
        <v>1778000</v>
      </c>
      <c r="I61" t="s">
        <v>1030</v>
      </c>
      <c r="J61" t="s">
        <v>747</v>
      </c>
      <c r="K61">
        <v>25</v>
      </c>
      <c r="L61" t="s">
        <v>879</v>
      </c>
      <c r="M61" t="s">
        <v>1012</v>
      </c>
      <c r="N61" t="s">
        <v>1013</v>
      </c>
      <c r="O61" t="s">
        <v>823</v>
      </c>
      <c r="P61" t="s">
        <v>702</v>
      </c>
      <c r="Q61" t="s">
        <v>703</v>
      </c>
      <c r="R61" t="s">
        <v>373</v>
      </c>
      <c r="S61" t="s">
        <v>280</v>
      </c>
      <c r="U61">
        <v>20002511</v>
      </c>
      <c r="V61" t="s">
        <v>1040</v>
      </c>
      <c r="W61">
        <v>1</v>
      </c>
      <c r="X61" t="s">
        <v>363</v>
      </c>
      <c r="Y61" t="s">
        <v>316</v>
      </c>
    </row>
    <row r="62" spans="1:25" x14ac:dyDescent="0.4">
      <c r="A62" t="s">
        <v>281</v>
      </c>
      <c r="B62">
        <v>591717</v>
      </c>
      <c r="C62" t="s">
        <v>1041</v>
      </c>
      <c r="D62">
        <v>20002210</v>
      </c>
      <c r="E62">
        <v>10071726</v>
      </c>
      <c r="F62" t="s">
        <v>877</v>
      </c>
      <c r="G62" t="s">
        <v>582</v>
      </c>
      <c r="H62">
        <v>2423224</v>
      </c>
      <c r="I62" t="s">
        <v>1042</v>
      </c>
      <c r="J62" t="s">
        <v>453</v>
      </c>
      <c r="K62">
        <v>13</v>
      </c>
      <c r="L62" t="s">
        <v>1011</v>
      </c>
      <c r="M62" t="s">
        <v>1043</v>
      </c>
      <c r="N62" t="s">
        <v>1044</v>
      </c>
      <c r="O62" t="s">
        <v>822</v>
      </c>
      <c r="P62" t="s">
        <v>549</v>
      </c>
      <c r="Q62" t="s">
        <v>550</v>
      </c>
      <c r="R62" t="s">
        <v>280</v>
      </c>
      <c r="S62" t="s">
        <v>386</v>
      </c>
      <c r="U62">
        <v>20008018</v>
      </c>
      <c r="V62" t="s">
        <v>1045</v>
      </c>
      <c r="W62">
        <v>1</v>
      </c>
      <c r="X62" t="s">
        <v>376</v>
      </c>
      <c r="Y62" t="s">
        <v>263</v>
      </c>
    </row>
    <row r="63" spans="1:25" x14ac:dyDescent="0.4">
      <c r="A63" t="s">
        <v>281</v>
      </c>
      <c r="B63">
        <v>591718</v>
      </c>
      <c r="C63" t="s">
        <v>1041</v>
      </c>
      <c r="D63">
        <v>20002210</v>
      </c>
      <c r="E63">
        <v>10036436</v>
      </c>
      <c r="F63" t="s">
        <v>877</v>
      </c>
      <c r="G63" t="s">
        <v>563</v>
      </c>
      <c r="H63">
        <v>1983224</v>
      </c>
      <c r="I63" t="s">
        <v>1046</v>
      </c>
      <c r="J63" t="s">
        <v>564</v>
      </c>
      <c r="K63">
        <v>13</v>
      </c>
      <c r="L63" t="s">
        <v>1011</v>
      </c>
      <c r="M63" t="s">
        <v>1043</v>
      </c>
      <c r="N63" t="s">
        <v>1044</v>
      </c>
      <c r="O63" t="s">
        <v>822</v>
      </c>
      <c r="P63" t="s">
        <v>549</v>
      </c>
      <c r="Q63" t="s">
        <v>550</v>
      </c>
      <c r="R63" t="s">
        <v>280</v>
      </c>
      <c r="S63" t="s">
        <v>1047</v>
      </c>
      <c r="U63">
        <v>20008018</v>
      </c>
      <c r="V63" t="s">
        <v>1045</v>
      </c>
      <c r="W63">
        <v>1</v>
      </c>
      <c r="X63" t="s">
        <v>376</v>
      </c>
      <c r="Y63" t="s">
        <v>263</v>
      </c>
    </row>
    <row r="64" spans="1:25" x14ac:dyDescent="0.4">
      <c r="A64" t="s">
        <v>281</v>
      </c>
      <c r="B64">
        <v>591719</v>
      </c>
      <c r="C64" t="s">
        <v>1041</v>
      </c>
      <c r="D64">
        <v>20002210</v>
      </c>
      <c r="E64">
        <v>20018419</v>
      </c>
      <c r="F64" t="s">
        <v>877</v>
      </c>
      <c r="G64" t="s">
        <v>620</v>
      </c>
      <c r="H64">
        <v>2065200</v>
      </c>
      <c r="I64" t="s">
        <v>1048</v>
      </c>
      <c r="J64" t="s">
        <v>621</v>
      </c>
      <c r="K64">
        <v>3</v>
      </c>
      <c r="L64" t="s">
        <v>852</v>
      </c>
      <c r="M64" t="s">
        <v>1043</v>
      </c>
      <c r="N64" t="s">
        <v>1044</v>
      </c>
      <c r="O64" t="s">
        <v>822</v>
      </c>
      <c r="P64" t="s">
        <v>549</v>
      </c>
      <c r="Q64" t="s">
        <v>550</v>
      </c>
      <c r="R64" t="s">
        <v>280</v>
      </c>
      <c r="S64" t="s">
        <v>621</v>
      </c>
      <c r="U64">
        <v>20008018</v>
      </c>
      <c r="V64" t="s">
        <v>1045</v>
      </c>
      <c r="W64">
        <v>1</v>
      </c>
      <c r="X64" t="s">
        <v>363</v>
      </c>
      <c r="Y64" t="s">
        <v>316</v>
      </c>
    </row>
    <row r="65" spans="1:25" x14ac:dyDescent="0.4">
      <c r="A65" t="s">
        <v>281</v>
      </c>
      <c r="B65">
        <v>591738</v>
      </c>
      <c r="C65" t="s">
        <v>1049</v>
      </c>
      <c r="D65">
        <v>10004341</v>
      </c>
      <c r="E65">
        <v>20018331</v>
      </c>
      <c r="F65" t="s">
        <v>1050</v>
      </c>
      <c r="G65" t="s">
        <v>509</v>
      </c>
      <c r="H65">
        <v>2847508</v>
      </c>
      <c r="I65" t="s">
        <v>1033</v>
      </c>
      <c r="J65" t="s">
        <v>510</v>
      </c>
      <c r="K65">
        <v>3</v>
      </c>
      <c r="L65" t="s">
        <v>852</v>
      </c>
      <c r="M65" t="s">
        <v>991</v>
      </c>
      <c r="N65" t="s">
        <v>992</v>
      </c>
      <c r="O65" t="s">
        <v>819</v>
      </c>
      <c r="P65" t="s">
        <v>450</v>
      </c>
      <c r="Q65" t="s">
        <v>451</v>
      </c>
      <c r="R65" t="s">
        <v>1051</v>
      </c>
      <c r="S65" t="s">
        <v>283</v>
      </c>
      <c r="W65">
        <v>1</v>
      </c>
      <c r="X65" t="s">
        <v>363</v>
      </c>
      <c r="Y65" t="s">
        <v>316</v>
      </c>
    </row>
    <row r="66" spans="1:25" x14ac:dyDescent="0.4">
      <c r="A66" t="s">
        <v>281</v>
      </c>
      <c r="B66">
        <v>591766</v>
      </c>
      <c r="C66" t="s">
        <v>978</v>
      </c>
      <c r="D66">
        <v>10004735</v>
      </c>
      <c r="E66">
        <v>20018424</v>
      </c>
      <c r="F66" t="s">
        <v>952</v>
      </c>
      <c r="G66" t="s">
        <v>279</v>
      </c>
      <c r="H66">
        <v>2341840</v>
      </c>
      <c r="I66" t="s">
        <v>1052</v>
      </c>
      <c r="J66" t="s">
        <v>280</v>
      </c>
      <c r="K66">
        <v>3</v>
      </c>
      <c r="L66" t="s">
        <v>852</v>
      </c>
      <c r="M66" t="s">
        <v>873</v>
      </c>
      <c r="N66" t="s">
        <v>874</v>
      </c>
      <c r="O66" t="s">
        <v>818</v>
      </c>
      <c r="P66" t="s">
        <v>181</v>
      </c>
      <c r="Q66" t="s">
        <v>182</v>
      </c>
      <c r="R66" t="s">
        <v>280</v>
      </c>
      <c r="S66" t="s">
        <v>683</v>
      </c>
      <c r="U66">
        <v>20017975</v>
      </c>
      <c r="V66" t="s">
        <v>953</v>
      </c>
      <c r="W66">
        <v>1</v>
      </c>
      <c r="X66" t="s">
        <v>363</v>
      </c>
      <c r="Y66" t="s">
        <v>316</v>
      </c>
    </row>
    <row r="67" spans="1:25" x14ac:dyDescent="0.4">
      <c r="A67" t="s">
        <v>281</v>
      </c>
      <c r="B67">
        <v>591780</v>
      </c>
      <c r="C67" t="s">
        <v>978</v>
      </c>
      <c r="D67">
        <v>10006280</v>
      </c>
      <c r="E67">
        <v>20018394</v>
      </c>
      <c r="F67" t="s">
        <v>1053</v>
      </c>
      <c r="G67" t="s">
        <v>690</v>
      </c>
      <c r="H67">
        <v>3191328</v>
      </c>
      <c r="I67" t="s">
        <v>1054</v>
      </c>
      <c r="J67" t="s">
        <v>283</v>
      </c>
      <c r="K67">
        <v>3</v>
      </c>
      <c r="L67" t="s">
        <v>852</v>
      </c>
      <c r="M67" t="s">
        <v>1037</v>
      </c>
      <c r="N67" t="s">
        <v>1038</v>
      </c>
      <c r="O67" t="s">
        <v>821</v>
      </c>
      <c r="P67" t="s">
        <v>656</v>
      </c>
      <c r="Q67" t="s">
        <v>657</v>
      </c>
      <c r="R67" t="s">
        <v>386</v>
      </c>
      <c r="S67" t="s">
        <v>466</v>
      </c>
      <c r="U67">
        <v>10006280</v>
      </c>
      <c r="V67" t="s">
        <v>1053</v>
      </c>
      <c r="W67">
        <v>1</v>
      </c>
      <c r="X67" t="s">
        <v>376</v>
      </c>
      <c r="Y67" t="s">
        <v>263</v>
      </c>
    </row>
    <row r="68" spans="1:25" x14ac:dyDescent="0.4">
      <c r="A68" t="s">
        <v>281</v>
      </c>
      <c r="B68">
        <v>591789</v>
      </c>
      <c r="C68" t="s">
        <v>978</v>
      </c>
      <c r="D68">
        <v>20007969</v>
      </c>
      <c r="E68">
        <v>20018313</v>
      </c>
      <c r="F68" t="s">
        <v>1055</v>
      </c>
      <c r="G68" t="s">
        <v>688</v>
      </c>
      <c r="H68">
        <v>1997984</v>
      </c>
      <c r="I68" t="s">
        <v>1056</v>
      </c>
      <c r="J68" t="s">
        <v>689</v>
      </c>
      <c r="K68">
        <v>14</v>
      </c>
      <c r="L68" t="s">
        <v>923</v>
      </c>
      <c r="M68" t="s">
        <v>924</v>
      </c>
      <c r="N68" t="s">
        <v>925</v>
      </c>
      <c r="O68" t="s">
        <v>821</v>
      </c>
      <c r="P68" t="s">
        <v>664</v>
      </c>
      <c r="Q68" t="s">
        <v>665</v>
      </c>
      <c r="R68" t="s">
        <v>1057</v>
      </c>
      <c r="S68" t="s">
        <v>466</v>
      </c>
      <c r="U68">
        <v>20007969</v>
      </c>
      <c r="V68" t="s">
        <v>1055</v>
      </c>
      <c r="W68">
        <v>1</v>
      </c>
      <c r="X68" t="s">
        <v>363</v>
      </c>
      <c r="Y68" t="s">
        <v>316</v>
      </c>
    </row>
    <row r="69" spans="1:25" x14ac:dyDescent="0.4">
      <c r="A69" t="s">
        <v>281</v>
      </c>
      <c r="B69">
        <v>591791</v>
      </c>
      <c r="C69" t="s">
        <v>978</v>
      </c>
      <c r="D69">
        <v>20008289</v>
      </c>
      <c r="E69">
        <v>20018428</v>
      </c>
      <c r="F69" t="s">
        <v>1058</v>
      </c>
      <c r="G69" t="s">
        <v>775</v>
      </c>
      <c r="H69">
        <v>2337792</v>
      </c>
      <c r="I69" t="s">
        <v>1059</v>
      </c>
      <c r="J69" t="s">
        <v>280</v>
      </c>
      <c r="K69">
        <v>3</v>
      </c>
      <c r="L69" t="s">
        <v>852</v>
      </c>
      <c r="M69" t="s">
        <v>908</v>
      </c>
      <c r="N69" t="s">
        <v>909</v>
      </c>
      <c r="O69" t="s">
        <v>823</v>
      </c>
      <c r="P69" t="s">
        <v>702</v>
      </c>
      <c r="Q69" t="s">
        <v>703</v>
      </c>
      <c r="R69" t="s">
        <v>683</v>
      </c>
      <c r="S69" t="s">
        <v>504</v>
      </c>
      <c r="U69">
        <v>20008289</v>
      </c>
      <c r="V69" t="s">
        <v>1058</v>
      </c>
      <c r="W69">
        <v>1</v>
      </c>
      <c r="X69" t="s">
        <v>376</v>
      </c>
      <c r="Y69" t="s">
        <v>263</v>
      </c>
    </row>
    <row r="70" spans="1:25" x14ac:dyDescent="0.4">
      <c r="A70" t="s">
        <v>281</v>
      </c>
      <c r="B70">
        <v>591821</v>
      </c>
      <c r="C70" t="s">
        <v>978</v>
      </c>
      <c r="D70">
        <v>20006277</v>
      </c>
      <c r="E70">
        <v>10015892</v>
      </c>
      <c r="F70" t="s">
        <v>856</v>
      </c>
      <c r="G70" t="s">
        <v>658</v>
      </c>
      <c r="H70">
        <v>1707360</v>
      </c>
      <c r="I70" t="s">
        <v>1060</v>
      </c>
      <c r="J70" t="s">
        <v>659</v>
      </c>
      <c r="K70">
        <v>28</v>
      </c>
      <c r="L70" t="s">
        <v>907</v>
      </c>
      <c r="M70" t="s">
        <v>859</v>
      </c>
      <c r="N70" t="s">
        <v>860</v>
      </c>
      <c r="O70" t="s">
        <v>821</v>
      </c>
      <c r="P70" t="s">
        <v>656</v>
      </c>
      <c r="Q70" t="s">
        <v>657</v>
      </c>
      <c r="R70" t="s">
        <v>747</v>
      </c>
      <c r="S70" t="s">
        <v>396</v>
      </c>
      <c r="U70">
        <v>10004802</v>
      </c>
      <c r="V70" t="s">
        <v>1061</v>
      </c>
      <c r="W70">
        <v>1</v>
      </c>
      <c r="X70" t="s">
        <v>376</v>
      </c>
      <c r="Y70" t="s">
        <v>263</v>
      </c>
    </row>
    <row r="71" spans="1:25" x14ac:dyDescent="0.4">
      <c r="A71" t="s">
        <v>281</v>
      </c>
      <c r="B71">
        <v>591844</v>
      </c>
      <c r="C71" t="s">
        <v>274</v>
      </c>
      <c r="D71">
        <v>20002210</v>
      </c>
      <c r="E71">
        <v>20018234</v>
      </c>
      <c r="F71" t="s">
        <v>877</v>
      </c>
      <c r="G71" t="s">
        <v>611</v>
      </c>
      <c r="H71">
        <v>1833280</v>
      </c>
      <c r="I71" t="s">
        <v>1019</v>
      </c>
      <c r="J71" t="s">
        <v>392</v>
      </c>
      <c r="K71">
        <v>3</v>
      </c>
      <c r="L71" t="s">
        <v>852</v>
      </c>
      <c r="M71" t="s">
        <v>880</v>
      </c>
      <c r="N71" t="s">
        <v>881</v>
      </c>
      <c r="O71" t="s">
        <v>822</v>
      </c>
      <c r="P71" t="s">
        <v>549</v>
      </c>
      <c r="Q71" t="s">
        <v>550</v>
      </c>
      <c r="R71" t="s">
        <v>392</v>
      </c>
      <c r="S71" t="s">
        <v>392</v>
      </c>
      <c r="U71">
        <v>20002210</v>
      </c>
      <c r="V71" t="s">
        <v>877</v>
      </c>
      <c r="W71">
        <v>1</v>
      </c>
      <c r="X71" t="s">
        <v>353</v>
      </c>
      <c r="Y71" t="s">
        <v>331</v>
      </c>
    </row>
    <row r="72" spans="1:25" x14ac:dyDescent="0.4">
      <c r="A72" t="s">
        <v>281</v>
      </c>
      <c r="B72">
        <v>591858</v>
      </c>
      <c r="C72" t="s">
        <v>349</v>
      </c>
      <c r="D72">
        <v>10006614</v>
      </c>
      <c r="E72">
        <v>10052795</v>
      </c>
      <c r="F72" t="s">
        <v>1062</v>
      </c>
      <c r="G72" t="s">
        <v>579</v>
      </c>
      <c r="H72">
        <v>1761984</v>
      </c>
      <c r="I72" t="s">
        <v>1046</v>
      </c>
      <c r="J72" t="s">
        <v>392</v>
      </c>
      <c r="K72">
        <v>23</v>
      </c>
      <c r="L72" t="s">
        <v>932</v>
      </c>
      <c r="M72" t="s">
        <v>1043</v>
      </c>
      <c r="N72" t="s">
        <v>1044</v>
      </c>
      <c r="O72" t="s">
        <v>822</v>
      </c>
      <c r="P72" t="s">
        <v>549</v>
      </c>
      <c r="Q72" t="s">
        <v>550</v>
      </c>
      <c r="R72" t="s">
        <v>280</v>
      </c>
      <c r="S72" t="s">
        <v>386</v>
      </c>
      <c r="U72">
        <v>10006614</v>
      </c>
      <c r="V72" t="s">
        <v>1062</v>
      </c>
      <c r="W72">
        <v>1</v>
      </c>
      <c r="X72" t="s">
        <v>363</v>
      </c>
      <c r="Y72" t="s">
        <v>316</v>
      </c>
    </row>
    <row r="73" spans="1:25" x14ac:dyDescent="0.4">
      <c r="A73" t="s">
        <v>281</v>
      </c>
      <c r="B73">
        <v>591909</v>
      </c>
      <c r="C73" t="s">
        <v>373</v>
      </c>
      <c r="D73">
        <v>10005431</v>
      </c>
      <c r="E73">
        <v>10080431</v>
      </c>
      <c r="F73" t="s">
        <v>1063</v>
      </c>
      <c r="G73" t="s">
        <v>584</v>
      </c>
      <c r="H73">
        <v>2269384</v>
      </c>
      <c r="I73" t="s">
        <v>1064</v>
      </c>
      <c r="J73" t="s">
        <v>392</v>
      </c>
      <c r="K73">
        <v>23</v>
      </c>
      <c r="L73" t="s">
        <v>932</v>
      </c>
      <c r="M73" t="s">
        <v>1043</v>
      </c>
      <c r="N73" t="s">
        <v>1044</v>
      </c>
      <c r="O73" t="s">
        <v>822</v>
      </c>
      <c r="P73" t="s">
        <v>549</v>
      </c>
      <c r="Q73" t="s">
        <v>550</v>
      </c>
      <c r="R73" t="s">
        <v>280</v>
      </c>
      <c r="S73" t="s">
        <v>504</v>
      </c>
      <c r="W73">
        <v>1</v>
      </c>
      <c r="X73" t="s">
        <v>363</v>
      </c>
      <c r="Y73" t="s">
        <v>316</v>
      </c>
    </row>
    <row r="74" spans="1:25" x14ac:dyDescent="0.4">
      <c r="A74" t="s">
        <v>281</v>
      </c>
      <c r="B74">
        <v>591910</v>
      </c>
      <c r="C74" t="s">
        <v>373</v>
      </c>
      <c r="D74">
        <v>10004690</v>
      </c>
      <c r="E74">
        <v>20018425</v>
      </c>
      <c r="F74" t="s">
        <v>1065</v>
      </c>
      <c r="G74" t="s">
        <v>391</v>
      </c>
      <c r="H74">
        <v>1714600</v>
      </c>
      <c r="I74" t="s">
        <v>1066</v>
      </c>
      <c r="J74" t="s">
        <v>392</v>
      </c>
      <c r="K74">
        <v>3</v>
      </c>
      <c r="L74" t="s">
        <v>852</v>
      </c>
      <c r="M74" t="s">
        <v>885</v>
      </c>
      <c r="N74" t="s">
        <v>886</v>
      </c>
      <c r="O74" t="s">
        <v>820</v>
      </c>
      <c r="P74" t="s">
        <v>305</v>
      </c>
      <c r="Q74" t="s">
        <v>306</v>
      </c>
      <c r="R74" t="s">
        <v>659</v>
      </c>
      <c r="S74" t="s">
        <v>504</v>
      </c>
      <c r="U74">
        <v>10004690</v>
      </c>
      <c r="V74" t="s">
        <v>1065</v>
      </c>
      <c r="W74">
        <v>1</v>
      </c>
      <c r="X74" t="s">
        <v>376</v>
      </c>
      <c r="Y74" t="s">
        <v>263</v>
      </c>
    </row>
    <row r="75" spans="1:25" x14ac:dyDescent="0.4">
      <c r="A75" t="s">
        <v>281</v>
      </c>
      <c r="B75">
        <v>591959</v>
      </c>
      <c r="C75" t="s">
        <v>747</v>
      </c>
      <c r="D75">
        <v>20002782</v>
      </c>
      <c r="E75">
        <v>20018435</v>
      </c>
      <c r="F75" t="s">
        <v>1067</v>
      </c>
      <c r="G75" t="s">
        <v>395</v>
      </c>
      <c r="H75">
        <v>2155024</v>
      </c>
      <c r="I75" t="s">
        <v>1068</v>
      </c>
      <c r="J75" t="s">
        <v>396</v>
      </c>
      <c r="K75">
        <v>3</v>
      </c>
      <c r="L75" t="s">
        <v>852</v>
      </c>
      <c r="M75" t="s">
        <v>1069</v>
      </c>
      <c r="N75" t="s">
        <v>1070</v>
      </c>
      <c r="O75" t="s">
        <v>820</v>
      </c>
      <c r="P75" t="s">
        <v>305</v>
      </c>
      <c r="Q75" t="s">
        <v>306</v>
      </c>
      <c r="R75" t="s">
        <v>683</v>
      </c>
      <c r="S75" t="s">
        <v>396</v>
      </c>
      <c r="U75">
        <v>20002782</v>
      </c>
      <c r="V75" t="s">
        <v>1067</v>
      </c>
      <c r="W75">
        <v>1</v>
      </c>
      <c r="X75" t="s">
        <v>376</v>
      </c>
      <c r="Y75" t="s">
        <v>263</v>
      </c>
    </row>
    <row r="76" spans="1:25" x14ac:dyDescent="0.4">
      <c r="A76" t="s">
        <v>281</v>
      </c>
      <c r="B76">
        <v>591989</v>
      </c>
      <c r="C76" t="s">
        <v>659</v>
      </c>
      <c r="D76">
        <v>10004863</v>
      </c>
      <c r="E76">
        <v>10035978</v>
      </c>
      <c r="F76" t="s">
        <v>1003</v>
      </c>
      <c r="G76" t="s">
        <v>469</v>
      </c>
      <c r="H76">
        <v>1757400</v>
      </c>
      <c r="I76" t="s">
        <v>1004</v>
      </c>
      <c r="J76" t="s">
        <v>396</v>
      </c>
      <c r="K76">
        <v>3</v>
      </c>
      <c r="L76" t="s">
        <v>852</v>
      </c>
      <c r="M76" t="s">
        <v>899</v>
      </c>
      <c r="N76" t="s">
        <v>900</v>
      </c>
      <c r="O76" t="s">
        <v>819</v>
      </c>
      <c r="P76" t="s">
        <v>450</v>
      </c>
      <c r="Q76" t="s">
        <v>451</v>
      </c>
      <c r="R76" t="s">
        <v>386</v>
      </c>
      <c r="S76" t="s">
        <v>621</v>
      </c>
      <c r="W76">
        <v>1</v>
      </c>
      <c r="X76" t="s">
        <v>363</v>
      </c>
      <c r="Y76" t="s">
        <v>316</v>
      </c>
    </row>
    <row r="77" spans="1:25" x14ac:dyDescent="0.4">
      <c r="A77" t="s">
        <v>281</v>
      </c>
      <c r="B77">
        <v>592013</v>
      </c>
      <c r="C77" t="s">
        <v>1049</v>
      </c>
      <c r="D77">
        <v>10004689</v>
      </c>
      <c r="E77">
        <v>10007106</v>
      </c>
      <c r="F77" t="s">
        <v>893</v>
      </c>
      <c r="G77" t="s">
        <v>452</v>
      </c>
      <c r="H77">
        <v>1950108</v>
      </c>
      <c r="I77" t="s">
        <v>1071</v>
      </c>
      <c r="J77" t="s">
        <v>453</v>
      </c>
      <c r="K77">
        <v>25</v>
      </c>
      <c r="L77" t="s">
        <v>879</v>
      </c>
      <c r="M77" t="s">
        <v>991</v>
      </c>
      <c r="N77" t="s">
        <v>992</v>
      </c>
      <c r="O77" t="s">
        <v>819</v>
      </c>
      <c r="P77" t="s">
        <v>450</v>
      </c>
      <c r="Q77" t="s">
        <v>451</v>
      </c>
      <c r="R77" t="s">
        <v>453</v>
      </c>
      <c r="S77" t="s">
        <v>386</v>
      </c>
      <c r="U77">
        <v>10004689</v>
      </c>
      <c r="V77" t="s">
        <v>893</v>
      </c>
      <c r="W77">
        <v>1</v>
      </c>
      <c r="X77" t="s">
        <v>363</v>
      </c>
      <c r="Y77" t="s">
        <v>316</v>
      </c>
    </row>
    <row r="78" spans="1:25" x14ac:dyDescent="0.4">
      <c r="A78" t="s">
        <v>281</v>
      </c>
      <c r="B78">
        <v>592023</v>
      </c>
      <c r="C78" t="s">
        <v>1049</v>
      </c>
      <c r="D78">
        <v>20003884</v>
      </c>
      <c r="E78">
        <v>20014545</v>
      </c>
      <c r="F78" t="s">
        <v>940</v>
      </c>
      <c r="G78" t="s">
        <v>757</v>
      </c>
      <c r="H78">
        <v>1358752</v>
      </c>
      <c r="I78" t="s">
        <v>1030</v>
      </c>
      <c r="J78" t="s">
        <v>466</v>
      </c>
      <c r="K78">
        <v>35</v>
      </c>
      <c r="L78" t="s">
        <v>916</v>
      </c>
      <c r="M78" t="s">
        <v>941</v>
      </c>
      <c r="N78" t="s">
        <v>942</v>
      </c>
      <c r="O78" t="s">
        <v>823</v>
      </c>
      <c r="P78" t="s">
        <v>702</v>
      </c>
      <c r="Q78" t="s">
        <v>703</v>
      </c>
      <c r="R78" t="s">
        <v>510</v>
      </c>
      <c r="S78" t="s">
        <v>466</v>
      </c>
      <c r="U78">
        <v>20003884</v>
      </c>
      <c r="V78" t="s">
        <v>940</v>
      </c>
      <c r="W78">
        <v>1</v>
      </c>
      <c r="X78" t="s">
        <v>363</v>
      </c>
      <c r="Y78" t="s">
        <v>316</v>
      </c>
    </row>
    <row r="79" spans="1:25" x14ac:dyDescent="0.4">
      <c r="A79" t="s">
        <v>281</v>
      </c>
      <c r="B79">
        <v>592027</v>
      </c>
      <c r="C79" t="s">
        <v>1072</v>
      </c>
      <c r="D79">
        <v>10031695</v>
      </c>
      <c r="E79">
        <v>10031695</v>
      </c>
      <c r="F79" t="s">
        <v>465</v>
      </c>
      <c r="G79" t="s">
        <v>465</v>
      </c>
      <c r="H79">
        <v>2994608</v>
      </c>
      <c r="I79" t="s">
        <v>1073</v>
      </c>
      <c r="J79" t="s">
        <v>466</v>
      </c>
      <c r="K79">
        <v>25</v>
      </c>
      <c r="L79" t="s">
        <v>879</v>
      </c>
      <c r="M79" t="s">
        <v>1074</v>
      </c>
      <c r="N79" t="s">
        <v>1075</v>
      </c>
      <c r="O79" t="s">
        <v>819</v>
      </c>
      <c r="P79" t="s">
        <v>446</v>
      </c>
      <c r="Q79" t="s">
        <v>447</v>
      </c>
      <c r="R79" t="s">
        <v>466</v>
      </c>
      <c r="S79" t="s">
        <v>466</v>
      </c>
      <c r="T79" t="s">
        <v>973</v>
      </c>
      <c r="W79">
        <v>1</v>
      </c>
      <c r="X79" t="s">
        <v>363</v>
      </c>
      <c r="Y79" t="s">
        <v>316</v>
      </c>
    </row>
    <row r="80" spans="1:25" x14ac:dyDescent="0.4">
      <c r="A80" t="s">
        <v>281</v>
      </c>
      <c r="B80">
        <v>592057</v>
      </c>
      <c r="C80" t="s">
        <v>1076</v>
      </c>
      <c r="D80">
        <v>10004905</v>
      </c>
      <c r="E80">
        <v>20014654</v>
      </c>
      <c r="F80" t="s">
        <v>1077</v>
      </c>
      <c r="G80" t="s">
        <v>682</v>
      </c>
      <c r="H80">
        <v>1104600</v>
      </c>
      <c r="I80" t="s">
        <v>1078</v>
      </c>
      <c r="J80" t="s">
        <v>683</v>
      </c>
      <c r="K80">
        <v>45</v>
      </c>
      <c r="L80" t="s">
        <v>858</v>
      </c>
      <c r="M80" t="s">
        <v>1037</v>
      </c>
      <c r="N80" t="s">
        <v>1038</v>
      </c>
      <c r="O80" t="s">
        <v>821</v>
      </c>
      <c r="P80" t="s">
        <v>656</v>
      </c>
      <c r="Q80" t="s">
        <v>657</v>
      </c>
      <c r="R80" t="s">
        <v>683</v>
      </c>
      <c r="S80" t="s">
        <v>453</v>
      </c>
      <c r="U80">
        <v>10004905</v>
      </c>
      <c r="V80" t="s">
        <v>1077</v>
      </c>
      <c r="W80">
        <v>1</v>
      </c>
      <c r="X80" t="s">
        <v>376</v>
      </c>
      <c r="Y80" t="s">
        <v>263</v>
      </c>
    </row>
    <row r="81" spans="1:25" x14ac:dyDescent="0.4">
      <c r="A81" t="s">
        <v>281</v>
      </c>
      <c r="B81">
        <v>592180</v>
      </c>
      <c r="C81" t="s">
        <v>453</v>
      </c>
      <c r="D81">
        <v>10004861</v>
      </c>
      <c r="E81">
        <v>10060500</v>
      </c>
      <c r="F81" t="s">
        <v>1039</v>
      </c>
      <c r="G81" t="s">
        <v>724</v>
      </c>
      <c r="H81">
        <v>1817370</v>
      </c>
      <c r="I81" t="s">
        <v>912</v>
      </c>
      <c r="J81" t="s">
        <v>466</v>
      </c>
      <c r="K81">
        <v>25</v>
      </c>
      <c r="L81" t="s">
        <v>879</v>
      </c>
      <c r="M81" t="s">
        <v>913</v>
      </c>
      <c r="N81" t="s">
        <v>914</v>
      </c>
      <c r="O81" t="s">
        <v>823</v>
      </c>
      <c r="P81" t="s">
        <v>702</v>
      </c>
      <c r="Q81" t="s">
        <v>703</v>
      </c>
      <c r="R81" t="s">
        <v>510</v>
      </c>
      <c r="S81" t="s">
        <v>466</v>
      </c>
      <c r="W81">
        <v>1</v>
      </c>
      <c r="X81" t="s">
        <v>363</v>
      </c>
      <c r="Y81" t="s">
        <v>316</v>
      </c>
    </row>
    <row r="82" spans="1:25" x14ac:dyDescent="0.4">
      <c r="A82" t="s">
        <v>281</v>
      </c>
      <c r="B82">
        <v>592187</v>
      </c>
      <c r="C82" t="s">
        <v>453</v>
      </c>
      <c r="D82">
        <v>10004346</v>
      </c>
      <c r="E82">
        <v>20018517</v>
      </c>
      <c r="F82" t="s">
        <v>1079</v>
      </c>
      <c r="G82" t="s">
        <v>282</v>
      </c>
      <c r="H82">
        <v>1836760</v>
      </c>
      <c r="I82" t="s">
        <v>1080</v>
      </c>
      <c r="J82" t="s">
        <v>283</v>
      </c>
      <c r="K82">
        <v>3</v>
      </c>
      <c r="L82" t="s">
        <v>852</v>
      </c>
      <c r="M82" t="s">
        <v>1081</v>
      </c>
      <c r="N82" t="s">
        <v>1082</v>
      </c>
      <c r="O82" t="s">
        <v>818</v>
      </c>
      <c r="P82" t="s">
        <v>181</v>
      </c>
      <c r="Q82" t="s">
        <v>182</v>
      </c>
      <c r="R82" t="s">
        <v>510</v>
      </c>
      <c r="S82" t="s">
        <v>466</v>
      </c>
      <c r="W82">
        <v>1</v>
      </c>
      <c r="X82" t="s">
        <v>376</v>
      </c>
      <c r="Y82" t="s">
        <v>263</v>
      </c>
    </row>
    <row r="83" spans="1:25" x14ac:dyDescent="0.4">
      <c r="A83" t="s">
        <v>281</v>
      </c>
      <c r="B83">
        <v>592260</v>
      </c>
      <c r="C83" t="s">
        <v>396</v>
      </c>
      <c r="D83">
        <v>20002218</v>
      </c>
      <c r="E83">
        <v>20018118</v>
      </c>
      <c r="F83" t="s">
        <v>868</v>
      </c>
      <c r="G83" t="s">
        <v>503</v>
      </c>
      <c r="H83">
        <v>1640904</v>
      </c>
      <c r="I83" t="s">
        <v>1033</v>
      </c>
      <c r="J83" t="s">
        <v>504</v>
      </c>
      <c r="K83">
        <v>3</v>
      </c>
      <c r="L83" t="s">
        <v>852</v>
      </c>
      <c r="M83" t="s">
        <v>1083</v>
      </c>
      <c r="N83" t="s">
        <v>1084</v>
      </c>
      <c r="O83" t="s">
        <v>819</v>
      </c>
      <c r="P83" t="s">
        <v>450</v>
      </c>
      <c r="Q83" t="s">
        <v>451</v>
      </c>
      <c r="R83" t="s">
        <v>504</v>
      </c>
      <c r="S83" t="s">
        <v>504</v>
      </c>
      <c r="U83">
        <v>10063684</v>
      </c>
      <c r="V83" t="s">
        <v>1029</v>
      </c>
      <c r="W83">
        <v>1</v>
      </c>
      <c r="X83" t="s">
        <v>376</v>
      </c>
      <c r="Y83" t="s">
        <v>263</v>
      </c>
    </row>
    <row r="84" spans="1:25" x14ac:dyDescent="0.4">
      <c r="A84" t="s">
        <v>281</v>
      </c>
      <c r="B84">
        <v>592325</v>
      </c>
      <c r="C84" t="s">
        <v>392</v>
      </c>
      <c r="D84">
        <v>20002218</v>
      </c>
      <c r="E84">
        <v>10063079</v>
      </c>
      <c r="F84" t="s">
        <v>868</v>
      </c>
      <c r="G84" t="s">
        <v>474</v>
      </c>
      <c r="H84">
        <v>1817370</v>
      </c>
      <c r="I84" t="s">
        <v>1085</v>
      </c>
      <c r="J84" t="s">
        <v>392</v>
      </c>
      <c r="K84">
        <v>99</v>
      </c>
      <c r="L84" t="s">
        <v>981</v>
      </c>
      <c r="M84" t="s">
        <v>1083</v>
      </c>
      <c r="N84" t="s">
        <v>1084</v>
      </c>
      <c r="O84" t="s">
        <v>819</v>
      </c>
      <c r="P84" t="s">
        <v>450</v>
      </c>
      <c r="Q84" t="s">
        <v>451</v>
      </c>
      <c r="R84" t="s">
        <v>392</v>
      </c>
      <c r="S84" t="s">
        <v>392</v>
      </c>
      <c r="U84">
        <v>10063684</v>
      </c>
      <c r="V84" t="s">
        <v>1029</v>
      </c>
      <c r="W84">
        <v>1</v>
      </c>
      <c r="X84" t="s">
        <v>376</v>
      </c>
      <c r="Y84" t="s">
        <v>263</v>
      </c>
    </row>
    <row r="85" spans="1:25" x14ac:dyDescent="0.4">
      <c r="A85" t="s">
        <v>281</v>
      </c>
      <c r="B85">
        <v>592367</v>
      </c>
      <c r="C85" t="s">
        <v>621</v>
      </c>
      <c r="D85">
        <v>10004689</v>
      </c>
      <c r="E85">
        <v>20017845</v>
      </c>
      <c r="F85" t="s">
        <v>893</v>
      </c>
      <c r="G85" t="s">
        <v>495</v>
      </c>
      <c r="H85">
        <v>1905500</v>
      </c>
      <c r="I85" t="s">
        <v>1033</v>
      </c>
      <c r="J85" t="s">
        <v>466</v>
      </c>
      <c r="K85">
        <v>3</v>
      </c>
      <c r="L85" t="s">
        <v>852</v>
      </c>
      <c r="M85" t="s">
        <v>991</v>
      </c>
      <c r="N85" t="s">
        <v>992</v>
      </c>
      <c r="O85" t="s">
        <v>819</v>
      </c>
      <c r="P85" t="s">
        <v>450</v>
      </c>
      <c r="Q85" t="s">
        <v>451</v>
      </c>
      <c r="R85" t="s">
        <v>283</v>
      </c>
      <c r="S85" t="s">
        <v>466</v>
      </c>
      <c r="U85">
        <v>10004689</v>
      </c>
      <c r="V85" t="s">
        <v>893</v>
      </c>
      <c r="W85">
        <v>1</v>
      </c>
      <c r="X85" t="s">
        <v>363</v>
      </c>
      <c r="Y85" t="s">
        <v>316</v>
      </c>
    </row>
    <row r="86" spans="1:25" x14ac:dyDescent="0.4">
      <c r="A86" t="s">
        <v>363</v>
      </c>
      <c r="B86">
        <v>589946</v>
      </c>
      <c r="C86" t="s">
        <v>562</v>
      </c>
      <c r="D86">
        <v>10005838</v>
      </c>
      <c r="E86">
        <v>20017575</v>
      </c>
      <c r="F86" t="s">
        <v>1086</v>
      </c>
      <c r="G86" t="s">
        <v>361</v>
      </c>
      <c r="H86">
        <v>1839240</v>
      </c>
      <c r="I86" t="s">
        <v>1030</v>
      </c>
      <c r="J86" t="s">
        <v>362</v>
      </c>
      <c r="K86">
        <v>3</v>
      </c>
      <c r="L86" t="s">
        <v>852</v>
      </c>
      <c r="M86" t="s">
        <v>1069</v>
      </c>
      <c r="N86" t="s">
        <v>1070</v>
      </c>
      <c r="O86" t="s">
        <v>820</v>
      </c>
      <c r="P86" t="s">
        <v>305</v>
      </c>
      <c r="Q86" t="s">
        <v>306</v>
      </c>
      <c r="R86" t="s">
        <v>659</v>
      </c>
      <c r="S86" t="s">
        <v>362</v>
      </c>
      <c r="U86">
        <v>10005838</v>
      </c>
      <c r="V86" t="s">
        <v>1086</v>
      </c>
      <c r="W86">
        <v>1</v>
      </c>
      <c r="X86" t="s">
        <v>353</v>
      </c>
      <c r="Y86" t="s">
        <v>331</v>
      </c>
    </row>
    <row r="87" spans="1:25" x14ac:dyDescent="0.4">
      <c r="A87" t="s">
        <v>363</v>
      </c>
      <c r="B87">
        <v>590840</v>
      </c>
      <c r="C87" t="s">
        <v>369</v>
      </c>
      <c r="D87">
        <v>20007982</v>
      </c>
      <c r="E87">
        <v>20018136</v>
      </c>
      <c r="F87" t="s">
        <v>1087</v>
      </c>
      <c r="G87" t="s">
        <v>378</v>
      </c>
      <c r="H87">
        <v>2206384</v>
      </c>
      <c r="I87" t="s">
        <v>927</v>
      </c>
      <c r="J87" t="s">
        <v>379</v>
      </c>
      <c r="K87">
        <v>3</v>
      </c>
      <c r="L87" t="s">
        <v>852</v>
      </c>
      <c r="M87" t="s">
        <v>928</v>
      </c>
      <c r="N87" t="s">
        <v>929</v>
      </c>
      <c r="O87" t="s">
        <v>820</v>
      </c>
      <c r="P87" t="s">
        <v>305</v>
      </c>
      <c r="Q87" t="s">
        <v>306</v>
      </c>
      <c r="R87" t="s">
        <v>1088</v>
      </c>
      <c r="S87" t="s">
        <v>578</v>
      </c>
      <c r="W87">
        <v>1</v>
      </c>
      <c r="X87" t="s">
        <v>353</v>
      </c>
      <c r="Y87" t="s">
        <v>331</v>
      </c>
    </row>
    <row r="88" spans="1:25" x14ac:dyDescent="0.4">
      <c r="A88" t="s">
        <v>363</v>
      </c>
      <c r="B88">
        <v>590971</v>
      </c>
      <c r="C88" t="s">
        <v>995</v>
      </c>
      <c r="D88">
        <v>20003978</v>
      </c>
      <c r="E88">
        <v>20018147</v>
      </c>
      <c r="F88" t="s">
        <v>954</v>
      </c>
      <c r="G88" t="s">
        <v>380</v>
      </c>
      <c r="H88">
        <v>1869000</v>
      </c>
      <c r="I88" t="s">
        <v>955</v>
      </c>
      <c r="J88" t="s">
        <v>362</v>
      </c>
      <c r="K88">
        <v>3</v>
      </c>
      <c r="L88" t="s">
        <v>852</v>
      </c>
      <c r="M88" t="s">
        <v>956</v>
      </c>
      <c r="N88" t="s">
        <v>957</v>
      </c>
      <c r="O88" t="s">
        <v>820</v>
      </c>
      <c r="P88" t="s">
        <v>305</v>
      </c>
      <c r="Q88" t="s">
        <v>306</v>
      </c>
      <c r="R88" t="s">
        <v>340</v>
      </c>
      <c r="S88" t="s">
        <v>619</v>
      </c>
      <c r="W88">
        <v>1</v>
      </c>
      <c r="X88" t="s">
        <v>353</v>
      </c>
      <c r="Y88" t="s">
        <v>331</v>
      </c>
    </row>
    <row r="89" spans="1:25" x14ac:dyDescent="0.4">
      <c r="A89" t="s">
        <v>363</v>
      </c>
      <c r="B89">
        <v>591610</v>
      </c>
      <c r="C89" t="s">
        <v>978</v>
      </c>
      <c r="D89">
        <v>20018397</v>
      </c>
      <c r="E89">
        <v>10022315</v>
      </c>
      <c r="F89" t="s">
        <v>1089</v>
      </c>
      <c r="G89" t="s">
        <v>460</v>
      </c>
      <c r="H89">
        <v>2089160</v>
      </c>
      <c r="I89" t="s">
        <v>1090</v>
      </c>
      <c r="J89" t="s">
        <v>362</v>
      </c>
      <c r="K89">
        <v>10</v>
      </c>
      <c r="L89" t="s">
        <v>990</v>
      </c>
      <c r="M89" t="s">
        <v>1083</v>
      </c>
      <c r="N89" t="s">
        <v>1084</v>
      </c>
      <c r="O89" t="s">
        <v>819</v>
      </c>
      <c r="P89" t="s">
        <v>450</v>
      </c>
      <c r="Q89" t="s">
        <v>451</v>
      </c>
      <c r="R89" t="s">
        <v>659</v>
      </c>
      <c r="S89" t="s">
        <v>362</v>
      </c>
      <c r="U89">
        <v>20018397</v>
      </c>
      <c r="V89" t="s">
        <v>1089</v>
      </c>
      <c r="W89">
        <v>1</v>
      </c>
      <c r="X89" t="s">
        <v>376</v>
      </c>
      <c r="Y89" t="s">
        <v>263</v>
      </c>
    </row>
    <row r="90" spans="1:25" x14ac:dyDescent="0.4">
      <c r="A90" t="s">
        <v>363</v>
      </c>
      <c r="B90">
        <v>591847</v>
      </c>
      <c r="C90" t="s">
        <v>453</v>
      </c>
      <c r="D90">
        <v>10005838</v>
      </c>
      <c r="E90">
        <v>20018294</v>
      </c>
      <c r="F90" t="s">
        <v>1086</v>
      </c>
      <c r="G90" t="s">
        <v>507</v>
      </c>
      <c r="H90">
        <v>2362404</v>
      </c>
      <c r="I90" t="s">
        <v>1091</v>
      </c>
      <c r="J90" t="s">
        <v>362</v>
      </c>
      <c r="K90">
        <v>3</v>
      </c>
      <c r="L90" t="s">
        <v>852</v>
      </c>
      <c r="M90" t="s">
        <v>1083</v>
      </c>
      <c r="N90" t="s">
        <v>1084</v>
      </c>
      <c r="O90" t="s">
        <v>819</v>
      </c>
      <c r="P90" t="s">
        <v>450</v>
      </c>
      <c r="Q90" t="s">
        <v>451</v>
      </c>
      <c r="R90" t="s">
        <v>280</v>
      </c>
      <c r="S90" t="s">
        <v>362</v>
      </c>
      <c r="U90">
        <v>10005838</v>
      </c>
      <c r="V90" t="s">
        <v>1086</v>
      </c>
      <c r="W90">
        <v>1</v>
      </c>
      <c r="X90" t="s">
        <v>376</v>
      </c>
      <c r="Y90" t="s">
        <v>263</v>
      </c>
    </row>
    <row r="91" spans="1:25" x14ac:dyDescent="0.4">
      <c r="A91" t="s">
        <v>363</v>
      </c>
      <c r="B91">
        <v>591911</v>
      </c>
      <c r="C91" t="s">
        <v>373</v>
      </c>
      <c r="D91">
        <v>10004690</v>
      </c>
      <c r="E91">
        <v>20018426</v>
      </c>
      <c r="F91" t="s">
        <v>1065</v>
      </c>
      <c r="G91" t="s">
        <v>393</v>
      </c>
      <c r="H91">
        <v>1714600</v>
      </c>
      <c r="I91" t="s">
        <v>1066</v>
      </c>
      <c r="J91" t="s">
        <v>362</v>
      </c>
      <c r="K91">
        <v>3</v>
      </c>
      <c r="L91" t="s">
        <v>852</v>
      </c>
      <c r="M91" t="s">
        <v>885</v>
      </c>
      <c r="N91" t="s">
        <v>886</v>
      </c>
      <c r="O91" t="s">
        <v>820</v>
      </c>
      <c r="P91" t="s">
        <v>305</v>
      </c>
      <c r="Q91" t="s">
        <v>306</v>
      </c>
      <c r="R91" t="s">
        <v>659</v>
      </c>
      <c r="S91" t="s">
        <v>1092</v>
      </c>
      <c r="U91">
        <v>10004690</v>
      </c>
      <c r="V91" t="s">
        <v>1065</v>
      </c>
      <c r="W91">
        <v>1</v>
      </c>
      <c r="X91" t="s">
        <v>376</v>
      </c>
      <c r="Y91" t="s">
        <v>263</v>
      </c>
    </row>
    <row r="92" spans="1:25" x14ac:dyDescent="0.4">
      <c r="A92" t="s">
        <v>363</v>
      </c>
      <c r="B92">
        <v>591969</v>
      </c>
      <c r="C92" t="s">
        <v>747</v>
      </c>
      <c r="D92">
        <v>20006277</v>
      </c>
      <c r="E92">
        <v>20018439</v>
      </c>
      <c r="F92" t="s">
        <v>856</v>
      </c>
      <c r="G92" t="s">
        <v>691</v>
      </c>
      <c r="H92">
        <v>1550600</v>
      </c>
      <c r="I92" t="s">
        <v>1093</v>
      </c>
      <c r="J92" t="s">
        <v>464</v>
      </c>
      <c r="K92">
        <v>3</v>
      </c>
      <c r="L92" t="s">
        <v>852</v>
      </c>
      <c r="M92" t="s">
        <v>859</v>
      </c>
      <c r="N92" t="s">
        <v>860</v>
      </c>
      <c r="O92" t="s">
        <v>821</v>
      </c>
      <c r="P92" t="s">
        <v>656</v>
      </c>
      <c r="Q92" t="s">
        <v>657</v>
      </c>
      <c r="R92" t="s">
        <v>1092</v>
      </c>
      <c r="S92" t="s">
        <v>464</v>
      </c>
      <c r="U92">
        <v>20003274</v>
      </c>
      <c r="V92" t="s">
        <v>862</v>
      </c>
      <c r="W92">
        <v>1</v>
      </c>
      <c r="X92" t="s">
        <v>353</v>
      </c>
      <c r="Y92" t="s">
        <v>331</v>
      </c>
    </row>
    <row r="93" spans="1:25" x14ac:dyDescent="0.4">
      <c r="A93" t="s">
        <v>363</v>
      </c>
      <c r="B93">
        <v>592089</v>
      </c>
      <c r="C93" t="s">
        <v>280</v>
      </c>
      <c r="D93">
        <v>20002210</v>
      </c>
      <c r="E93">
        <v>10051271</v>
      </c>
      <c r="F93" t="s">
        <v>877</v>
      </c>
      <c r="G93" t="s">
        <v>577</v>
      </c>
      <c r="H93">
        <v>1802368</v>
      </c>
      <c r="I93" t="s">
        <v>1019</v>
      </c>
      <c r="J93" t="s">
        <v>578</v>
      </c>
      <c r="K93">
        <v>37</v>
      </c>
      <c r="L93" t="s">
        <v>1094</v>
      </c>
      <c r="M93" t="s">
        <v>880</v>
      </c>
      <c r="N93" t="s">
        <v>881</v>
      </c>
      <c r="O93" t="s">
        <v>822</v>
      </c>
      <c r="P93" t="s">
        <v>549</v>
      </c>
      <c r="Q93" t="s">
        <v>550</v>
      </c>
      <c r="R93" t="s">
        <v>578</v>
      </c>
      <c r="S93" t="s">
        <v>578</v>
      </c>
      <c r="U93">
        <v>20002210</v>
      </c>
      <c r="V93" t="s">
        <v>877</v>
      </c>
      <c r="W93">
        <v>1</v>
      </c>
      <c r="X93" t="s">
        <v>220</v>
      </c>
      <c r="Y93" t="s">
        <v>649</v>
      </c>
    </row>
    <row r="94" spans="1:25" x14ac:dyDescent="0.4">
      <c r="A94" t="s">
        <v>363</v>
      </c>
      <c r="B94">
        <v>592117</v>
      </c>
      <c r="C94" t="s">
        <v>683</v>
      </c>
      <c r="D94">
        <v>10004862</v>
      </c>
      <c r="E94">
        <v>20018315</v>
      </c>
      <c r="F94" t="s">
        <v>943</v>
      </c>
      <c r="G94" t="s">
        <v>508</v>
      </c>
      <c r="H94">
        <v>2443700</v>
      </c>
      <c r="I94" t="s">
        <v>1034</v>
      </c>
      <c r="J94" t="s">
        <v>506</v>
      </c>
      <c r="K94">
        <v>3</v>
      </c>
      <c r="L94" t="s">
        <v>852</v>
      </c>
      <c r="M94" t="s">
        <v>946</v>
      </c>
      <c r="N94" t="s">
        <v>947</v>
      </c>
      <c r="O94" t="s">
        <v>819</v>
      </c>
      <c r="P94" t="s">
        <v>446</v>
      </c>
      <c r="Q94" t="s">
        <v>447</v>
      </c>
      <c r="R94" t="s">
        <v>1095</v>
      </c>
      <c r="S94" t="s">
        <v>1096</v>
      </c>
      <c r="W94">
        <v>1</v>
      </c>
      <c r="X94" t="s">
        <v>353</v>
      </c>
      <c r="Y94" t="s">
        <v>331</v>
      </c>
    </row>
    <row r="95" spans="1:25" x14ac:dyDescent="0.4">
      <c r="A95" t="s">
        <v>363</v>
      </c>
      <c r="B95">
        <v>592126</v>
      </c>
      <c r="C95" t="s">
        <v>683</v>
      </c>
      <c r="D95">
        <v>20003059</v>
      </c>
      <c r="E95">
        <v>20018126</v>
      </c>
      <c r="F95" t="s">
        <v>926</v>
      </c>
      <c r="G95" t="s">
        <v>505</v>
      </c>
      <c r="H95">
        <v>2128488</v>
      </c>
      <c r="I95" t="s">
        <v>1097</v>
      </c>
      <c r="J95" t="s">
        <v>506</v>
      </c>
      <c r="K95">
        <v>3</v>
      </c>
      <c r="L95" t="s">
        <v>852</v>
      </c>
      <c r="M95" t="s">
        <v>899</v>
      </c>
      <c r="N95" t="s">
        <v>900</v>
      </c>
      <c r="O95" t="s">
        <v>819</v>
      </c>
      <c r="P95" t="s">
        <v>450</v>
      </c>
      <c r="Q95" t="s">
        <v>451</v>
      </c>
      <c r="R95" t="s">
        <v>379</v>
      </c>
      <c r="S95" t="s">
        <v>506</v>
      </c>
      <c r="W95">
        <v>1</v>
      </c>
      <c r="X95" t="s">
        <v>376</v>
      </c>
      <c r="Y95" t="s">
        <v>263</v>
      </c>
    </row>
    <row r="96" spans="1:25" x14ac:dyDescent="0.4">
      <c r="A96" t="s">
        <v>363</v>
      </c>
      <c r="B96">
        <v>592313</v>
      </c>
      <c r="C96" t="s">
        <v>392</v>
      </c>
      <c r="D96">
        <v>10006257</v>
      </c>
      <c r="E96">
        <v>10027594</v>
      </c>
      <c r="F96" t="s">
        <v>1098</v>
      </c>
      <c r="G96" t="s">
        <v>463</v>
      </c>
      <c r="H96">
        <v>2140608</v>
      </c>
      <c r="I96" t="s">
        <v>1099</v>
      </c>
      <c r="J96" t="s">
        <v>464</v>
      </c>
      <c r="K96">
        <v>16</v>
      </c>
      <c r="L96" t="s">
        <v>890</v>
      </c>
      <c r="M96" t="s">
        <v>1074</v>
      </c>
      <c r="N96" t="s">
        <v>1075</v>
      </c>
      <c r="O96" t="s">
        <v>819</v>
      </c>
      <c r="P96" t="s">
        <v>446</v>
      </c>
      <c r="Q96" t="s">
        <v>447</v>
      </c>
      <c r="R96" t="s">
        <v>1100</v>
      </c>
      <c r="S96" t="s">
        <v>578</v>
      </c>
      <c r="W96">
        <v>1</v>
      </c>
      <c r="X96" t="s">
        <v>376</v>
      </c>
      <c r="Y96" t="s">
        <v>263</v>
      </c>
    </row>
    <row r="97" spans="1:25" x14ac:dyDescent="0.4">
      <c r="A97" t="s">
        <v>363</v>
      </c>
      <c r="B97">
        <v>592316</v>
      </c>
      <c r="C97" t="s">
        <v>392</v>
      </c>
      <c r="D97">
        <v>20018518</v>
      </c>
      <c r="E97">
        <v>20018518</v>
      </c>
      <c r="F97" t="s">
        <v>692</v>
      </c>
      <c r="G97" t="s">
        <v>692</v>
      </c>
      <c r="H97">
        <v>1616700</v>
      </c>
      <c r="I97" t="s">
        <v>1101</v>
      </c>
      <c r="J97" t="s">
        <v>362</v>
      </c>
      <c r="K97">
        <v>45</v>
      </c>
      <c r="L97" t="s">
        <v>858</v>
      </c>
      <c r="M97" t="s">
        <v>1037</v>
      </c>
      <c r="N97" t="s">
        <v>1038</v>
      </c>
      <c r="O97" t="s">
        <v>821</v>
      </c>
      <c r="P97" t="s">
        <v>656</v>
      </c>
      <c r="Q97" t="s">
        <v>657</v>
      </c>
      <c r="R97" t="s">
        <v>466</v>
      </c>
      <c r="S97" t="s">
        <v>1102</v>
      </c>
      <c r="T97" t="s">
        <v>973</v>
      </c>
      <c r="W97">
        <v>1</v>
      </c>
      <c r="X97" t="s">
        <v>376</v>
      </c>
      <c r="Y97" t="s">
        <v>263</v>
      </c>
    </row>
    <row r="98" spans="1:25" x14ac:dyDescent="0.4">
      <c r="A98" t="s">
        <v>363</v>
      </c>
      <c r="B98">
        <v>592581</v>
      </c>
      <c r="C98" t="s">
        <v>283</v>
      </c>
      <c r="D98">
        <v>20005631</v>
      </c>
      <c r="E98">
        <v>10014754</v>
      </c>
      <c r="F98" t="s">
        <v>919</v>
      </c>
      <c r="G98" t="s">
        <v>552</v>
      </c>
      <c r="H98">
        <v>1917760</v>
      </c>
      <c r="I98" t="s">
        <v>1103</v>
      </c>
      <c r="J98" t="s">
        <v>519</v>
      </c>
      <c r="K98">
        <v>16</v>
      </c>
      <c r="L98" t="s">
        <v>890</v>
      </c>
      <c r="M98" t="s">
        <v>1043</v>
      </c>
      <c r="N98" t="s">
        <v>1044</v>
      </c>
      <c r="O98" t="s">
        <v>822</v>
      </c>
      <c r="P98" t="s">
        <v>549</v>
      </c>
      <c r="Q98" t="s">
        <v>550</v>
      </c>
      <c r="R98" t="s">
        <v>283</v>
      </c>
      <c r="S98" t="s">
        <v>1104</v>
      </c>
      <c r="W98">
        <v>1</v>
      </c>
      <c r="X98" t="s">
        <v>376</v>
      </c>
      <c r="Y98" t="s">
        <v>263</v>
      </c>
    </row>
    <row r="99" spans="1:25" x14ac:dyDescent="0.4">
      <c r="A99" t="s">
        <v>363</v>
      </c>
      <c r="B99">
        <v>592593</v>
      </c>
      <c r="C99" t="s">
        <v>283</v>
      </c>
      <c r="D99">
        <v>10005466</v>
      </c>
      <c r="E99">
        <v>20018537</v>
      </c>
      <c r="F99" t="s">
        <v>1105</v>
      </c>
      <c r="G99" t="s">
        <v>626</v>
      </c>
      <c r="H99">
        <v>2070000</v>
      </c>
      <c r="I99" t="s">
        <v>1106</v>
      </c>
      <c r="J99" t="s">
        <v>627</v>
      </c>
      <c r="K99">
        <v>3</v>
      </c>
      <c r="L99" t="s">
        <v>852</v>
      </c>
      <c r="M99" t="s">
        <v>917</v>
      </c>
      <c r="N99" t="s">
        <v>918</v>
      </c>
      <c r="O99" t="s">
        <v>822</v>
      </c>
      <c r="P99" t="s">
        <v>549</v>
      </c>
      <c r="Q99" t="s">
        <v>550</v>
      </c>
      <c r="R99" t="s">
        <v>627</v>
      </c>
      <c r="S99" t="s">
        <v>560</v>
      </c>
      <c r="U99">
        <v>10005466</v>
      </c>
      <c r="V99" t="s">
        <v>1105</v>
      </c>
      <c r="W99">
        <v>1</v>
      </c>
      <c r="X99" t="s">
        <v>353</v>
      </c>
      <c r="Y99" t="s">
        <v>331</v>
      </c>
    </row>
    <row r="100" spans="1:25" x14ac:dyDescent="0.4">
      <c r="A100" t="s">
        <v>363</v>
      </c>
      <c r="B100">
        <v>592624</v>
      </c>
      <c r="C100" t="s">
        <v>283</v>
      </c>
      <c r="D100">
        <v>20018418</v>
      </c>
      <c r="E100">
        <v>20018418</v>
      </c>
      <c r="F100" t="s">
        <v>618</v>
      </c>
      <c r="G100" t="s">
        <v>618</v>
      </c>
      <c r="H100">
        <v>2470000</v>
      </c>
      <c r="I100" t="s">
        <v>1107</v>
      </c>
      <c r="J100" t="s">
        <v>619</v>
      </c>
      <c r="K100">
        <v>3</v>
      </c>
      <c r="L100" t="s">
        <v>852</v>
      </c>
      <c r="M100" t="s">
        <v>917</v>
      </c>
      <c r="N100" t="s">
        <v>918</v>
      </c>
      <c r="O100" t="s">
        <v>822</v>
      </c>
      <c r="P100" t="s">
        <v>549</v>
      </c>
      <c r="Q100" t="s">
        <v>550</v>
      </c>
      <c r="R100" t="s">
        <v>627</v>
      </c>
      <c r="S100" t="s">
        <v>560</v>
      </c>
      <c r="W100">
        <v>1</v>
      </c>
      <c r="X100" t="s">
        <v>353</v>
      </c>
      <c r="Y100" t="s">
        <v>331</v>
      </c>
    </row>
    <row r="101" spans="1:25" x14ac:dyDescent="0.4">
      <c r="A101" t="s">
        <v>363</v>
      </c>
      <c r="B101">
        <v>592656</v>
      </c>
      <c r="C101" t="s">
        <v>466</v>
      </c>
      <c r="D101">
        <v>20002672</v>
      </c>
      <c r="E101">
        <v>20009601</v>
      </c>
      <c r="F101" t="s">
        <v>1108</v>
      </c>
      <c r="G101" t="s">
        <v>595</v>
      </c>
      <c r="H101">
        <v>2284920</v>
      </c>
      <c r="I101" t="s">
        <v>1109</v>
      </c>
      <c r="J101" t="s">
        <v>560</v>
      </c>
      <c r="K101">
        <v>23</v>
      </c>
      <c r="L101" t="s">
        <v>932</v>
      </c>
      <c r="M101" t="s">
        <v>963</v>
      </c>
      <c r="N101" t="s">
        <v>964</v>
      </c>
      <c r="O101" t="s">
        <v>822</v>
      </c>
      <c r="P101" t="s">
        <v>555</v>
      </c>
      <c r="Q101" t="s">
        <v>556</v>
      </c>
      <c r="R101" t="s">
        <v>619</v>
      </c>
      <c r="S101" t="s">
        <v>560</v>
      </c>
      <c r="W101">
        <v>1</v>
      </c>
      <c r="X101" t="s">
        <v>353</v>
      </c>
      <c r="Y101" t="s">
        <v>331</v>
      </c>
    </row>
    <row r="102" spans="1:25" x14ac:dyDescent="0.4">
      <c r="A102" t="s">
        <v>363</v>
      </c>
      <c r="B102">
        <v>592657</v>
      </c>
      <c r="C102" t="s">
        <v>466</v>
      </c>
      <c r="D102">
        <v>10004887</v>
      </c>
      <c r="E102">
        <v>10023268</v>
      </c>
      <c r="F102" t="s">
        <v>1110</v>
      </c>
      <c r="G102" t="s">
        <v>559</v>
      </c>
      <c r="H102">
        <v>2448900</v>
      </c>
      <c r="I102" t="s">
        <v>1109</v>
      </c>
      <c r="J102" t="s">
        <v>560</v>
      </c>
      <c r="K102">
        <v>23</v>
      </c>
      <c r="L102" t="s">
        <v>932</v>
      </c>
      <c r="M102" t="s">
        <v>963</v>
      </c>
      <c r="N102" t="s">
        <v>964</v>
      </c>
      <c r="O102" t="s">
        <v>822</v>
      </c>
      <c r="P102" t="s">
        <v>555</v>
      </c>
      <c r="Q102" t="s">
        <v>556</v>
      </c>
      <c r="R102" t="s">
        <v>619</v>
      </c>
      <c r="S102" t="s">
        <v>619</v>
      </c>
      <c r="W102">
        <v>1</v>
      </c>
      <c r="X102" t="s">
        <v>353</v>
      </c>
      <c r="Y102" t="s">
        <v>331</v>
      </c>
    </row>
    <row r="103" spans="1:25" x14ac:dyDescent="0.4">
      <c r="A103" t="s">
        <v>363</v>
      </c>
      <c r="B103">
        <v>592878</v>
      </c>
      <c r="C103" t="s">
        <v>1088</v>
      </c>
      <c r="D103">
        <v>20004757</v>
      </c>
      <c r="E103">
        <v>20018523</v>
      </c>
      <c r="F103" t="s">
        <v>1111</v>
      </c>
      <c r="G103" t="s">
        <v>778</v>
      </c>
      <c r="H103">
        <v>1304600</v>
      </c>
      <c r="I103" t="s">
        <v>1030</v>
      </c>
      <c r="J103" t="s">
        <v>379</v>
      </c>
      <c r="K103">
        <v>3</v>
      </c>
      <c r="L103" t="s">
        <v>852</v>
      </c>
      <c r="M103" t="s">
        <v>941</v>
      </c>
      <c r="N103" t="s">
        <v>942</v>
      </c>
      <c r="O103" t="s">
        <v>823</v>
      </c>
      <c r="P103" t="s">
        <v>702</v>
      </c>
      <c r="Q103" t="s">
        <v>703</v>
      </c>
      <c r="R103" t="s">
        <v>627</v>
      </c>
      <c r="S103" t="s">
        <v>560</v>
      </c>
      <c r="U103">
        <v>20004757</v>
      </c>
      <c r="V103" t="s">
        <v>1111</v>
      </c>
      <c r="W103">
        <v>1</v>
      </c>
      <c r="X103" t="s">
        <v>353</v>
      </c>
      <c r="Y103" t="s">
        <v>331</v>
      </c>
    </row>
    <row r="104" spans="1:25" x14ac:dyDescent="0.4">
      <c r="A104" t="s">
        <v>363</v>
      </c>
      <c r="B104">
        <v>592880</v>
      </c>
      <c r="C104" t="s">
        <v>379</v>
      </c>
      <c r="D104">
        <v>20006277</v>
      </c>
      <c r="E104">
        <v>20018444</v>
      </c>
      <c r="F104" t="s">
        <v>856</v>
      </c>
      <c r="G104" t="s">
        <v>518</v>
      </c>
      <c r="H104">
        <v>1638444</v>
      </c>
      <c r="I104" t="s">
        <v>1033</v>
      </c>
      <c r="J104" t="s">
        <v>519</v>
      </c>
      <c r="K104">
        <v>3</v>
      </c>
      <c r="L104" t="s">
        <v>852</v>
      </c>
      <c r="M104" t="s">
        <v>991</v>
      </c>
      <c r="N104" t="s">
        <v>992</v>
      </c>
      <c r="O104" t="s">
        <v>819</v>
      </c>
      <c r="P104" t="s">
        <v>450</v>
      </c>
      <c r="Q104" t="s">
        <v>451</v>
      </c>
      <c r="R104" t="s">
        <v>1112</v>
      </c>
      <c r="S104" t="s">
        <v>1104</v>
      </c>
      <c r="U104">
        <v>20002156</v>
      </c>
      <c r="V104" t="s">
        <v>994</v>
      </c>
      <c r="W104">
        <v>1</v>
      </c>
      <c r="X104" t="s">
        <v>376</v>
      </c>
      <c r="Y104" t="s">
        <v>263</v>
      </c>
    </row>
    <row r="105" spans="1:25" x14ac:dyDescent="0.4">
      <c r="A105" t="s">
        <v>363</v>
      </c>
      <c r="B105">
        <v>592920</v>
      </c>
      <c r="C105" t="s">
        <v>1113</v>
      </c>
      <c r="D105">
        <v>10005751</v>
      </c>
      <c r="E105">
        <v>20018235</v>
      </c>
      <c r="F105" t="s">
        <v>1114</v>
      </c>
      <c r="G105" t="s">
        <v>612</v>
      </c>
      <c r="H105">
        <v>3435000</v>
      </c>
      <c r="I105" t="s">
        <v>1019</v>
      </c>
      <c r="J105" t="s">
        <v>560</v>
      </c>
      <c r="K105">
        <v>3</v>
      </c>
      <c r="L105" t="s">
        <v>852</v>
      </c>
      <c r="M105" t="s">
        <v>960</v>
      </c>
      <c r="N105" t="s">
        <v>961</v>
      </c>
      <c r="O105" t="s">
        <v>822</v>
      </c>
      <c r="P105" t="s">
        <v>549</v>
      </c>
      <c r="Q105" t="s">
        <v>550</v>
      </c>
      <c r="R105" t="s">
        <v>619</v>
      </c>
      <c r="S105" t="s">
        <v>560</v>
      </c>
      <c r="W105">
        <v>1</v>
      </c>
      <c r="X105" t="s">
        <v>220</v>
      </c>
      <c r="Y105" t="s">
        <v>649</v>
      </c>
    </row>
    <row r="106" spans="1:25" x14ac:dyDescent="0.4">
      <c r="A106" t="s">
        <v>376</v>
      </c>
      <c r="B106">
        <v>591817</v>
      </c>
      <c r="C106" t="s">
        <v>277</v>
      </c>
      <c r="D106">
        <v>10006039</v>
      </c>
      <c r="E106">
        <v>20018431</v>
      </c>
      <c r="F106" t="s">
        <v>1115</v>
      </c>
      <c r="G106" t="s">
        <v>515</v>
      </c>
      <c r="H106">
        <v>1464600</v>
      </c>
      <c r="I106" t="s">
        <v>1116</v>
      </c>
      <c r="J106" t="s">
        <v>384</v>
      </c>
      <c r="K106">
        <v>3</v>
      </c>
      <c r="L106" t="s">
        <v>852</v>
      </c>
      <c r="M106" t="s">
        <v>976</v>
      </c>
      <c r="N106" t="s">
        <v>977</v>
      </c>
      <c r="O106" t="s">
        <v>819</v>
      </c>
      <c r="P106" t="s">
        <v>446</v>
      </c>
      <c r="Q106" t="s">
        <v>447</v>
      </c>
      <c r="R106" t="s">
        <v>560</v>
      </c>
      <c r="S106" t="s">
        <v>486</v>
      </c>
      <c r="W106">
        <v>1</v>
      </c>
      <c r="X106" t="s">
        <v>353</v>
      </c>
      <c r="Y106" t="s">
        <v>331</v>
      </c>
    </row>
    <row r="107" spans="1:25" x14ac:dyDescent="0.4">
      <c r="A107" t="s">
        <v>376</v>
      </c>
      <c r="B107">
        <v>592213</v>
      </c>
      <c r="C107" t="s">
        <v>386</v>
      </c>
      <c r="D107">
        <v>20003978</v>
      </c>
      <c r="E107">
        <v>20018227</v>
      </c>
      <c r="F107" t="s">
        <v>954</v>
      </c>
      <c r="G107" t="s">
        <v>383</v>
      </c>
      <c r="H107">
        <v>2488368</v>
      </c>
      <c r="I107" t="s">
        <v>1117</v>
      </c>
      <c r="J107" t="s">
        <v>384</v>
      </c>
      <c r="K107">
        <v>3</v>
      </c>
      <c r="L107" t="s">
        <v>852</v>
      </c>
      <c r="M107" t="s">
        <v>885</v>
      </c>
      <c r="N107" t="s">
        <v>886</v>
      </c>
      <c r="O107" t="s">
        <v>820</v>
      </c>
      <c r="P107" t="s">
        <v>305</v>
      </c>
      <c r="Q107" t="s">
        <v>306</v>
      </c>
      <c r="R107" t="s">
        <v>1118</v>
      </c>
      <c r="S107" t="s">
        <v>1119</v>
      </c>
      <c r="W107">
        <v>1</v>
      </c>
      <c r="X107" t="s">
        <v>353</v>
      </c>
      <c r="Y107" t="s">
        <v>331</v>
      </c>
    </row>
    <row r="108" spans="1:25" x14ac:dyDescent="0.4">
      <c r="A108" t="s">
        <v>376</v>
      </c>
      <c r="B108">
        <v>592474</v>
      </c>
      <c r="C108" t="s">
        <v>510</v>
      </c>
      <c r="D108">
        <v>10005726</v>
      </c>
      <c r="E108">
        <v>20018105</v>
      </c>
      <c r="F108" t="s">
        <v>1120</v>
      </c>
      <c r="G108" t="s">
        <v>374</v>
      </c>
      <c r="H108">
        <v>1860648</v>
      </c>
      <c r="I108" t="s">
        <v>927</v>
      </c>
      <c r="J108" t="s">
        <v>375</v>
      </c>
      <c r="K108">
        <v>3</v>
      </c>
      <c r="L108" t="s">
        <v>852</v>
      </c>
      <c r="M108" t="s">
        <v>928</v>
      </c>
      <c r="N108" t="s">
        <v>929</v>
      </c>
      <c r="O108" t="s">
        <v>820</v>
      </c>
      <c r="P108" t="s">
        <v>305</v>
      </c>
      <c r="Q108" t="s">
        <v>306</v>
      </c>
      <c r="R108" t="s">
        <v>1121</v>
      </c>
      <c r="S108" t="s">
        <v>482</v>
      </c>
      <c r="U108">
        <v>10005726</v>
      </c>
      <c r="V108" t="s">
        <v>1120</v>
      </c>
      <c r="W108">
        <v>1</v>
      </c>
      <c r="X108" t="s">
        <v>220</v>
      </c>
      <c r="Y108" t="s">
        <v>649</v>
      </c>
    </row>
    <row r="109" spans="1:25" x14ac:dyDescent="0.4">
      <c r="A109" t="s">
        <v>376</v>
      </c>
      <c r="B109">
        <v>592498</v>
      </c>
      <c r="C109" t="s">
        <v>564</v>
      </c>
      <c r="D109">
        <v>20002218</v>
      </c>
      <c r="E109">
        <v>20018526</v>
      </c>
      <c r="F109" t="s">
        <v>868</v>
      </c>
      <c r="G109" t="s">
        <v>398</v>
      </c>
      <c r="H109">
        <v>1552600</v>
      </c>
      <c r="I109" t="s">
        <v>1122</v>
      </c>
      <c r="J109" t="s">
        <v>384</v>
      </c>
      <c r="K109">
        <v>3</v>
      </c>
      <c r="L109" t="s">
        <v>852</v>
      </c>
      <c r="M109" t="s">
        <v>935</v>
      </c>
      <c r="N109" t="s">
        <v>936</v>
      </c>
      <c r="O109" t="s">
        <v>820</v>
      </c>
      <c r="P109" t="s">
        <v>305</v>
      </c>
      <c r="Q109" t="s">
        <v>306</v>
      </c>
      <c r="R109" t="s">
        <v>466</v>
      </c>
      <c r="S109" t="s">
        <v>1119</v>
      </c>
      <c r="U109">
        <v>10006081</v>
      </c>
      <c r="V109" t="s">
        <v>1123</v>
      </c>
      <c r="W109">
        <v>1</v>
      </c>
      <c r="X109" t="s">
        <v>376</v>
      </c>
      <c r="Y109" t="s">
        <v>263</v>
      </c>
    </row>
    <row r="110" spans="1:25" x14ac:dyDescent="0.4">
      <c r="A110" t="s">
        <v>376</v>
      </c>
      <c r="B110">
        <v>592572</v>
      </c>
      <c r="C110" t="s">
        <v>1047</v>
      </c>
      <c r="D110">
        <v>20002218</v>
      </c>
      <c r="E110">
        <v>20018522</v>
      </c>
      <c r="F110" t="s">
        <v>868</v>
      </c>
      <c r="G110" t="s">
        <v>397</v>
      </c>
      <c r="H110">
        <v>1204600</v>
      </c>
      <c r="I110" t="s">
        <v>162</v>
      </c>
      <c r="J110" t="s">
        <v>384</v>
      </c>
      <c r="K110">
        <v>3</v>
      </c>
      <c r="L110" t="s">
        <v>852</v>
      </c>
      <c r="M110" t="s">
        <v>935</v>
      </c>
      <c r="N110" t="s">
        <v>936</v>
      </c>
      <c r="O110" t="s">
        <v>820</v>
      </c>
      <c r="P110" t="s">
        <v>305</v>
      </c>
      <c r="Q110" t="s">
        <v>306</v>
      </c>
      <c r="R110" t="s">
        <v>1088</v>
      </c>
      <c r="S110" t="s">
        <v>1119</v>
      </c>
      <c r="U110">
        <v>10004790</v>
      </c>
      <c r="V110" t="s">
        <v>1124</v>
      </c>
      <c r="W110">
        <v>1</v>
      </c>
      <c r="X110" t="s">
        <v>376</v>
      </c>
      <c r="Y110" t="s">
        <v>263</v>
      </c>
    </row>
    <row r="111" spans="1:25" x14ac:dyDescent="0.4">
      <c r="A111" t="s">
        <v>376</v>
      </c>
      <c r="B111">
        <v>592640</v>
      </c>
      <c r="C111" t="s">
        <v>283</v>
      </c>
      <c r="D111">
        <v>10006495</v>
      </c>
      <c r="E111">
        <v>20018532</v>
      </c>
      <c r="F111" t="s">
        <v>1125</v>
      </c>
      <c r="G111" t="s">
        <v>624</v>
      </c>
      <c r="H111">
        <v>1820064</v>
      </c>
      <c r="I111" t="s">
        <v>1106</v>
      </c>
      <c r="J111" t="s">
        <v>625</v>
      </c>
      <c r="K111">
        <v>3</v>
      </c>
      <c r="L111" t="s">
        <v>852</v>
      </c>
      <c r="M111" t="s">
        <v>960</v>
      </c>
      <c r="N111" t="s">
        <v>961</v>
      </c>
      <c r="O111" t="s">
        <v>822</v>
      </c>
      <c r="P111" t="s">
        <v>549</v>
      </c>
      <c r="Q111" t="s">
        <v>550</v>
      </c>
      <c r="R111" t="s">
        <v>625</v>
      </c>
      <c r="S111" t="s">
        <v>482</v>
      </c>
      <c r="U111">
        <v>10006495</v>
      </c>
      <c r="V111" t="s">
        <v>1125</v>
      </c>
      <c r="W111">
        <v>1</v>
      </c>
      <c r="X111" t="s">
        <v>203</v>
      </c>
      <c r="Y111" t="s">
        <v>1126</v>
      </c>
    </row>
    <row r="112" spans="1:25" x14ac:dyDescent="0.4">
      <c r="A112" t="s">
        <v>376</v>
      </c>
      <c r="B112">
        <v>592731</v>
      </c>
      <c r="C112" t="s">
        <v>1092</v>
      </c>
      <c r="D112">
        <v>10004887</v>
      </c>
      <c r="E112">
        <v>20018324</v>
      </c>
      <c r="F112" t="s">
        <v>1110</v>
      </c>
      <c r="G112" t="s">
        <v>615</v>
      </c>
      <c r="H112">
        <v>2823100</v>
      </c>
      <c r="I112" t="s">
        <v>1109</v>
      </c>
      <c r="J112" t="s">
        <v>614</v>
      </c>
      <c r="K112">
        <v>3</v>
      </c>
      <c r="L112" t="s">
        <v>852</v>
      </c>
      <c r="M112" t="s">
        <v>963</v>
      </c>
      <c r="N112" t="s">
        <v>964</v>
      </c>
      <c r="O112" t="s">
        <v>822</v>
      </c>
      <c r="P112" t="s">
        <v>555</v>
      </c>
      <c r="Q112" t="s">
        <v>556</v>
      </c>
      <c r="R112" t="s">
        <v>1119</v>
      </c>
      <c r="S112" t="s">
        <v>1127</v>
      </c>
      <c r="W112">
        <v>1</v>
      </c>
      <c r="X112" t="s">
        <v>220</v>
      </c>
      <c r="Y112" t="s">
        <v>649</v>
      </c>
    </row>
    <row r="113" spans="1:25" x14ac:dyDescent="0.4">
      <c r="A113" t="s">
        <v>376</v>
      </c>
      <c r="B113">
        <v>592769</v>
      </c>
      <c r="C113" t="s">
        <v>1102</v>
      </c>
      <c r="D113">
        <v>20005670</v>
      </c>
      <c r="E113">
        <v>10074504</v>
      </c>
      <c r="F113" t="s">
        <v>954</v>
      </c>
      <c r="G113" t="s">
        <v>728</v>
      </c>
      <c r="H113">
        <v>2186800</v>
      </c>
      <c r="I113" t="s">
        <v>912</v>
      </c>
      <c r="J113" t="s">
        <v>729</v>
      </c>
      <c r="K113">
        <v>16</v>
      </c>
      <c r="L113" t="s">
        <v>890</v>
      </c>
      <c r="M113" t="s">
        <v>913</v>
      </c>
      <c r="N113" t="s">
        <v>914</v>
      </c>
      <c r="O113" t="s">
        <v>823</v>
      </c>
      <c r="P113" t="s">
        <v>702</v>
      </c>
      <c r="Q113" t="s">
        <v>703</v>
      </c>
      <c r="R113" t="s">
        <v>1128</v>
      </c>
      <c r="S113" t="s">
        <v>482</v>
      </c>
      <c r="W113">
        <v>1</v>
      </c>
      <c r="X113" t="s">
        <v>353</v>
      </c>
      <c r="Y113" t="s">
        <v>331</v>
      </c>
    </row>
    <row r="114" spans="1:25" x14ac:dyDescent="0.4">
      <c r="A114" t="s">
        <v>376</v>
      </c>
      <c r="B114">
        <v>592821</v>
      </c>
      <c r="C114" t="s">
        <v>464</v>
      </c>
      <c r="D114">
        <v>20002218</v>
      </c>
      <c r="E114">
        <v>20018556</v>
      </c>
      <c r="F114" t="s">
        <v>868</v>
      </c>
      <c r="G114" t="s">
        <v>399</v>
      </c>
      <c r="H114">
        <v>2029784</v>
      </c>
      <c r="I114" t="s">
        <v>955</v>
      </c>
      <c r="J114" t="s">
        <v>400</v>
      </c>
      <c r="K114">
        <v>3</v>
      </c>
      <c r="L114" t="s">
        <v>852</v>
      </c>
      <c r="M114" t="s">
        <v>956</v>
      </c>
      <c r="N114" t="s">
        <v>957</v>
      </c>
      <c r="O114" t="s">
        <v>820</v>
      </c>
      <c r="P114" t="s">
        <v>305</v>
      </c>
      <c r="Q114" t="s">
        <v>306</v>
      </c>
      <c r="R114" t="s">
        <v>375</v>
      </c>
      <c r="S114" t="s">
        <v>482</v>
      </c>
      <c r="U114">
        <v>10004766</v>
      </c>
      <c r="V114" t="s">
        <v>1129</v>
      </c>
      <c r="W114">
        <v>1</v>
      </c>
      <c r="X114" t="s">
        <v>220</v>
      </c>
      <c r="Y114" t="s">
        <v>649</v>
      </c>
    </row>
    <row r="115" spans="1:25" x14ac:dyDescent="0.4">
      <c r="A115" t="s">
        <v>376</v>
      </c>
      <c r="B115">
        <v>592828</v>
      </c>
      <c r="C115" t="s">
        <v>464</v>
      </c>
      <c r="D115">
        <v>10006614</v>
      </c>
      <c r="E115">
        <v>20018297</v>
      </c>
      <c r="F115" t="s">
        <v>1062</v>
      </c>
      <c r="G115" t="s">
        <v>613</v>
      </c>
      <c r="H115">
        <v>2197168</v>
      </c>
      <c r="I115" t="s">
        <v>1130</v>
      </c>
      <c r="J115" t="s">
        <v>614</v>
      </c>
      <c r="K115">
        <v>3</v>
      </c>
      <c r="L115" t="s">
        <v>852</v>
      </c>
      <c r="M115" t="s">
        <v>1043</v>
      </c>
      <c r="N115" t="s">
        <v>1044</v>
      </c>
      <c r="O115" t="s">
        <v>822</v>
      </c>
      <c r="P115" t="s">
        <v>549</v>
      </c>
      <c r="Q115" t="s">
        <v>550</v>
      </c>
      <c r="R115" t="s">
        <v>384</v>
      </c>
      <c r="S115" t="s">
        <v>1127</v>
      </c>
      <c r="U115">
        <v>10006614</v>
      </c>
      <c r="V115" t="s">
        <v>1062</v>
      </c>
      <c r="W115">
        <v>1</v>
      </c>
      <c r="X115" t="s">
        <v>353</v>
      </c>
      <c r="Y115" t="s">
        <v>331</v>
      </c>
    </row>
    <row r="116" spans="1:25" x14ac:dyDescent="0.4">
      <c r="A116" t="s">
        <v>376</v>
      </c>
      <c r="B116">
        <v>592857</v>
      </c>
      <c r="C116" t="s">
        <v>1088</v>
      </c>
      <c r="D116">
        <v>10005493</v>
      </c>
      <c r="E116">
        <v>20018406</v>
      </c>
      <c r="F116" t="s">
        <v>1131</v>
      </c>
      <c r="G116" t="s">
        <v>772</v>
      </c>
      <c r="H116">
        <v>2234432</v>
      </c>
      <c r="I116" t="s">
        <v>1132</v>
      </c>
      <c r="J116" t="s">
        <v>400</v>
      </c>
      <c r="K116">
        <v>3</v>
      </c>
      <c r="L116" t="s">
        <v>852</v>
      </c>
      <c r="M116" t="s">
        <v>941</v>
      </c>
      <c r="N116" t="s">
        <v>942</v>
      </c>
      <c r="O116" t="s">
        <v>823</v>
      </c>
      <c r="P116" t="s">
        <v>702</v>
      </c>
      <c r="Q116" t="s">
        <v>703</v>
      </c>
      <c r="R116" t="s">
        <v>695</v>
      </c>
      <c r="S116" t="s">
        <v>482</v>
      </c>
      <c r="U116">
        <v>10005493</v>
      </c>
      <c r="V116" t="s">
        <v>1131</v>
      </c>
      <c r="W116">
        <v>1</v>
      </c>
      <c r="X116" t="s">
        <v>220</v>
      </c>
      <c r="Y116" t="s">
        <v>649</v>
      </c>
    </row>
    <row r="117" spans="1:25" x14ac:dyDescent="0.4">
      <c r="A117" t="s">
        <v>376</v>
      </c>
      <c r="B117">
        <v>592885</v>
      </c>
      <c r="C117" t="s">
        <v>379</v>
      </c>
      <c r="D117">
        <v>20006277</v>
      </c>
      <c r="E117">
        <v>20018551</v>
      </c>
      <c r="F117" t="s">
        <v>856</v>
      </c>
      <c r="G117" t="s">
        <v>520</v>
      </c>
      <c r="H117">
        <v>2705004</v>
      </c>
      <c r="I117" t="s">
        <v>1033</v>
      </c>
      <c r="J117" t="s">
        <v>384</v>
      </c>
      <c r="K117">
        <v>3</v>
      </c>
      <c r="L117" t="s">
        <v>852</v>
      </c>
      <c r="M117" t="s">
        <v>991</v>
      </c>
      <c r="N117" t="s">
        <v>992</v>
      </c>
      <c r="O117" t="s">
        <v>819</v>
      </c>
      <c r="P117" t="s">
        <v>450</v>
      </c>
      <c r="Q117" t="s">
        <v>451</v>
      </c>
      <c r="R117" t="s">
        <v>1104</v>
      </c>
      <c r="S117" t="s">
        <v>1128</v>
      </c>
      <c r="U117">
        <v>20002102</v>
      </c>
      <c r="V117" t="s">
        <v>1133</v>
      </c>
      <c r="W117">
        <v>1</v>
      </c>
      <c r="X117" t="s">
        <v>376</v>
      </c>
      <c r="Y117" t="s">
        <v>263</v>
      </c>
    </row>
    <row r="118" spans="1:25" x14ac:dyDescent="0.4">
      <c r="A118" t="s">
        <v>376</v>
      </c>
      <c r="B118">
        <v>592907</v>
      </c>
      <c r="C118" t="s">
        <v>1113</v>
      </c>
      <c r="D118">
        <v>10004696</v>
      </c>
      <c r="E118">
        <v>10092784</v>
      </c>
      <c r="F118" t="s">
        <v>1134</v>
      </c>
      <c r="G118" t="s">
        <v>485</v>
      </c>
      <c r="H118">
        <v>2598284</v>
      </c>
      <c r="I118" t="s">
        <v>1071</v>
      </c>
      <c r="J118" t="s">
        <v>486</v>
      </c>
      <c r="K118">
        <v>18</v>
      </c>
      <c r="L118" t="s">
        <v>1135</v>
      </c>
      <c r="M118" t="s">
        <v>991</v>
      </c>
      <c r="N118" t="s">
        <v>992</v>
      </c>
      <c r="O118" t="s">
        <v>819</v>
      </c>
      <c r="P118" t="s">
        <v>450</v>
      </c>
      <c r="Q118" t="s">
        <v>451</v>
      </c>
      <c r="R118" t="s">
        <v>1119</v>
      </c>
      <c r="S118" t="s">
        <v>614</v>
      </c>
      <c r="U118">
        <v>10004696</v>
      </c>
      <c r="V118" t="s">
        <v>1134</v>
      </c>
      <c r="W118">
        <v>1</v>
      </c>
      <c r="X118" t="s">
        <v>376</v>
      </c>
      <c r="Y118" t="s">
        <v>263</v>
      </c>
    </row>
    <row r="119" spans="1:25" x14ac:dyDescent="0.4">
      <c r="A119" t="s">
        <v>376</v>
      </c>
      <c r="B119">
        <v>592942</v>
      </c>
      <c r="C119" t="s">
        <v>1136</v>
      </c>
      <c r="D119">
        <v>20002218</v>
      </c>
      <c r="E119">
        <v>20018699</v>
      </c>
      <c r="F119" t="s">
        <v>868</v>
      </c>
      <c r="G119" t="s">
        <v>521</v>
      </c>
      <c r="H119">
        <v>1780520</v>
      </c>
      <c r="I119" t="s">
        <v>1137</v>
      </c>
      <c r="J119" t="s">
        <v>522</v>
      </c>
      <c r="K119">
        <v>3</v>
      </c>
      <c r="L119" t="s">
        <v>852</v>
      </c>
      <c r="M119" t="s">
        <v>1074</v>
      </c>
      <c r="N119" t="s">
        <v>1075</v>
      </c>
      <c r="O119" t="s">
        <v>819</v>
      </c>
      <c r="P119" t="s">
        <v>446</v>
      </c>
      <c r="Q119" t="s">
        <v>447</v>
      </c>
      <c r="R119" t="s">
        <v>1138</v>
      </c>
      <c r="S119" t="s">
        <v>614</v>
      </c>
      <c r="U119">
        <v>10004793</v>
      </c>
      <c r="V119" t="s">
        <v>1139</v>
      </c>
      <c r="W119">
        <v>1</v>
      </c>
      <c r="X119" t="s">
        <v>353</v>
      </c>
      <c r="Y119" t="s">
        <v>331</v>
      </c>
    </row>
    <row r="120" spans="1:25" x14ac:dyDescent="0.4">
      <c r="A120" t="s">
        <v>376</v>
      </c>
      <c r="B120">
        <v>593049</v>
      </c>
      <c r="C120" t="s">
        <v>1104</v>
      </c>
      <c r="D120">
        <v>20002746</v>
      </c>
      <c r="E120">
        <v>20018710</v>
      </c>
      <c r="F120" t="s">
        <v>921</v>
      </c>
      <c r="G120" t="s">
        <v>694</v>
      </c>
      <c r="H120">
        <v>1806880</v>
      </c>
      <c r="I120" t="s">
        <v>1140</v>
      </c>
      <c r="J120" t="s">
        <v>695</v>
      </c>
      <c r="K120">
        <v>3</v>
      </c>
      <c r="L120" t="s">
        <v>852</v>
      </c>
      <c r="M120" t="s">
        <v>924</v>
      </c>
      <c r="N120" t="s">
        <v>925</v>
      </c>
      <c r="O120" t="s">
        <v>821</v>
      </c>
      <c r="P120" t="s">
        <v>664</v>
      </c>
      <c r="Q120" t="s">
        <v>665</v>
      </c>
      <c r="R120" t="s">
        <v>486</v>
      </c>
      <c r="S120" t="s">
        <v>695</v>
      </c>
      <c r="U120">
        <v>20002746</v>
      </c>
      <c r="V120" t="s">
        <v>921</v>
      </c>
      <c r="W120">
        <v>1</v>
      </c>
      <c r="X120" t="s">
        <v>353</v>
      </c>
      <c r="Y120" t="s">
        <v>331</v>
      </c>
    </row>
    <row r="121" spans="1:25" x14ac:dyDescent="0.4">
      <c r="A121" t="s">
        <v>376</v>
      </c>
      <c r="B121">
        <v>593146</v>
      </c>
      <c r="C121" t="s">
        <v>560</v>
      </c>
      <c r="D121">
        <v>10004863</v>
      </c>
      <c r="E121">
        <v>10082957</v>
      </c>
      <c r="F121" t="s">
        <v>1003</v>
      </c>
      <c r="G121" t="s">
        <v>481</v>
      </c>
      <c r="H121">
        <v>2496264</v>
      </c>
      <c r="I121" t="s">
        <v>969</v>
      </c>
      <c r="J121" t="s">
        <v>482</v>
      </c>
      <c r="K121">
        <v>13</v>
      </c>
      <c r="L121" t="s">
        <v>1011</v>
      </c>
      <c r="M121" t="s">
        <v>899</v>
      </c>
      <c r="N121" t="s">
        <v>900</v>
      </c>
      <c r="O121" t="s">
        <v>819</v>
      </c>
      <c r="P121" t="s">
        <v>450</v>
      </c>
      <c r="Q121" t="s">
        <v>451</v>
      </c>
      <c r="R121" t="s">
        <v>375</v>
      </c>
      <c r="S121" t="s">
        <v>482</v>
      </c>
      <c r="W121">
        <v>1</v>
      </c>
      <c r="X121" t="s">
        <v>220</v>
      </c>
      <c r="Y121" t="s">
        <v>649</v>
      </c>
    </row>
    <row r="122" spans="1:25" x14ac:dyDescent="0.4">
      <c r="A122" t="s">
        <v>376</v>
      </c>
      <c r="B122">
        <v>593216</v>
      </c>
      <c r="C122" t="s">
        <v>486</v>
      </c>
      <c r="D122">
        <v>20003884</v>
      </c>
      <c r="E122">
        <v>20018516</v>
      </c>
      <c r="F122" t="s">
        <v>940</v>
      </c>
      <c r="G122" t="s">
        <v>777</v>
      </c>
      <c r="H122">
        <v>1846488</v>
      </c>
      <c r="I122" t="s">
        <v>1141</v>
      </c>
      <c r="J122" t="s">
        <v>375</v>
      </c>
      <c r="K122">
        <v>3</v>
      </c>
      <c r="L122" t="s">
        <v>852</v>
      </c>
      <c r="M122" t="s">
        <v>941</v>
      </c>
      <c r="N122" t="s">
        <v>942</v>
      </c>
      <c r="O122" t="s">
        <v>823</v>
      </c>
      <c r="P122" t="s">
        <v>702</v>
      </c>
      <c r="Q122" t="s">
        <v>703</v>
      </c>
      <c r="R122" t="s">
        <v>1142</v>
      </c>
      <c r="S122" t="s">
        <v>482</v>
      </c>
      <c r="U122">
        <v>20003884</v>
      </c>
      <c r="V122" t="s">
        <v>940</v>
      </c>
      <c r="W122">
        <v>1</v>
      </c>
      <c r="X122" t="s">
        <v>220</v>
      </c>
      <c r="Y122" t="s">
        <v>649</v>
      </c>
    </row>
    <row r="123" spans="1:25" x14ac:dyDescent="0.4">
      <c r="A123" t="s">
        <v>376</v>
      </c>
      <c r="B123">
        <v>593236</v>
      </c>
      <c r="C123" t="s">
        <v>614</v>
      </c>
      <c r="D123">
        <v>20006277</v>
      </c>
      <c r="E123">
        <v>20013704</v>
      </c>
      <c r="F123" t="s">
        <v>856</v>
      </c>
      <c r="G123" t="s">
        <v>748</v>
      </c>
      <c r="H123">
        <v>1354600</v>
      </c>
      <c r="I123" t="s">
        <v>45</v>
      </c>
      <c r="J123" t="s">
        <v>729</v>
      </c>
      <c r="K123">
        <v>25</v>
      </c>
      <c r="L123" t="s">
        <v>879</v>
      </c>
      <c r="M123" t="s">
        <v>1012</v>
      </c>
      <c r="N123" t="s">
        <v>1013</v>
      </c>
      <c r="O123" t="s">
        <v>823</v>
      </c>
      <c r="P123" t="s">
        <v>702</v>
      </c>
      <c r="Q123" t="s">
        <v>703</v>
      </c>
      <c r="R123" t="s">
        <v>1128</v>
      </c>
      <c r="S123" t="s">
        <v>1121</v>
      </c>
      <c r="U123">
        <v>10004782</v>
      </c>
      <c r="V123" t="s">
        <v>1143</v>
      </c>
      <c r="W123">
        <v>1</v>
      </c>
      <c r="X123" t="s">
        <v>220</v>
      </c>
      <c r="Y123" t="s">
        <v>649</v>
      </c>
    </row>
    <row r="124" spans="1:25" x14ac:dyDescent="0.4">
      <c r="A124" t="s">
        <v>353</v>
      </c>
      <c r="B124">
        <v>591133</v>
      </c>
      <c r="C124" t="s">
        <v>591</v>
      </c>
      <c r="D124">
        <v>10005726</v>
      </c>
      <c r="E124">
        <v>20017755</v>
      </c>
      <c r="F124" t="s">
        <v>1120</v>
      </c>
      <c r="G124" t="s">
        <v>364</v>
      </c>
      <c r="H124">
        <v>2016984</v>
      </c>
      <c r="I124" t="s">
        <v>1144</v>
      </c>
      <c r="J124" t="s">
        <v>365</v>
      </c>
      <c r="K124">
        <v>3</v>
      </c>
      <c r="L124" t="s">
        <v>852</v>
      </c>
      <c r="M124" t="s">
        <v>928</v>
      </c>
      <c r="N124" t="s">
        <v>929</v>
      </c>
      <c r="O124" t="s">
        <v>820</v>
      </c>
      <c r="P124" t="s">
        <v>305</v>
      </c>
      <c r="Q124" t="s">
        <v>306</v>
      </c>
      <c r="R124" t="s">
        <v>365</v>
      </c>
      <c r="S124" t="s">
        <v>756</v>
      </c>
      <c r="U124">
        <v>10005726</v>
      </c>
      <c r="V124" t="s">
        <v>1120</v>
      </c>
      <c r="W124">
        <v>1</v>
      </c>
      <c r="X124" t="s">
        <v>203</v>
      </c>
      <c r="Y124" t="s">
        <v>1126</v>
      </c>
    </row>
    <row r="125" spans="1:25" x14ac:dyDescent="0.4">
      <c r="A125" t="s">
        <v>353</v>
      </c>
      <c r="B125">
        <v>591492</v>
      </c>
      <c r="C125" t="s">
        <v>466</v>
      </c>
      <c r="D125">
        <v>10004856</v>
      </c>
      <c r="E125">
        <v>20009907</v>
      </c>
      <c r="F125" t="s">
        <v>1039</v>
      </c>
      <c r="G125" t="s">
        <v>351</v>
      </c>
      <c r="H125">
        <v>2300000</v>
      </c>
      <c r="I125" t="s">
        <v>934</v>
      </c>
      <c r="J125" t="s">
        <v>352</v>
      </c>
      <c r="K125">
        <v>3</v>
      </c>
      <c r="L125" t="s">
        <v>852</v>
      </c>
      <c r="M125" t="s">
        <v>935</v>
      </c>
      <c r="N125" t="s">
        <v>936</v>
      </c>
      <c r="O125" t="s">
        <v>820</v>
      </c>
      <c r="P125" t="s">
        <v>305</v>
      </c>
      <c r="Q125" t="s">
        <v>306</v>
      </c>
      <c r="R125" t="s">
        <v>522</v>
      </c>
      <c r="S125" t="s">
        <v>1145</v>
      </c>
      <c r="U125">
        <v>20010292</v>
      </c>
      <c r="V125" t="s">
        <v>1146</v>
      </c>
      <c r="W125">
        <v>1</v>
      </c>
      <c r="X125" t="s">
        <v>220</v>
      </c>
      <c r="Y125" t="s">
        <v>649</v>
      </c>
    </row>
    <row r="126" spans="1:25" x14ac:dyDescent="0.4">
      <c r="A126" t="s">
        <v>353</v>
      </c>
      <c r="B126">
        <v>592696</v>
      </c>
      <c r="C126" t="s">
        <v>362</v>
      </c>
      <c r="D126">
        <v>10006280</v>
      </c>
      <c r="E126">
        <v>20018539</v>
      </c>
      <c r="F126" t="s">
        <v>1053</v>
      </c>
      <c r="G126" t="s">
        <v>693</v>
      </c>
      <c r="H126">
        <v>2000184</v>
      </c>
      <c r="I126" t="s">
        <v>1026</v>
      </c>
      <c r="J126" t="s">
        <v>587</v>
      </c>
      <c r="K126">
        <v>0</v>
      </c>
      <c r="L126" t="s">
        <v>1035</v>
      </c>
      <c r="M126" t="s">
        <v>1147</v>
      </c>
      <c r="N126" t="s">
        <v>1148</v>
      </c>
      <c r="O126" t="s">
        <v>821</v>
      </c>
      <c r="P126" t="s">
        <v>656</v>
      </c>
      <c r="Q126" t="s">
        <v>657</v>
      </c>
      <c r="R126" t="s">
        <v>1149</v>
      </c>
      <c r="S126" t="s">
        <v>407</v>
      </c>
      <c r="U126">
        <v>10006280</v>
      </c>
      <c r="V126" t="s">
        <v>1053</v>
      </c>
      <c r="W126">
        <v>1</v>
      </c>
      <c r="X126" t="s">
        <v>203</v>
      </c>
      <c r="Y126" t="s">
        <v>1126</v>
      </c>
    </row>
    <row r="127" spans="1:25" x14ac:dyDescent="0.4">
      <c r="A127" t="s">
        <v>353</v>
      </c>
      <c r="B127">
        <v>592981</v>
      </c>
      <c r="C127" t="s">
        <v>1150</v>
      </c>
      <c r="D127">
        <v>20018430</v>
      </c>
      <c r="E127">
        <v>20018430</v>
      </c>
      <c r="F127" t="s">
        <v>394</v>
      </c>
      <c r="G127" t="s">
        <v>394</v>
      </c>
      <c r="H127">
        <v>2368008</v>
      </c>
      <c r="I127" t="s">
        <v>1151</v>
      </c>
      <c r="J127" t="s">
        <v>352</v>
      </c>
      <c r="K127">
        <v>3</v>
      </c>
      <c r="L127" t="s">
        <v>852</v>
      </c>
      <c r="M127" t="s">
        <v>885</v>
      </c>
      <c r="N127" t="s">
        <v>886</v>
      </c>
      <c r="O127" t="s">
        <v>820</v>
      </c>
      <c r="P127" t="s">
        <v>305</v>
      </c>
      <c r="Q127" t="s">
        <v>306</v>
      </c>
      <c r="R127" t="s">
        <v>1104</v>
      </c>
      <c r="S127" t="s">
        <v>1152</v>
      </c>
      <c r="W127">
        <v>1</v>
      </c>
      <c r="X127" t="s">
        <v>220</v>
      </c>
      <c r="Y127" t="s">
        <v>649</v>
      </c>
    </row>
    <row r="128" spans="1:25" x14ac:dyDescent="0.4">
      <c r="A128" t="s">
        <v>353</v>
      </c>
      <c r="B128">
        <v>593007</v>
      </c>
      <c r="C128" t="s">
        <v>1112</v>
      </c>
      <c r="D128">
        <v>20005670</v>
      </c>
      <c r="E128">
        <v>20018702</v>
      </c>
      <c r="F128" t="s">
        <v>954</v>
      </c>
      <c r="G128" t="s">
        <v>781</v>
      </c>
      <c r="H128">
        <v>2555600</v>
      </c>
      <c r="I128" t="s">
        <v>1153</v>
      </c>
      <c r="J128" t="s">
        <v>569</v>
      </c>
      <c r="K128">
        <v>3</v>
      </c>
      <c r="L128" t="s">
        <v>852</v>
      </c>
      <c r="M128" t="s">
        <v>908</v>
      </c>
      <c r="N128" t="s">
        <v>909</v>
      </c>
      <c r="O128" t="s">
        <v>823</v>
      </c>
      <c r="P128" t="s">
        <v>702</v>
      </c>
      <c r="Q128" t="s">
        <v>703</v>
      </c>
      <c r="R128" t="s">
        <v>756</v>
      </c>
      <c r="S128" t="s">
        <v>569</v>
      </c>
      <c r="U128">
        <v>10006033</v>
      </c>
      <c r="V128" t="s">
        <v>1154</v>
      </c>
      <c r="W128">
        <v>1</v>
      </c>
      <c r="X128" t="s">
        <v>203</v>
      </c>
      <c r="Y128" t="s">
        <v>1126</v>
      </c>
    </row>
    <row r="129" spans="1:25" x14ac:dyDescent="0.4">
      <c r="A129" t="s">
        <v>353</v>
      </c>
      <c r="B129">
        <v>593091</v>
      </c>
      <c r="C129" t="s">
        <v>729</v>
      </c>
      <c r="D129">
        <v>20003978</v>
      </c>
      <c r="E129">
        <v>20018711</v>
      </c>
      <c r="F129" t="s">
        <v>954</v>
      </c>
      <c r="G129" t="s">
        <v>523</v>
      </c>
      <c r="H129">
        <v>2299184</v>
      </c>
      <c r="I129" t="s">
        <v>1033</v>
      </c>
      <c r="J129" t="s">
        <v>524</v>
      </c>
      <c r="K129">
        <v>3</v>
      </c>
      <c r="L129" t="s">
        <v>852</v>
      </c>
      <c r="M129" t="s">
        <v>1083</v>
      </c>
      <c r="N129" t="s">
        <v>1084</v>
      </c>
      <c r="O129" t="s">
        <v>819</v>
      </c>
      <c r="P129" t="s">
        <v>450</v>
      </c>
      <c r="Q129" t="s">
        <v>451</v>
      </c>
      <c r="R129" t="s">
        <v>400</v>
      </c>
      <c r="S129" t="s">
        <v>554</v>
      </c>
      <c r="U129">
        <v>20003002</v>
      </c>
      <c r="V129" t="s">
        <v>1155</v>
      </c>
      <c r="W129">
        <v>1</v>
      </c>
      <c r="X129" t="s">
        <v>220</v>
      </c>
      <c r="Y129" t="s">
        <v>649</v>
      </c>
    </row>
    <row r="130" spans="1:25" x14ac:dyDescent="0.4">
      <c r="A130" t="s">
        <v>353</v>
      </c>
      <c r="B130">
        <v>593213</v>
      </c>
      <c r="C130" t="s">
        <v>486</v>
      </c>
      <c r="D130">
        <v>20003978</v>
      </c>
      <c r="E130">
        <v>20013505</v>
      </c>
      <c r="F130" t="s">
        <v>954</v>
      </c>
      <c r="G130" t="s">
        <v>354</v>
      </c>
      <c r="H130">
        <v>2300000</v>
      </c>
      <c r="I130" t="s">
        <v>955</v>
      </c>
      <c r="J130" t="s">
        <v>352</v>
      </c>
      <c r="K130">
        <v>16</v>
      </c>
      <c r="L130" t="s">
        <v>890</v>
      </c>
      <c r="M130" t="s">
        <v>956</v>
      </c>
      <c r="N130" t="s">
        <v>957</v>
      </c>
      <c r="O130" t="s">
        <v>820</v>
      </c>
      <c r="P130" t="s">
        <v>305</v>
      </c>
      <c r="Q130" t="s">
        <v>306</v>
      </c>
      <c r="R130" t="s">
        <v>375</v>
      </c>
      <c r="S130" t="s">
        <v>1156</v>
      </c>
      <c r="W130">
        <v>1</v>
      </c>
      <c r="X130" t="s">
        <v>220</v>
      </c>
      <c r="Y130" t="s">
        <v>649</v>
      </c>
    </row>
    <row r="131" spans="1:25" x14ac:dyDescent="0.4">
      <c r="A131" t="s">
        <v>353</v>
      </c>
      <c r="B131">
        <v>593321</v>
      </c>
      <c r="C131" t="s">
        <v>1128</v>
      </c>
      <c r="D131">
        <v>10004689</v>
      </c>
      <c r="E131">
        <v>10035854</v>
      </c>
      <c r="F131" t="s">
        <v>893</v>
      </c>
      <c r="G131" t="s">
        <v>467</v>
      </c>
      <c r="H131">
        <v>1304600</v>
      </c>
      <c r="I131" t="s">
        <v>1033</v>
      </c>
      <c r="J131" t="s">
        <v>468</v>
      </c>
      <c r="K131">
        <v>2</v>
      </c>
      <c r="L131" t="s">
        <v>945</v>
      </c>
      <c r="M131" t="s">
        <v>991</v>
      </c>
      <c r="N131" t="s">
        <v>992</v>
      </c>
      <c r="O131" t="s">
        <v>819</v>
      </c>
      <c r="P131" t="s">
        <v>450</v>
      </c>
      <c r="Q131" t="s">
        <v>451</v>
      </c>
      <c r="R131" t="s">
        <v>352</v>
      </c>
      <c r="S131" t="s">
        <v>756</v>
      </c>
      <c r="U131">
        <v>10004689</v>
      </c>
      <c r="V131" t="s">
        <v>893</v>
      </c>
      <c r="W131">
        <v>1</v>
      </c>
      <c r="X131" t="s">
        <v>220</v>
      </c>
      <c r="Y131" t="s">
        <v>649</v>
      </c>
    </row>
    <row r="132" spans="1:25" x14ac:dyDescent="0.4">
      <c r="A132" t="s">
        <v>353</v>
      </c>
      <c r="B132">
        <v>593349</v>
      </c>
      <c r="C132" t="s">
        <v>729</v>
      </c>
      <c r="D132">
        <v>20006277</v>
      </c>
      <c r="E132">
        <v>10050986</v>
      </c>
      <c r="F132" t="s">
        <v>856</v>
      </c>
      <c r="G132" t="s">
        <v>670</v>
      </c>
      <c r="H132">
        <v>2427300</v>
      </c>
      <c r="I132" t="s">
        <v>1157</v>
      </c>
      <c r="J132" t="s">
        <v>671</v>
      </c>
      <c r="K132">
        <v>45</v>
      </c>
      <c r="L132" t="s">
        <v>858</v>
      </c>
      <c r="M132" t="s">
        <v>859</v>
      </c>
      <c r="N132" t="s">
        <v>860</v>
      </c>
      <c r="O132" t="s">
        <v>821</v>
      </c>
      <c r="P132" t="s">
        <v>656</v>
      </c>
      <c r="Q132" t="s">
        <v>657</v>
      </c>
      <c r="R132" t="s">
        <v>1156</v>
      </c>
      <c r="S132" t="s">
        <v>671</v>
      </c>
      <c r="U132">
        <v>20003274</v>
      </c>
      <c r="V132" t="s">
        <v>862</v>
      </c>
      <c r="W132">
        <v>1</v>
      </c>
      <c r="X132" t="s">
        <v>203</v>
      </c>
      <c r="Y132" t="s">
        <v>1126</v>
      </c>
    </row>
    <row r="133" spans="1:25" x14ac:dyDescent="0.4">
      <c r="A133" t="s">
        <v>353</v>
      </c>
      <c r="B133">
        <v>593358</v>
      </c>
      <c r="C133" t="s">
        <v>695</v>
      </c>
      <c r="D133">
        <v>10004862</v>
      </c>
      <c r="E133">
        <v>10004939</v>
      </c>
      <c r="F133" t="s">
        <v>943</v>
      </c>
      <c r="G133" t="s">
        <v>448</v>
      </c>
      <c r="H133">
        <v>2218400</v>
      </c>
      <c r="I133" t="s">
        <v>1158</v>
      </c>
      <c r="J133" t="s">
        <v>449</v>
      </c>
      <c r="K133">
        <v>25</v>
      </c>
      <c r="L133" t="s">
        <v>879</v>
      </c>
      <c r="M133" t="s">
        <v>976</v>
      </c>
      <c r="N133" t="s">
        <v>977</v>
      </c>
      <c r="O133" t="s">
        <v>819</v>
      </c>
      <c r="P133" t="s">
        <v>446</v>
      </c>
      <c r="Q133" t="s">
        <v>447</v>
      </c>
      <c r="R133" t="s">
        <v>1159</v>
      </c>
      <c r="S133" t="s">
        <v>756</v>
      </c>
      <c r="W133">
        <v>1</v>
      </c>
      <c r="X133" t="s">
        <v>203</v>
      </c>
      <c r="Y133" t="s">
        <v>1126</v>
      </c>
    </row>
    <row r="134" spans="1:25" x14ac:dyDescent="0.4">
      <c r="A134" t="s">
        <v>353</v>
      </c>
      <c r="B134">
        <v>593458</v>
      </c>
      <c r="C134" t="s">
        <v>1160</v>
      </c>
      <c r="D134">
        <v>10005857</v>
      </c>
      <c r="E134">
        <v>20018722</v>
      </c>
      <c r="F134" t="s">
        <v>1161</v>
      </c>
      <c r="G134" t="s">
        <v>525</v>
      </c>
      <c r="H134">
        <v>1698604</v>
      </c>
      <c r="I134" t="s">
        <v>1033</v>
      </c>
      <c r="J134" t="s">
        <v>524</v>
      </c>
      <c r="K134">
        <v>3</v>
      </c>
      <c r="L134" t="s">
        <v>852</v>
      </c>
      <c r="M134" t="s">
        <v>991</v>
      </c>
      <c r="N134" t="s">
        <v>992</v>
      </c>
      <c r="O134" t="s">
        <v>819</v>
      </c>
      <c r="P134" t="s">
        <v>450</v>
      </c>
      <c r="Q134" t="s">
        <v>451</v>
      </c>
      <c r="R134" t="s">
        <v>1162</v>
      </c>
      <c r="S134" t="s">
        <v>554</v>
      </c>
      <c r="W134">
        <v>1</v>
      </c>
      <c r="X134" t="s">
        <v>220</v>
      </c>
      <c r="Y134" t="s">
        <v>649</v>
      </c>
    </row>
    <row r="135" spans="1:25" x14ac:dyDescent="0.4">
      <c r="A135" t="s">
        <v>353</v>
      </c>
      <c r="B135">
        <v>593486</v>
      </c>
      <c r="C135" t="s">
        <v>400</v>
      </c>
      <c r="D135">
        <v>10086975</v>
      </c>
      <c r="E135">
        <v>10086975</v>
      </c>
      <c r="F135" t="s">
        <v>586</v>
      </c>
      <c r="G135" t="s">
        <v>586</v>
      </c>
      <c r="H135">
        <v>2333300</v>
      </c>
      <c r="I135" t="s">
        <v>1109</v>
      </c>
      <c r="J135" t="s">
        <v>587</v>
      </c>
      <c r="K135">
        <v>16</v>
      </c>
      <c r="L135" t="s">
        <v>890</v>
      </c>
      <c r="M135" t="s">
        <v>963</v>
      </c>
      <c r="N135" t="s">
        <v>964</v>
      </c>
      <c r="O135" t="s">
        <v>822</v>
      </c>
      <c r="P135" t="s">
        <v>555</v>
      </c>
      <c r="Q135" t="s">
        <v>556</v>
      </c>
      <c r="R135" t="s">
        <v>1163</v>
      </c>
      <c r="S135" t="s">
        <v>1156</v>
      </c>
      <c r="W135">
        <v>1</v>
      </c>
      <c r="X135" t="s">
        <v>203</v>
      </c>
      <c r="Y135" t="s">
        <v>1126</v>
      </c>
    </row>
    <row r="136" spans="1:25" x14ac:dyDescent="0.4">
      <c r="A136" t="s">
        <v>353</v>
      </c>
      <c r="B136">
        <v>593513</v>
      </c>
      <c r="C136" t="s">
        <v>625</v>
      </c>
      <c r="D136">
        <v>10005751</v>
      </c>
      <c r="E136">
        <v>10018747</v>
      </c>
      <c r="F136" t="s">
        <v>1114</v>
      </c>
      <c r="G136" t="s">
        <v>553</v>
      </c>
      <c r="H136">
        <v>2370000</v>
      </c>
      <c r="I136" t="s">
        <v>1164</v>
      </c>
      <c r="J136" t="s">
        <v>554</v>
      </c>
      <c r="K136">
        <v>20</v>
      </c>
      <c r="L136" t="s">
        <v>1165</v>
      </c>
      <c r="M136" t="s">
        <v>1043</v>
      </c>
      <c r="N136" t="s">
        <v>1044</v>
      </c>
      <c r="O136" t="s">
        <v>822</v>
      </c>
      <c r="P136" t="s">
        <v>549</v>
      </c>
      <c r="Q136" t="s">
        <v>550</v>
      </c>
      <c r="R136" t="s">
        <v>482</v>
      </c>
      <c r="S136" t="s">
        <v>449</v>
      </c>
      <c r="W136">
        <v>1</v>
      </c>
      <c r="X136" t="s">
        <v>220</v>
      </c>
      <c r="Y136" t="s">
        <v>649</v>
      </c>
    </row>
    <row r="137" spans="1:25" x14ac:dyDescent="0.4">
      <c r="A137" t="s">
        <v>353</v>
      </c>
      <c r="B137">
        <v>593634</v>
      </c>
      <c r="C137" t="s">
        <v>524</v>
      </c>
      <c r="D137">
        <v>20006277</v>
      </c>
      <c r="E137">
        <v>10028175</v>
      </c>
      <c r="F137" t="s">
        <v>856</v>
      </c>
      <c r="G137" t="s">
        <v>713</v>
      </c>
      <c r="H137">
        <v>1682424</v>
      </c>
      <c r="I137" t="s">
        <v>1166</v>
      </c>
      <c r="J137" t="s">
        <v>449</v>
      </c>
      <c r="K137">
        <v>42</v>
      </c>
      <c r="L137" t="s">
        <v>988</v>
      </c>
      <c r="M137" t="s">
        <v>997</v>
      </c>
      <c r="N137" t="s">
        <v>998</v>
      </c>
      <c r="O137" t="s">
        <v>823</v>
      </c>
      <c r="P137" t="s">
        <v>702</v>
      </c>
      <c r="Q137" t="s">
        <v>703</v>
      </c>
      <c r="R137" t="s">
        <v>1163</v>
      </c>
      <c r="S137" t="s">
        <v>587</v>
      </c>
      <c r="U137">
        <v>20003119</v>
      </c>
      <c r="V137" t="s">
        <v>1167</v>
      </c>
      <c r="W137">
        <v>1</v>
      </c>
      <c r="X137" t="s">
        <v>203</v>
      </c>
      <c r="Y137" t="s">
        <v>1126</v>
      </c>
    </row>
    <row r="138" spans="1:25" x14ac:dyDescent="0.4">
      <c r="A138" t="s">
        <v>353</v>
      </c>
      <c r="B138">
        <v>593730</v>
      </c>
      <c r="C138" t="s">
        <v>1163</v>
      </c>
      <c r="D138">
        <v>20003059</v>
      </c>
      <c r="E138">
        <v>20018859</v>
      </c>
      <c r="F138" t="s">
        <v>926</v>
      </c>
      <c r="G138" t="s">
        <v>406</v>
      </c>
      <c r="H138">
        <v>1664600</v>
      </c>
      <c r="I138" t="s">
        <v>955</v>
      </c>
      <c r="J138" t="s">
        <v>407</v>
      </c>
      <c r="K138">
        <v>3</v>
      </c>
      <c r="L138" t="s">
        <v>852</v>
      </c>
      <c r="M138" t="s">
        <v>956</v>
      </c>
      <c r="N138" t="s">
        <v>957</v>
      </c>
      <c r="O138" t="s">
        <v>820</v>
      </c>
      <c r="P138" t="s">
        <v>305</v>
      </c>
      <c r="Q138" t="s">
        <v>306</v>
      </c>
      <c r="R138" t="s">
        <v>1156</v>
      </c>
      <c r="S138" t="s">
        <v>407</v>
      </c>
      <c r="U138">
        <v>20003059</v>
      </c>
      <c r="V138" t="s">
        <v>926</v>
      </c>
      <c r="W138">
        <v>1</v>
      </c>
      <c r="X138" t="s">
        <v>203</v>
      </c>
      <c r="Y138" t="s">
        <v>1126</v>
      </c>
    </row>
    <row r="139" spans="1:25" x14ac:dyDescent="0.4">
      <c r="A139" t="s">
        <v>353</v>
      </c>
      <c r="B139">
        <v>593745</v>
      </c>
      <c r="C139" t="s">
        <v>449</v>
      </c>
      <c r="D139">
        <v>20004223</v>
      </c>
      <c r="E139">
        <v>20014537</v>
      </c>
      <c r="F139" t="s">
        <v>1168</v>
      </c>
      <c r="G139" t="s">
        <v>755</v>
      </c>
      <c r="H139">
        <v>1354600</v>
      </c>
      <c r="I139" t="s">
        <v>45</v>
      </c>
      <c r="J139" t="s">
        <v>756</v>
      </c>
      <c r="K139">
        <v>16</v>
      </c>
      <c r="L139" t="s">
        <v>890</v>
      </c>
      <c r="M139" t="s">
        <v>1012</v>
      </c>
      <c r="N139" t="s">
        <v>1013</v>
      </c>
      <c r="O139" t="s">
        <v>823</v>
      </c>
      <c r="P139" t="s">
        <v>702</v>
      </c>
      <c r="Q139" t="s">
        <v>703</v>
      </c>
      <c r="R139" t="s">
        <v>468</v>
      </c>
      <c r="S139" t="s">
        <v>569</v>
      </c>
      <c r="U139">
        <v>20004223</v>
      </c>
      <c r="V139" t="s">
        <v>1168</v>
      </c>
      <c r="W139">
        <v>1</v>
      </c>
      <c r="X139" t="s">
        <v>290</v>
      </c>
      <c r="Y139" t="s">
        <v>1169</v>
      </c>
    </row>
    <row r="140" spans="1:25" x14ac:dyDescent="0.4">
      <c r="A140" t="s">
        <v>353</v>
      </c>
      <c r="B140">
        <v>593844</v>
      </c>
      <c r="C140" t="s">
        <v>1170</v>
      </c>
      <c r="D140">
        <v>10004691</v>
      </c>
      <c r="E140">
        <v>10040308</v>
      </c>
      <c r="F140" t="s">
        <v>984</v>
      </c>
      <c r="G140" t="s">
        <v>568</v>
      </c>
      <c r="H140">
        <v>1565600</v>
      </c>
      <c r="I140" t="s">
        <v>878</v>
      </c>
      <c r="J140" t="s">
        <v>569</v>
      </c>
      <c r="K140">
        <v>26</v>
      </c>
      <c r="L140" t="s">
        <v>864</v>
      </c>
      <c r="M140" t="s">
        <v>960</v>
      </c>
      <c r="N140" t="s">
        <v>961</v>
      </c>
      <c r="O140" t="s">
        <v>822</v>
      </c>
      <c r="P140" t="s">
        <v>549</v>
      </c>
      <c r="Q140" t="s">
        <v>550</v>
      </c>
      <c r="R140" t="s">
        <v>756</v>
      </c>
      <c r="S140" t="s">
        <v>569</v>
      </c>
      <c r="U140">
        <v>10004691</v>
      </c>
      <c r="V140" t="s">
        <v>984</v>
      </c>
      <c r="W140">
        <v>1</v>
      </c>
      <c r="X140" t="s">
        <v>290</v>
      </c>
      <c r="Y140" t="s">
        <v>1169</v>
      </c>
    </row>
    <row r="141" spans="1:25" x14ac:dyDescent="0.4">
      <c r="A141" t="s">
        <v>220</v>
      </c>
      <c r="B141">
        <v>593188</v>
      </c>
      <c r="C141" t="s">
        <v>384</v>
      </c>
      <c r="D141">
        <v>10004691</v>
      </c>
      <c r="E141">
        <v>20018429</v>
      </c>
      <c r="F141" t="s">
        <v>984</v>
      </c>
      <c r="G141" t="s">
        <v>622</v>
      </c>
      <c r="H141">
        <v>2053088</v>
      </c>
      <c r="I141" t="s">
        <v>1019</v>
      </c>
      <c r="J141" t="s">
        <v>623</v>
      </c>
      <c r="K141">
        <v>3</v>
      </c>
      <c r="L141" t="s">
        <v>852</v>
      </c>
      <c r="M141" t="s">
        <v>880</v>
      </c>
      <c r="N141" t="s">
        <v>881</v>
      </c>
      <c r="O141" t="s">
        <v>822</v>
      </c>
      <c r="P141" t="s">
        <v>549</v>
      </c>
      <c r="Q141" t="s">
        <v>550</v>
      </c>
      <c r="R141" t="s">
        <v>1171</v>
      </c>
      <c r="S141" t="s">
        <v>754</v>
      </c>
      <c r="U141">
        <v>10004691</v>
      </c>
      <c r="V141" t="s">
        <v>984</v>
      </c>
      <c r="W141">
        <v>1</v>
      </c>
      <c r="X141" t="s">
        <v>290</v>
      </c>
      <c r="Y141" t="s">
        <v>1169</v>
      </c>
    </row>
    <row r="142" spans="1:25" x14ac:dyDescent="0.4">
      <c r="A142" t="s">
        <v>220</v>
      </c>
      <c r="B142">
        <v>593363</v>
      </c>
      <c r="C142" t="s">
        <v>695</v>
      </c>
      <c r="D142">
        <v>20010189</v>
      </c>
      <c r="E142">
        <v>20018212</v>
      </c>
      <c r="F142" t="s">
        <v>1172</v>
      </c>
      <c r="G142" t="s">
        <v>381</v>
      </c>
      <c r="H142">
        <v>1636968</v>
      </c>
      <c r="I142" t="s">
        <v>1173</v>
      </c>
      <c r="J142" t="s">
        <v>382</v>
      </c>
      <c r="K142">
        <v>3</v>
      </c>
      <c r="L142" t="s">
        <v>852</v>
      </c>
      <c r="M142" t="s">
        <v>956</v>
      </c>
      <c r="N142" t="s">
        <v>957</v>
      </c>
      <c r="O142" t="s">
        <v>820</v>
      </c>
      <c r="P142" t="s">
        <v>305</v>
      </c>
      <c r="Q142" t="s">
        <v>306</v>
      </c>
      <c r="R142" t="s">
        <v>1156</v>
      </c>
      <c r="S142" t="s">
        <v>382</v>
      </c>
      <c r="U142">
        <v>20010189</v>
      </c>
      <c r="V142" t="s">
        <v>1172</v>
      </c>
      <c r="W142">
        <v>1</v>
      </c>
      <c r="X142" t="s">
        <v>203</v>
      </c>
      <c r="Y142" t="s">
        <v>1126</v>
      </c>
    </row>
    <row r="143" spans="1:25" x14ac:dyDescent="0.4">
      <c r="A143" t="s">
        <v>220</v>
      </c>
      <c r="B143">
        <v>593475</v>
      </c>
      <c r="C143" t="s">
        <v>400</v>
      </c>
      <c r="D143">
        <v>20002218</v>
      </c>
      <c r="E143">
        <v>20018709</v>
      </c>
      <c r="F143" t="s">
        <v>868</v>
      </c>
      <c r="G143" t="s">
        <v>402</v>
      </c>
      <c r="H143">
        <v>1453480</v>
      </c>
      <c r="I143" t="s">
        <v>1174</v>
      </c>
      <c r="J143" t="s">
        <v>403</v>
      </c>
      <c r="K143">
        <v>3</v>
      </c>
      <c r="L143" t="s">
        <v>852</v>
      </c>
      <c r="M143" t="s">
        <v>885</v>
      </c>
      <c r="N143" t="s">
        <v>886</v>
      </c>
      <c r="O143" t="s">
        <v>820</v>
      </c>
      <c r="P143" t="s">
        <v>305</v>
      </c>
      <c r="Q143" t="s">
        <v>306</v>
      </c>
      <c r="R143" t="s">
        <v>1175</v>
      </c>
      <c r="S143" t="s">
        <v>609</v>
      </c>
      <c r="U143">
        <v>10004784</v>
      </c>
      <c r="V143" t="s">
        <v>1176</v>
      </c>
      <c r="W143">
        <v>1</v>
      </c>
      <c r="X143" t="s">
        <v>290</v>
      </c>
      <c r="Y143" t="s">
        <v>1169</v>
      </c>
    </row>
    <row r="144" spans="1:25" x14ac:dyDescent="0.4">
      <c r="A144" t="s">
        <v>220</v>
      </c>
      <c r="B144">
        <v>593695</v>
      </c>
      <c r="C144" t="s">
        <v>1152</v>
      </c>
      <c r="D144">
        <v>20003978</v>
      </c>
      <c r="E144">
        <v>10042176</v>
      </c>
      <c r="F144" t="s">
        <v>954</v>
      </c>
      <c r="G144" t="s">
        <v>338</v>
      </c>
      <c r="H144">
        <v>1829346</v>
      </c>
      <c r="I144" t="s">
        <v>1177</v>
      </c>
      <c r="J144" t="s">
        <v>335</v>
      </c>
      <c r="K144">
        <v>16</v>
      </c>
      <c r="L144" t="s">
        <v>890</v>
      </c>
      <c r="M144" t="s">
        <v>869</v>
      </c>
      <c r="N144" t="s">
        <v>870</v>
      </c>
      <c r="O144" t="s">
        <v>820</v>
      </c>
      <c r="P144" t="s">
        <v>305</v>
      </c>
      <c r="Q144" t="s">
        <v>306</v>
      </c>
      <c r="R144" t="s">
        <v>489</v>
      </c>
      <c r="S144" t="s">
        <v>711</v>
      </c>
      <c r="W144">
        <v>1</v>
      </c>
      <c r="X144" t="s">
        <v>290</v>
      </c>
      <c r="Y144" t="s">
        <v>1169</v>
      </c>
    </row>
    <row r="145" spans="1:25" x14ac:dyDescent="0.4">
      <c r="A145" t="s">
        <v>220</v>
      </c>
      <c r="B145">
        <v>593815</v>
      </c>
      <c r="C145" t="s">
        <v>407</v>
      </c>
      <c r="D145">
        <v>20005670</v>
      </c>
      <c r="E145">
        <v>10025546</v>
      </c>
      <c r="F145" t="s">
        <v>954</v>
      </c>
      <c r="G145" t="s">
        <v>710</v>
      </c>
      <c r="H145">
        <v>3080000</v>
      </c>
      <c r="I145" t="s">
        <v>1178</v>
      </c>
      <c r="J145" t="s">
        <v>711</v>
      </c>
      <c r="K145">
        <v>23</v>
      </c>
      <c r="L145" t="s">
        <v>932</v>
      </c>
      <c r="M145" t="s">
        <v>941</v>
      </c>
      <c r="N145" t="s">
        <v>942</v>
      </c>
      <c r="O145" t="s">
        <v>823</v>
      </c>
      <c r="P145" t="s">
        <v>702</v>
      </c>
      <c r="Q145" t="s">
        <v>703</v>
      </c>
      <c r="R145" t="s">
        <v>219</v>
      </c>
      <c r="S145" t="s">
        <v>219</v>
      </c>
      <c r="W145">
        <v>1</v>
      </c>
      <c r="X145" t="s">
        <v>290</v>
      </c>
      <c r="Y145" t="s">
        <v>1169</v>
      </c>
    </row>
    <row r="146" spans="1:25" x14ac:dyDescent="0.4">
      <c r="A146" t="s">
        <v>220</v>
      </c>
      <c r="B146">
        <v>593836</v>
      </c>
      <c r="C146" t="s">
        <v>1179</v>
      </c>
      <c r="D146">
        <v>10004929</v>
      </c>
      <c r="E146">
        <v>20018886</v>
      </c>
      <c r="F146" t="s">
        <v>1180</v>
      </c>
      <c r="G146" t="s">
        <v>527</v>
      </c>
      <c r="H146">
        <v>2474720</v>
      </c>
      <c r="I146" t="s">
        <v>1181</v>
      </c>
      <c r="J146" t="s">
        <v>528</v>
      </c>
      <c r="K146">
        <v>2</v>
      </c>
      <c r="L146" t="s">
        <v>945</v>
      </c>
      <c r="M146" t="s">
        <v>1182</v>
      </c>
      <c r="N146" t="s">
        <v>1183</v>
      </c>
      <c r="O146" t="s">
        <v>819</v>
      </c>
      <c r="P146" t="s">
        <v>446</v>
      </c>
      <c r="Q146" t="s">
        <v>447</v>
      </c>
      <c r="R146" t="s">
        <v>1184</v>
      </c>
      <c r="S146" t="s">
        <v>335</v>
      </c>
      <c r="U146">
        <v>10004929</v>
      </c>
      <c r="V146" t="s">
        <v>1180</v>
      </c>
      <c r="W146">
        <v>1</v>
      </c>
      <c r="X146" t="s">
        <v>290</v>
      </c>
      <c r="Y146" t="s">
        <v>1169</v>
      </c>
    </row>
    <row r="147" spans="1:25" x14ac:dyDescent="0.4">
      <c r="A147" t="s">
        <v>220</v>
      </c>
      <c r="B147">
        <v>593876</v>
      </c>
      <c r="C147" t="s">
        <v>1175</v>
      </c>
      <c r="D147">
        <v>10004863</v>
      </c>
      <c r="E147">
        <v>10022680</v>
      </c>
      <c r="F147" t="s">
        <v>1003</v>
      </c>
      <c r="G147" t="s">
        <v>461</v>
      </c>
      <c r="H147">
        <v>2510624</v>
      </c>
      <c r="I147" t="s">
        <v>1185</v>
      </c>
      <c r="J147" t="s">
        <v>462</v>
      </c>
      <c r="K147">
        <v>2</v>
      </c>
      <c r="L147" t="s">
        <v>945</v>
      </c>
      <c r="M147" t="s">
        <v>899</v>
      </c>
      <c r="N147" t="s">
        <v>900</v>
      </c>
      <c r="O147" t="s">
        <v>819</v>
      </c>
      <c r="P147" t="s">
        <v>450</v>
      </c>
      <c r="Q147" t="s">
        <v>451</v>
      </c>
      <c r="R147" t="s">
        <v>403</v>
      </c>
      <c r="S147" t="s">
        <v>1184</v>
      </c>
      <c r="W147">
        <v>1</v>
      </c>
      <c r="X147" t="s">
        <v>290</v>
      </c>
      <c r="Y147" t="s">
        <v>1169</v>
      </c>
    </row>
    <row r="148" spans="1:25" x14ac:dyDescent="0.4">
      <c r="A148" t="s">
        <v>220</v>
      </c>
      <c r="B148">
        <v>593895</v>
      </c>
      <c r="C148" t="s">
        <v>1186</v>
      </c>
      <c r="D148">
        <v>20006271</v>
      </c>
      <c r="E148">
        <v>10035837</v>
      </c>
      <c r="F148" t="s">
        <v>1187</v>
      </c>
      <c r="G148" t="s">
        <v>334</v>
      </c>
      <c r="H148">
        <v>1585624</v>
      </c>
      <c r="I148" t="s">
        <v>934</v>
      </c>
      <c r="J148" t="s">
        <v>335</v>
      </c>
      <c r="K148">
        <v>28</v>
      </c>
      <c r="L148" t="s">
        <v>907</v>
      </c>
      <c r="M148" t="s">
        <v>869</v>
      </c>
      <c r="N148" t="s">
        <v>870</v>
      </c>
      <c r="O148" t="s">
        <v>820</v>
      </c>
      <c r="P148" t="s">
        <v>305</v>
      </c>
      <c r="Q148" t="s">
        <v>306</v>
      </c>
      <c r="R148" t="s">
        <v>489</v>
      </c>
      <c r="S148" t="s">
        <v>219</v>
      </c>
      <c r="W148">
        <v>1</v>
      </c>
      <c r="X148" t="s">
        <v>250</v>
      </c>
      <c r="Y148" t="s">
        <v>1188</v>
      </c>
    </row>
    <row r="149" spans="1:25" x14ac:dyDescent="0.4">
      <c r="A149" t="s">
        <v>220</v>
      </c>
      <c r="B149">
        <v>593908</v>
      </c>
      <c r="C149" t="s">
        <v>365</v>
      </c>
      <c r="D149">
        <v>20005670</v>
      </c>
      <c r="E149">
        <v>20017972</v>
      </c>
      <c r="F149" t="s">
        <v>954</v>
      </c>
      <c r="G149" t="s">
        <v>764</v>
      </c>
      <c r="H149">
        <v>2299100</v>
      </c>
      <c r="I149" t="s">
        <v>912</v>
      </c>
      <c r="J149" t="s">
        <v>609</v>
      </c>
      <c r="K149">
        <v>3</v>
      </c>
      <c r="L149" t="s">
        <v>852</v>
      </c>
      <c r="M149" t="s">
        <v>913</v>
      </c>
      <c r="N149" t="s">
        <v>914</v>
      </c>
      <c r="O149" t="s">
        <v>823</v>
      </c>
      <c r="P149" t="s">
        <v>702</v>
      </c>
      <c r="Q149" t="s">
        <v>703</v>
      </c>
      <c r="R149" t="s">
        <v>1171</v>
      </c>
      <c r="S149" t="s">
        <v>219</v>
      </c>
      <c r="W149">
        <v>1</v>
      </c>
      <c r="X149" t="s">
        <v>203</v>
      </c>
      <c r="Y149" t="s">
        <v>1126</v>
      </c>
    </row>
    <row r="150" spans="1:25" x14ac:dyDescent="0.4">
      <c r="A150" t="s">
        <v>220</v>
      </c>
      <c r="B150">
        <v>594005</v>
      </c>
      <c r="C150" t="s">
        <v>382</v>
      </c>
      <c r="D150">
        <v>20002825</v>
      </c>
      <c r="E150">
        <v>20018100</v>
      </c>
      <c r="F150" t="s">
        <v>1189</v>
      </c>
      <c r="G150" t="s">
        <v>608</v>
      </c>
      <c r="H150">
        <v>1797608</v>
      </c>
      <c r="I150" t="s">
        <v>1019</v>
      </c>
      <c r="J150" t="s">
        <v>609</v>
      </c>
      <c r="K150">
        <v>3</v>
      </c>
      <c r="L150" t="s">
        <v>852</v>
      </c>
      <c r="M150" t="s">
        <v>880</v>
      </c>
      <c r="N150" t="s">
        <v>881</v>
      </c>
      <c r="O150" t="s">
        <v>822</v>
      </c>
      <c r="P150" t="s">
        <v>549</v>
      </c>
      <c r="Q150" t="s">
        <v>550</v>
      </c>
      <c r="R150" t="s">
        <v>1190</v>
      </c>
      <c r="S150" t="s">
        <v>623</v>
      </c>
      <c r="U150">
        <v>20002825</v>
      </c>
      <c r="V150" t="s">
        <v>1189</v>
      </c>
      <c r="W150">
        <v>1</v>
      </c>
      <c r="X150" t="s">
        <v>290</v>
      </c>
      <c r="Y150" t="s">
        <v>1169</v>
      </c>
    </row>
    <row r="151" spans="1:25" x14ac:dyDescent="0.4">
      <c r="A151" t="s">
        <v>220</v>
      </c>
      <c r="B151">
        <v>594013</v>
      </c>
      <c r="C151" t="s">
        <v>382</v>
      </c>
      <c r="D151">
        <v>10085164</v>
      </c>
      <c r="E151">
        <v>10085164</v>
      </c>
      <c r="F151" t="s">
        <v>732</v>
      </c>
      <c r="G151" t="s">
        <v>732</v>
      </c>
      <c r="H151">
        <v>2213190</v>
      </c>
      <c r="I151" t="s">
        <v>912</v>
      </c>
      <c r="J151" t="s">
        <v>219</v>
      </c>
      <c r="K151">
        <v>16</v>
      </c>
      <c r="L151" t="s">
        <v>890</v>
      </c>
      <c r="M151" t="s">
        <v>913</v>
      </c>
      <c r="N151" t="s">
        <v>914</v>
      </c>
      <c r="O151" t="s">
        <v>823</v>
      </c>
      <c r="P151" t="s">
        <v>702</v>
      </c>
      <c r="Q151" t="s">
        <v>703</v>
      </c>
      <c r="R151" t="s">
        <v>219</v>
      </c>
      <c r="S151" t="s">
        <v>219</v>
      </c>
      <c r="T151" t="s">
        <v>973</v>
      </c>
      <c r="W151">
        <v>1</v>
      </c>
      <c r="X151" t="s">
        <v>203</v>
      </c>
      <c r="Y151" t="s">
        <v>1126</v>
      </c>
    </row>
    <row r="152" spans="1:25" x14ac:dyDescent="0.4">
      <c r="A152" t="s">
        <v>220</v>
      </c>
      <c r="B152">
        <v>594041</v>
      </c>
      <c r="C152" t="s">
        <v>1191</v>
      </c>
      <c r="D152">
        <v>10004689</v>
      </c>
      <c r="E152">
        <v>10090692</v>
      </c>
      <c r="F152" t="s">
        <v>893</v>
      </c>
      <c r="G152" t="s">
        <v>483</v>
      </c>
      <c r="H152">
        <v>1602344</v>
      </c>
      <c r="I152" t="s">
        <v>1192</v>
      </c>
      <c r="J152" t="s">
        <v>484</v>
      </c>
      <c r="K152">
        <v>18</v>
      </c>
      <c r="L152" t="s">
        <v>1135</v>
      </c>
      <c r="M152" t="s">
        <v>991</v>
      </c>
      <c r="N152" t="s">
        <v>992</v>
      </c>
      <c r="O152" t="s">
        <v>819</v>
      </c>
      <c r="P152" t="s">
        <v>450</v>
      </c>
      <c r="Q152" t="s">
        <v>451</v>
      </c>
      <c r="R152" t="s">
        <v>287</v>
      </c>
      <c r="S152" t="s">
        <v>335</v>
      </c>
      <c r="U152">
        <v>10004689</v>
      </c>
      <c r="V152" t="s">
        <v>893</v>
      </c>
      <c r="W152">
        <v>1</v>
      </c>
      <c r="X152" t="s">
        <v>250</v>
      </c>
      <c r="Y152" t="s">
        <v>1188</v>
      </c>
    </row>
    <row r="153" spans="1:25" x14ac:dyDescent="0.4">
      <c r="A153" t="s">
        <v>220</v>
      </c>
      <c r="B153">
        <v>594069</v>
      </c>
      <c r="C153" t="s">
        <v>462</v>
      </c>
      <c r="D153">
        <v>20002160</v>
      </c>
      <c r="E153">
        <v>20014360</v>
      </c>
      <c r="F153" t="s">
        <v>906</v>
      </c>
      <c r="G153" t="s">
        <v>753</v>
      </c>
      <c r="H153">
        <v>1869376</v>
      </c>
      <c r="I153" t="s">
        <v>1193</v>
      </c>
      <c r="J153" t="s">
        <v>754</v>
      </c>
      <c r="K153">
        <v>28</v>
      </c>
      <c r="L153" t="s">
        <v>907</v>
      </c>
      <c r="M153" t="s">
        <v>1012</v>
      </c>
      <c r="N153" t="s">
        <v>1013</v>
      </c>
      <c r="O153" t="s">
        <v>823</v>
      </c>
      <c r="P153" t="s">
        <v>702</v>
      </c>
      <c r="Q153" t="s">
        <v>703</v>
      </c>
      <c r="R153" t="s">
        <v>754</v>
      </c>
      <c r="S153" t="s">
        <v>1194</v>
      </c>
      <c r="U153">
        <v>20002160</v>
      </c>
      <c r="V153" t="s">
        <v>906</v>
      </c>
      <c r="W153">
        <v>1</v>
      </c>
      <c r="X153" t="s">
        <v>290</v>
      </c>
      <c r="Y153" t="s">
        <v>1169</v>
      </c>
    </row>
    <row r="154" spans="1:25" x14ac:dyDescent="0.4">
      <c r="A154" t="s">
        <v>220</v>
      </c>
      <c r="B154">
        <v>594092</v>
      </c>
      <c r="C154" t="s">
        <v>528</v>
      </c>
      <c r="D154">
        <v>10004862</v>
      </c>
      <c r="E154">
        <v>20010141</v>
      </c>
      <c r="F154" t="s">
        <v>943</v>
      </c>
      <c r="G154" t="s">
        <v>488</v>
      </c>
      <c r="H154">
        <v>2604400</v>
      </c>
      <c r="I154" t="s">
        <v>975</v>
      </c>
      <c r="J154" t="s">
        <v>489</v>
      </c>
      <c r="K154">
        <v>16</v>
      </c>
      <c r="L154" t="s">
        <v>890</v>
      </c>
      <c r="M154" t="s">
        <v>976</v>
      </c>
      <c r="N154" t="s">
        <v>977</v>
      </c>
      <c r="O154" t="s">
        <v>819</v>
      </c>
      <c r="P154" t="s">
        <v>446</v>
      </c>
      <c r="Q154" t="s">
        <v>447</v>
      </c>
      <c r="R154" t="s">
        <v>287</v>
      </c>
      <c r="S154" t="s">
        <v>219</v>
      </c>
      <c r="W154">
        <v>1</v>
      </c>
      <c r="X154" t="s">
        <v>290</v>
      </c>
      <c r="Y154" t="s">
        <v>1169</v>
      </c>
    </row>
    <row r="155" spans="1:25" x14ac:dyDescent="0.4">
      <c r="A155" t="s">
        <v>220</v>
      </c>
      <c r="B155">
        <v>594112</v>
      </c>
      <c r="C155" t="s">
        <v>1190</v>
      </c>
      <c r="D155">
        <v>10004244</v>
      </c>
      <c r="E155">
        <v>20018893</v>
      </c>
      <c r="F155" t="s">
        <v>1195</v>
      </c>
      <c r="G155" t="s">
        <v>784</v>
      </c>
      <c r="H155">
        <v>1104600</v>
      </c>
      <c r="I155" t="s">
        <v>45</v>
      </c>
      <c r="J155" t="s">
        <v>711</v>
      </c>
      <c r="K155">
        <v>3</v>
      </c>
      <c r="L155" t="s">
        <v>852</v>
      </c>
      <c r="M155" t="s">
        <v>1196</v>
      </c>
      <c r="N155" t="s">
        <v>1197</v>
      </c>
      <c r="O155" t="s">
        <v>823</v>
      </c>
      <c r="P155" t="s">
        <v>702</v>
      </c>
      <c r="Q155" t="s">
        <v>703</v>
      </c>
      <c r="R155" t="s">
        <v>489</v>
      </c>
      <c r="S155" t="s">
        <v>219</v>
      </c>
      <c r="U155">
        <v>10004244</v>
      </c>
      <c r="V155" t="s">
        <v>1195</v>
      </c>
      <c r="W155">
        <v>1</v>
      </c>
      <c r="X155" t="s">
        <v>203</v>
      </c>
      <c r="Y155" t="s">
        <v>1126</v>
      </c>
    </row>
    <row r="156" spans="1:25" x14ac:dyDescent="0.4">
      <c r="A156" t="s">
        <v>220</v>
      </c>
      <c r="B156">
        <v>594130</v>
      </c>
      <c r="C156" t="s">
        <v>609</v>
      </c>
      <c r="D156">
        <v>20002218</v>
      </c>
      <c r="E156">
        <v>20018892</v>
      </c>
      <c r="F156" t="s">
        <v>868</v>
      </c>
      <c r="G156" t="s">
        <v>286</v>
      </c>
      <c r="H156">
        <v>1863530</v>
      </c>
      <c r="I156" t="s">
        <v>1198</v>
      </c>
      <c r="J156" t="s">
        <v>287</v>
      </c>
      <c r="K156">
        <v>3</v>
      </c>
      <c r="L156" t="s">
        <v>852</v>
      </c>
      <c r="M156" t="s">
        <v>1081</v>
      </c>
      <c r="N156" t="s">
        <v>1082</v>
      </c>
      <c r="O156" t="s">
        <v>818</v>
      </c>
      <c r="P156" t="s">
        <v>181</v>
      </c>
      <c r="Q156" t="s">
        <v>182</v>
      </c>
      <c r="R156" t="s">
        <v>754</v>
      </c>
      <c r="S156" t="s">
        <v>1199</v>
      </c>
      <c r="W156">
        <v>1</v>
      </c>
      <c r="X156" t="s">
        <v>290</v>
      </c>
      <c r="Y156" t="s">
        <v>1169</v>
      </c>
    </row>
    <row r="157" spans="1:25" x14ac:dyDescent="0.4">
      <c r="A157" t="s">
        <v>220</v>
      </c>
      <c r="B157">
        <v>594272</v>
      </c>
      <c r="C157" t="s">
        <v>1200</v>
      </c>
      <c r="D157">
        <v>10004260</v>
      </c>
      <c r="E157">
        <v>10031183</v>
      </c>
      <c r="F157" t="s">
        <v>1201</v>
      </c>
      <c r="G157" t="s">
        <v>218</v>
      </c>
      <c r="H157">
        <v>1607240</v>
      </c>
      <c r="I157" t="s">
        <v>872</v>
      </c>
      <c r="J157" t="s">
        <v>219</v>
      </c>
      <c r="K157">
        <v>3</v>
      </c>
      <c r="L157" t="s">
        <v>852</v>
      </c>
      <c r="M157" t="s">
        <v>873</v>
      </c>
      <c r="N157" t="s">
        <v>874</v>
      </c>
      <c r="O157" t="s">
        <v>818</v>
      </c>
      <c r="P157" t="s">
        <v>181</v>
      </c>
      <c r="Q157" t="s">
        <v>182</v>
      </c>
      <c r="R157" t="s">
        <v>335</v>
      </c>
      <c r="S157" t="s">
        <v>219</v>
      </c>
      <c r="U157">
        <v>10004260</v>
      </c>
      <c r="V157" t="s">
        <v>1201</v>
      </c>
      <c r="W157">
        <v>1</v>
      </c>
      <c r="X157" t="s">
        <v>290</v>
      </c>
      <c r="Y157" t="s">
        <v>1169</v>
      </c>
    </row>
    <row r="158" spans="1:25" x14ac:dyDescent="0.4">
      <c r="A158" t="s">
        <v>203</v>
      </c>
      <c r="B158">
        <v>591866</v>
      </c>
      <c r="C158" t="s">
        <v>373</v>
      </c>
      <c r="D158">
        <v>20002456</v>
      </c>
      <c r="E158">
        <v>20016211</v>
      </c>
      <c r="F158" t="s">
        <v>966</v>
      </c>
      <c r="G158" t="s">
        <v>599</v>
      </c>
      <c r="H158">
        <v>1715600</v>
      </c>
      <c r="I158" t="s">
        <v>1202</v>
      </c>
      <c r="J158" t="s">
        <v>390</v>
      </c>
      <c r="K158">
        <v>3</v>
      </c>
      <c r="L158" t="s">
        <v>852</v>
      </c>
      <c r="M158" t="s">
        <v>963</v>
      </c>
      <c r="N158" t="s">
        <v>964</v>
      </c>
      <c r="O158" t="s">
        <v>822</v>
      </c>
      <c r="P158" t="s">
        <v>555</v>
      </c>
      <c r="Q158" t="s">
        <v>556</v>
      </c>
      <c r="R158" t="s">
        <v>711</v>
      </c>
      <c r="S158" t="s">
        <v>573</v>
      </c>
      <c r="U158">
        <v>20002456</v>
      </c>
      <c r="V158" t="s">
        <v>966</v>
      </c>
      <c r="W158">
        <v>1</v>
      </c>
      <c r="X158" t="s">
        <v>290</v>
      </c>
      <c r="Y158" t="s">
        <v>1169</v>
      </c>
    </row>
    <row r="159" spans="1:25" x14ac:dyDescent="0.4">
      <c r="A159" t="s">
        <v>203</v>
      </c>
      <c r="B159">
        <v>592964</v>
      </c>
      <c r="C159" t="s">
        <v>1150</v>
      </c>
      <c r="D159">
        <v>20019023</v>
      </c>
      <c r="E159">
        <v>20017680</v>
      </c>
      <c r="F159" t="s">
        <v>1203</v>
      </c>
      <c r="G159" t="s">
        <v>762</v>
      </c>
      <c r="H159">
        <v>1865968</v>
      </c>
      <c r="I159" t="s">
        <v>1204</v>
      </c>
      <c r="J159" t="s">
        <v>763</v>
      </c>
      <c r="K159">
        <v>3</v>
      </c>
      <c r="L159" t="s">
        <v>852</v>
      </c>
      <c r="M159" t="s">
        <v>1196</v>
      </c>
      <c r="N159" t="s">
        <v>1197</v>
      </c>
      <c r="O159" t="s">
        <v>823</v>
      </c>
      <c r="P159" t="s">
        <v>702</v>
      </c>
      <c r="Q159" t="s">
        <v>703</v>
      </c>
      <c r="R159" t="s">
        <v>763</v>
      </c>
      <c r="S159" t="s">
        <v>1205</v>
      </c>
      <c r="U159">
        <v>20019023</v>
      </c>
      <c r="V159" t="s">
        <v>1203</v>
      </c>
      <c r="W159">
        <v>1</v>
      </c>
      <c r="X159" t="s">
        <v>250</v>
      </c>
      <c r="Y159" t="s">
        <v>1188</v>
      </c>
    </row>
    <row r="160" spans="1:25" x14ac:dyDescent="0.4">
      <c r="A160" t="s">
        <v>203</v>
      </c>
      <c r="B160">
        <v>593227</v>
      </c>
      <c r="C160" t="s">
        <v>522</v>
      </c>
      <c r="D160">
        <v>20003884</v>
      </c>
      <c r="E160">
        <v>20018538</v>
      </c>
      <c r="F160" t="s">
        <v>940</v>
      </c>
      <c r="G160" t="s">
        <v>779</v>
      </c>
      <c r="H160">
        <v>1940748</v>
      </c>
      <c r="I160" t="s">
        <v>1206</v>
      </c>
      <c r="J160" t="s">
        <v>780</v>
      </c>
      <c r="K160">
        <v>3</v>
      </c>
      <c r="L160" t="s">
        <v>852</v>
      </c>
      <c r="M160" t="s">
        <v>941</v>
      </c>
      <c r="N160" t="s">
        <v>942</v>
      </c>
      <c r="O160" t="s">
        <v>823</v>
      </c>
      <c r="P160" t="s">
        <v>702</v>
      </c>
      <c r="Q160" t="s">
        <v>703</v>
      </c>
      <c r="R160" t="s">
        <v>1207</v>
      </c>
      <c r="S160" t="s">
        <v>413</v>
      </c>
      <c r="U160">
        <v>20003884</v>
      </c>
      <c r="V160" t="s">
        <v>940</v>
      </c>
      <c r="W160">
        <v>1</v>
      </c>
      <c r="X160" t="s">
        <v>250</v>
      </c>
      <c r="Y160" t="s">
        <v>1188</v>
      </c>
    </row>
    <row r="161" spans="1:25" x14ac:dyDescent="0.4">
      <c r="A161" t="s">
        <v>203</v>
      </c>
      <c r="B161">
        <v>593731</v>
      </c>
      <c r="C161" t="s">
        <v>1163</v>
      </c>
      <c r="D161">
        <v>20005670</v>
      </c>
      <c r="E161">
        <v>20018447</v>
      </c>
      <c r="F161" t="s">
        <v>954</v>
      </c>
      <c r="G161" t="s">
        <v>776</v>
      </c>
      <c r="H161">
        <v>1978000</v>
      </c>
      <c r="I161" t="s">
        <v>1204</v>
      </c>
      <c r="J161" t="s">
        <v>202</v>
      </c>
      <c r="K161">
        <v>3</v>
      </c>
      <c r="L161" t="s">
        <v>852</v>
      </c>
      <c r="M161" t="s">
        <v>1196</v>
      </c>
      <c r="N161" t="s">
        <v>1197</v>
      </c>
      <c r="O161" t="s">
        <v>823</v>
      </c>
      <c r="P161" t="s">
        <v>702</v>
      </c>
      <c r="Q161" t="s">
        <v>703</v>
      </c>
      <c r="R161" t="s">
        <v>1207</v>
      </c>
      <c r="S161" t="s">
        <v>202</v>
      </c>
      <c r="W161">
        <v>1</v>
      </c>
      <c r="X161" t="s">
        <v>250</v>
      </c>
      <c r="Y161" t="s">
        <v>1188</v>
      </c>
    </row>
    <row r="162" spans="1:25" x14ac:dyDescent="0.4">
      <c r="A162" t="s">
        <v>203</v>
      </c>
      <c r="B162">
        <v>593939</v>
      </c>
      <c r="C162" t="s">
        <v>756</v>
      </c>
      <c r="D162">
        <v>20018844</v>
      </c>
      <c r="E162">
        <v>20018844</v>
      </c>
      <c r="F162" t="s">
        <v>696</v>
      </c>
      <c r="G162" t="s">
        <v>696</v>
      </c>
      <c r="H162">
        <v>2256100</v>
      </c>
      <c r="I162" t="s">
        <v>1026</v>
      </c>
      <c r="J162" t="s">
        <v>697</v>
      </c>
      <c r="K162">
        <v>3</v>
      </c>
      <c r="L162" t="s">
        <v>852</v>
      </c>
      <c r="M162" t="s">
        <v>1147</v>
      </c>
      <c r="N162" t="s">
        <v>1148</v>
      </c>
      <c r="O162" t="s">
        <v>821</v>
      </c>
      <c r="P162" t="s">
        <v>656</v>
      </c>
      <c r="Q162" t="s">
        <v>657</v>
      </c>
      <c r="R162" t="s">
        <v>573</v>
      </c>
      <c r="S162" t="s">
        <v>697</v>
      </c>
      <c r="T162" t="s">
        <v>973</v>
      </c>
      <c r="U162">
        <v>20010976</v>
      </c>
      <c r="V162" t="s">
        <v>1208</v>
      </c>
      <c r="W162">
        <v>1</v>
      </c>
      <c r="X162" t="s">
        <v>290</v>
      </c>
      <c r="Y162" t="s">
        <v>1169</v>
      </c>
    </row>
    <row r="163" spans="1:25" x14ac:dyDescent="0.4">
      <c r="A163" t="s">
        <v>203</v>
      </c>
      <c r="B163">
        <v>593973</v>
      </c>
      <c r="C163" t="s">
        <v>569</v>
      </c>
      <c r="D163">
        <v>20002218</v>
      </c>
      <c r="E163">
        <v>20018416</v>
      </c>
      <c r="F163" t="s">
        <v>868</v>
      </c>
      <c r="G163" t="s">
        <v>389</v>
      </c>
      <c r="H163">
        <v>3534504</v>
      </c>
      <c r="I163" t="s">
        <v>1209</v>
      </c>
      <c r="J163" t="s">
        <v>390</v>
      </c>
      <c r="K163">
        <v>3</v>
      </c>
      <c r="L163" t="s">
        <v>852</v>
      </c>
      <c r="M163" t="s">
        <v>869</v>
      </c>
      <c r="N163" t="s">
        <v>870</v>
      </c>
      <c r="O163" t="s">
        <v>820</v>
      </c>
      <c r="P163" t="s">
        <v>305</v>
      </c>
      <c r="Q163" t="s">
        <v>306</v>
      </c>
      <c r="R163" t="s">
        <v>287</v>
      </c>
      <c r="S163" t="s">
        <v>763</v>
      </c>
      <c r="U163">
        <v>10004784</v>
      </c>
      <c r="V163" t="s">
        <v>1176</v>
      </c>
      <c r="W163">
        <v>1</v>
      </c>
      <c r="X163" t="s">
        <v>290</v>
      </c>
      <c r="Y163" t="s">
        <v>1169</v>
      </c>
    </row>
    <row r="164" spans="1:25" x14ac:dyDescent="0.4">
      <c r="A164" t="s">
        <v>203</v>
      </c>
      <c r="B164">
        <v>594003</v>
      </c>
      <c r="C164" t="s">
        <v>382</v>
      </c>
      <c r="D164">
        <v>10006040</v>
      </c>
      <c r="E164">
        <v>20018400</v>
      </c>
      <c r="F164" t="s">
        <v>1210</v>
      </c>
      <c r="G164" t="s">
        <v>513</v>
      </c>
      <c r="H164">
        <v>1104600</v>
      </c>
      <c r="I164" t="s">
        <v>1211</v>
      </c>
      <c r="J164" t="s">
        <v>514</v>
      </c>
      <c r="K164">
        <v>3</v>
      </c>
      <c r="L164" t="s">
        <v>852</v>
      </c>
      <c r="M164" t="s">
        <v>899</v>
      </c>
      <c r="N164" t="s">
        <v>900</v>
      </c>
      <c r="O164" t="s">
        <v>819</v>
      </c>
      <c r="P164" t="s">
        <v>450</v>
      </c>
      <c r="Q164" t="s">
        <v>451</v>
      </c>
      <c r="R164" t="s">
        <v>1212</v>
      </c>
      <c r="S164" t="s">
        <v>202</v>
      </c>
      <c r="U164">
        <v>10006040</v>
      </c>
      <c r="V164" t="s">
        <v>1210</v>
      </c>
      <c r="W164">
        <v>1</v>
      </c>
      <c r="X164" t="s">
        <v>250</v>
      </c>
      <c r="Y164" t="s">
        <v>1188</v>
      </c>
    </row>
    <row r="165" spans="1:25" x14ac:dyDescent="0.4">
      <c r="A165" t="s">
        <v>203</v>
      </c>
      <c r="B165">
        <v>594068</v>
      </c>
      <c r="C165" t="s">
        <v>462</v>
      </c>
      <c r="D165">
        <v>20003059</v>
      </c>
      <c r="E165">
        <v>20018697</v>
      </c>
      <c r="F165" t="s">
        <v>926</v>
      </c>
      <c r="G165" t="s">
        <v>401</v>
      </c>
      <c r="H165">
        <v>1603064</v>
      </c>
      <c r="I165" t="s">
        <v>1213</v>
      </c>
      <c r="J165" t="s">
        <v>390</v>
      </c>
      <c r="K165">
        <v>3</v>
      </c>
      <c r="L165" t="s">
        <v>852</v>
      </c>
      <c r="M165" t="s">
        <v>956</v>
      </c>
      <c r="N165" t="s">
        <v>957</v>
      </c>
      <c r="O165" t="s">
        <v>820</v>
      </c>
      <c r="P165" t="s">
        <v>305</v>
      </c>
      <c r="Q165" t="s">
        <v>306</v>
      </c>
      <c r="R165" t="s">
        <v>335</v>
      </c>
      <c r="S165" t="s">
        <v>390</v>
      </c>
      <c r="U165">
        <v>20003059</v>
      </c>
      <c r="V165" t="s">
        <v>926</v>
      </c>
      <c r="W165">
        <v>1</v>
      </c>
      <c r="X165" t="s">
        <v>250</v>
      </c>
      <c r="Y165" t="s">
        <v>1188</v>
      </c>
    </row>
    <row r="166" spans="1:25" x14ac:dyDescent="0.4">
      <c r="A166" t="s">
        <v>203</v>
      </c>
      <c r="B166">
        <v>594129</v>
      </c>
      <c r="C166" t="s">
        <v>609</v>
      </c>
      <c r="D166">
        <v>10006614</v>
      </c>
      <c r="E166">
        <v>10043213</v>
      </c>
      <c r="F166" t="s">
        <v>1062</v>
      </c>
      <c r="G166" t="s">
        <v>572</v>
      </c>
      <c r="H166">
        <v>1776320</v>
      </c>
      <c r="I166" t="s">
        <v>1214</v>
      </c>
      <c r="J166" t="s">
        <v>573</v>
      </c>
      <c r="K166">
        <v>35</v>
      </c>
      <c r="L166" t="s">
        <v>916</v>
      </c>
      <c r="M166" t="s">
        <v>1043</v>
      </c>
      <c r="N166" t="s">
        <v>1044</v>
      </c>
      <c r="O166" t="s">
        <v>822</v>
      </c>
      <c r="P166" t="s">
        <v>549</v>
      </c>
      <c r="Q166" t="s">
        <v>550</v>
      </c>
      <c r="R166" t="s">
        <v>1215</v>
      </c>
      <c r="S166" t="s">
        <v>573</v>
      </c>
      <c r="U166">
        <v>10006614</v>
      </c>
      <c r="V166" t="s">
        <v>1062</v>
      </c>
      <c r="W166">
        <v>1</v>
      </c>
      <c r="X166" t="s">
        <v>290</v>
      </c>
      <c r="Y166" t="s">
        <v>1169</v>
      </c>
    </row>
    <row r="167" spans="1:25" x14ac:dyDescent="0.4">
      <c r="A167" t="s">
        <v>203</v>
      </c>
      <c r="B167">
        <v>594176</v>
      </c>
      <c r="C167" t="s">
        <v>623</v>
      </c>
      <c r="D167">
        <v>20002210</v>
      </c>
      <c r="E167">
        <v>20018840</v>
      </c>
      <c r="F167" t="s">
        <v>877</v>
      </c>
      <c r="G167" t="s">
        <v>628</v>
      </c>
      <c r="H167">
        <v>2524928</v>
      </c>
      <c r="I167" t="s">
        <v>1216</v>
      </c>
      <c r="J167" t="s">
        <v>455</v>
      </c>
      <c r="K167">
        <v>3</v>
      </c>
      <c r="L167" t="s">
        <v>852</v>
      </c>
      <c r="M167" t="s">
        <v>960</v>
      </c>
      <c r="N167" t="s">
        <v>961</v>
      </c>
      <c r="O167" t="s">
        <v>822</v>
      </c>
      <c r="P167" t="s">
        <v>549</v>
      </c>
      <c r="Q167" t="s">
        <v>550</v>
      </c>
      <c r="R167" t="s">
        <v>1207</v>
      </c>
      <c r="S167" t="s">
        <v>1217</v>
      </c>
      <c r="U167">
        <v>20002210</v>
      </c>
      <c r="V167" t="s">
        <v>877</v>
      </c>
      <c r="W167">
        <v>1</v>
      </c>
      <c r="X167" t="s">
        <v>250</v>
      </c>
      <c r="Y167" t="s">
        <v>1188</v>
      </c>
    </row>
    <row r="168" spans="1:25" x14ac:dyDescent="0.4">
      <c r="A168" t="s">
        <v>203</v>
      </c>
      <c r="B168">
        <v>594231</v>
      </c>
      <c r="C168" t="s">
        <v>1194</v>
      </c>
      <c r="D168">
        <v>10009542</v>
      </c>
      <c r="E168">
        <v>10009542</v>
      </c>
      <c r="F168" t="s">
        <v>454</v>
      </c>
      <c r="G168" t="s">
        <v>454</v>
      </c>
      <c r="H168">
        <v>1805200</v>
      </c>
      <c r="I168" t="s">
        <v>1218</v>
      </c>
      <c r="J168" t="s">
        <v>455</v>
      </c>
      <c r="K168">
        <v>2</v>
      </c>
      <c r="L168" t="s">
        <v>945</v>
      </c>
      <c r="M168" t="s">
        <v>946</v>
      </c>
      <c r="N168" t="s">
        <v>947</v>
      </c>
      <c r="O168" t="s">
        <v>819</v>
      </c>
      <c r="P168" t="s">
        <v>446</v>
      </c>
      <c r="Q168" t="s">
        <v>447</v>
      </c>
      <c r="R168" t="s">
        <v>1219</v>
      </c>
      <c r="S168" t="s">
        <v>202</v>
      </c>
      <c r="T168" t="s">
        <v>973</v>
      </c>
      <c r="W168">
        <v>1</v>
      </c>
      <c r="X168" t="s">
        <v>250</v>
      </c>
      <c r="Y168" t="s">
        <v>1188</v>
      </c>
    </row>
    <row r="169" spans="1:25" x14ac:dyDescent="0.4">
      <c r="A169" t="s">
        <v>203</v>
      </c>
      <c r="B169">
        <v>594239</v>
      </c>
      <c r="C169" t="s">
        <v>1194</v>
      </c>
      <c r="D169">
        <v>20002467</v>
      </c>
      <c r="E169">
        <v>20014209</v>
      </c>
      <c r="F169" t="s">
        <v>1007</v>
      </c>
      <c r="G169" t="s">
        <v>752</v>
      </c>
      <c r="H169">
        <v>2055768</v>
      </c>
      <c r="I169" t="s">
        <v>927</v>
      </c>
      <c r="J169" t="s">
        <v>202</v>
      </c>
      <c r="K169">
        <v>25</v>
      </c>
      <c r="L169" t="s">
        <v>879</v>
      </c>
      <c r="M169" t="s">
        <v>908</v>
      </c>
      <c r="N169" t="s">
        <v>909</v>
      </c>
      <c r="O169" t="s">
        <v>823</v>
      </c>
      <c r="P169" t="s">
        <v>702</v>
      </c>
      <c r="Q169" t="s">
        <v>703</v>
      </c>
      <c r="R169" t="s">
        <v>1220</v>
      </c>
      <c r="S169" t="s">
        <v>202</v>
      </c>
      <c r="U169">
        <v>20002467</v>
      </c>
      <c r="V169" t="s">
        <v>1007</v>
      </c>
      <c r="W169">
        <v>1</v>
      </c>
      <c r="X169" t="s">
        <v>196</v>
      </c>
      <c r="Y169" t="s">
        <v>1221</v>
      </c>
    </row>
    <row r="170" spans="1:25" x14ac:dyDescent="0.4">
      <c r="A170" t="s">
        <v>203</v>
      </c>
      <c r="B170">
        <v>594241</v>
      </c>
      <c r="C170" t="s">
        <v>1194</v>
      </c>
      <c r="D170">
        <v>20006277</v>
      </c>
      <c r="E170">
        <v>10037722</v>
      </c>
      <c r="F170" t="s">
        <v>856</v>
      </c>
      <c r="G170" t="s">
        <v>717</v>
      </c>
      <c r="H170">
        <v>2045705</v>
      </c>
      <c r="I170" t="s">
        <v>1222</v>
      </c>
      <c r="J170" t="s">
        <v>718</v>
      </c>
      <c r="K170">
        <v>17</v>
      </c>
      <c r="L170" t="s">
        <v>1223</v>
      </c>
      <c r="M170" t="s">
        <v>908</v>
      </c>
      <c r="N170" t="s">
        <v>909</v>
      </c>
      <c r="O170" t="s">
        <v>823</v>
      </c>
      <c r="P170" t="s">
        <v>702</v>
      </c>
      <c r="Q170" t="s">
        <v>703</v>
      </c>
      <c r="R170" t="s">
        <v>1207</v>
      </c>
      <c r="S170" t="s">
        <v>1205</v>
      </c>
      <c r="U170">
        <v>20002146</v>
      </c>
      <c r="V170" t="s">
        <v>1224</v>
      </c>
      <c r="W170">
        <v>1</v>
      </c>
      <c r="X170" t="s">
        <v>290</v>
      </c>
      <c r="Y170" t="s">
        <v>1169</v>
      </c>
    </row>
    <row r="171" spans="1:25" x14ac:dyDescent="0.4">
      <c r="A171" t="s">
        <v>203</v>
      </c>
      <c r="B171">
        <v>594244</v>
      </c>
      <c r="C171" t="s">
        <v>219</v>
      </c>
      <c r="D171">
        <v>10006549</v>
      </c>
      <c r="E171">
        <v>10013731</v>
      </c>
      <c r="F171" t="s">
        <v>1225</v>
      </c>
      <c r="G171" t="s">
        <v>706</v>
      </c>
      <c r="H171">
        <v>2092704</v>
      </c>
      <c r="I171" t="s">
        <v>1226</v>
      </c>
      <c r="J171" t="s">
        <v>455</v>
      </c>
      <c r="K171">
        <v>28</v>
      </c>
      <c r="L171" t="s">
        <v>907</v>
      </c>
      <c r="M171" t="s">
        <v>908</v>
      </c>
      <c r="N171" t="s">
        <v>909</v>
      </c>
      <c r="O171" t="s">
        <v>823</v>
      </c>
      <c r="P171" t="s">
        <v>702</v>
      </c>
      <c r="Q171" t="s">
        <v>703</v>
      </c>
      <c r="R171" t="s">
        <v>514</v>
      </c>
      <c r="S171" t="s">
        <v>1220</v>
      </c>
      <c r="U171">
        <v>10006549</v>
      </c>
      <c r="V171" t="s">
        <v>1225</v>
      </c>
      <c r="W171">
        <v>1</v>
      </c>
      <c r="X171" t="s">
        <v>250</v>
      </c>
      <c r="Y171" t="s">
        <v>1188</v>
      </c>
    </row>
    <row r="172" spans="1:25" x14ac:dyDescent="0.4">
      <c r="A172" t="s">
        <v>203</v>
      </c>
      <c r="B172">
        <v>594356</v>
      </c>
      <c r="C172" t="s">
        <v>335</v>
      </c>
      <c r="D172">
        <v>20003978</v>
      </c>
      <c r="E172">
        <v>20018917</v>
      </c>
      <c r="F172" t="s">
        <v>954</v>
      </c>
      <c r="G172" t="s">
        <v>412</v>
      </c>
      <c r="H172">
        <v>2050000</v>
      </c>
      <c r="I172" t="s">
        <v>1227</v>
      </c>
      <c r="J172" t="s">
        <v>413</v>
      </c>
      <c r="K172">
        <v>3</v>
      </c>
      <c r="L172" t="s">
        <v>852</v>
      </c>
      <c r="M172" t="s">
        <v>928</v>
      </c>
      <c r="N172" t="s">
        <v>929</v>
      </c>
      <c r="O172" t="s">
        <v>820</v>
      </c>
      <c r="P172" t="s">
        <v>305</v>
      </c>
      <c r="Q172" t="s">
        <v>306</v>
      </c>
      <c r="R172" t="s">
        <v>1205</v>
      </c>
      <c r="S172" t="s">
        <v>455</v>
      </c>
      <c r="W172">
        <v>1</v>
      </c>
      <c r="X172" t="s">
        <v>250</v>
      </c>
      <c r="Y172" t="s">
        <v>1188</v>
      </c>
    </row>
    <row r="173" spans="1:25" x14ac:dyDescent="0.4">
      <c r="A173" t="s">
        <v>203</v>
      </c>
      <c r="B173">
        <v>594506</v>
      </c>
      <c r="C173" t="s">
        <v>718</v>
      </c>
      <c r="D173">
        <v>20002218</v>
      </c>
      <c r="E173">
        <v>20007493</v>
      </c>
      <c r="F173" t="s">
        <v>868</v>
      </c>
      <c r="G173" t="s">
        <v>487</v>
      </c>
      <c r="H173">
        <v>2195108</v>
      </c>
      <c r="I173" t="s">
        <v>1228</v>
      </c>
      <c r="J173" t="s">
        <v>202</v>
      </c>
      <c r="K173">
        <v>25</v>
      </c>
      <c r="L173" t="s">
        <v>879</v>
      </c>
      <c r="M173" t="s">
        <v>991</v>
      </c>
      <c r="N173" t="s">
        <v>992</v>
      </c>
      <c r="O173" t="s">
        <v>819</v>
      </c>
      <c r="P173" t="s">
        <v>450</v>
      </c>
      <c r="Q173" t="s">
        <v>451</v>
      </c>
      <c r="R173" t="s">
        <v>1212</v>
      </c>
      <c r="S173" t="s">
        <v>202</v>
      </c>
      <c r="U173">
        <v>20002218</v>
      </c>
      <c r="V173" t="s">
        <v>868</v>
      </c>
      <c r="W173">
        <v>1</v>
      </c>
      <c r="X173" t="s">
        <v>290</v>
      </c>
      <c r="Y173" t="s">
        <v>1169</v>
      </c>
    </row>
    <row r="174" spans="1:25" x14ac:dyDescent="0.4">
      <c r="A174" t="s">
        <v>203</v>
      </c>
      <c r="B174">
        <v>594508</v>
      </c>
      <c r="C174" t="s">
        <v>718</v>
      </c>
      <c r="D174">
        <v>10063720</v>
      </c>
      <c r="E174">
        <v>20018398</v>
      </c>
      <c r="F174" t="s">
        <v>1028</v>
      </c>
      <c r="G174" t="s">
        <v>512</v>
      </c>
      <c r="H174">
        <v>2401808</v>
      </c>
      <c r="I174" t="s">
        <v>1229</v>
      </c>
      <c r="J174" t="s">
        <v>202</v>
      </c>
      <c r="K174">
        <v>3</v>
      </c>
      <c r="L174" t="s">
        <v>852</v>
      </c>
      <c r="M174" t="s">
        <v>1083</v>
      </c>
      <c r="N174" t="s">
        <v>1084</v>
      </c>
      <c r="O174" t="s">
        <v>819</v>
      </c>
      <c r="P174" t="s">
        <v>450</v>
      </c>
      <c r="Q174" t="s">
        <v>451</v>
      </c>
      <c r="R174" t="s">
        <v>1220</v>
      </c>
      <c r="S174" t="s">
        <v>202</v>
      </c>
      <c r="U174">
        <v>10063720</v>
      </c>
      <c r="V174" t="s">
        <v>1028</v>
      </c>
      <c r="W174">
        <v>1</v>
      </c>
      <c r="X174" t="s">
        <v>250</v>
      </c>
      <c r="Y174" t="s">
        <v>1188</v>
      </c>
    </row>
    <row r="175" spans="1:25" x14ac:dyDescent="0.4">
      <c r="A175" t="s">
        <v>203</v>
      </c>
      <c r="B175">
        <v>594570</v>
      </c>
      <c r="C175" t="s">
        <v>1205</v>
      </c>
      <c r="D175">
        <v>10063093</v>
      </c>
      <c r="E175">
        <v>10063093</v>
      </c>
      <c r="F175" t="s">
        <v>725</v>
      </c>
      <c r="G175" t="s">
        <v>725</v>
      </c>
      <c r="H175">
        <v>1665690</v>
      </c>
      <c r="I175" t="s">
        <v>1230</v>
      </c>
      <c r="J175" t="s">
        <v>514</v>
      </c>
      <c r="K175">
        <v>0</v>
      </c>
      <c r="L175" t="s">
        <v>1035</v>
      </c>
      <c r="M175" t="s">
        <v>908</v>
      </c>
      <c r="N175" t="s">
        <v>909</v>
      </c>
      <c r="O175" t="s">
        <v>823</v>
      </c>
      <c r="P175" t="s">
        <v>702</v>
      </c>
      <c r="Q175" t="s">
        <v>703</v>
      </c>
      <c r="R175" t="s">
        <v>514</v>
      </c>
      <c r="S175" t="s">
        <v>1220</v>
      </c>
      <c r="W175">
        <v>1</v>
      </c>
      <c r="X175" t="s">
        <v>290</v>
      </c>
      <c r="Y175" t="s">
        <v>1169</v>
      </c>
    </row>
    <row r="176" spans="1:25" x14ac:dyDescent="0.4">
      <c r="A176" t="s">
        <v>203</v>
      </c>
      <c r="B176">
        <v>594605</v>
      </c>
      <c r="C176" t="s">
        <v>413</v>
      </c>
      <c r="D176">
        <v>10004346</v>
      </c>
      <c r="E176">
        <v>10015076</v>
      </c>
      <c r="F176" t="s">
        <v>1079</v>
      </c>
      <c r="G176" t="s">
        <v>201</v>
      </c>
      <c r="H176">
        <v>2053280</v>
      </c>
      <c r="I176" t="s">
        <v>1231</v>
      </c>
      <c r="J176" t="s">
        <v>202</v>
      </c>
      <c r="K176">
        <v>28</v>
      </c>
      <c r="L176" t="s">
        <v>907</v>
      </c>
      <c r="M176" t="s">
        <v>1081</v>
      </c>
      <c r="N176" t="s">
        <v>1082</v>
      </c>
      <c r="O176" t="s">
        <v>818</v>
      </c>
      <c r="P176" t="s">
        <v>181</v>
      </c>
      <c r="Q176" t="s">
        <v>182</v>
      </c>
      <c r="R176" t="s">
        <v>1219</v>
      </c>
      <c r="S176" t="s">
        <v>202</v>
      </c>
      <c r="U176">
        <v>10004346</v>
      </c>
      <c r="V176" t="s">
        <v>1079</v>
      </c>
      <c r="W176">
        <v>1</v>
      </c>
      <c r="X176" t="s">
        <v>290</v>
      </c>
      <c r="Y176" t="s">
        <v>1169</v>
      </c>
    </row>
    <row r="177" spans="1:25" x14ac:dyDescent="0.4">
      <c r="A177" t="s">
        <v>290</v>
      </c>
      <c r="B177">
        <v>594054</v>
      </c>
      <c r="C177" t="s">
        <v>462</v>
      </c>
      <c r="D177">
        <v>10005739</v>
      </c>
      <c r="E177">
        <v>10077052</v>
      </c>
      <c r="F177" t="s">
        <v>1232</v>
      </c>
      <c r="G177" t="s">
        <v>347</v>
      </c>
      <c r="H177">
        <v>2222900</v>
      </c>
      <c r="I177" t="s">
        <v>1233</v>
      </c>
      <c r="J177" t="s">
        <v>289</v>
      </c>
      <c r="K177">
        <v>45</v>
      </c>
      <c r="L177" t="s">
        <v>858</v>
      </c>
      <c r="M177" t="s">
        <v>928</v>
      </c>
      <c r="N177" t="s">
        <v>929</v>
      </c>
      <c r="O177" t="s">
        <v>820</v>
      </c>
      <c r="P177" t="s">
        <v>305</v>
      </c>
      <c r="Q177" t="s">
        <v>306</v>
      </c>
      <c r="R177" t="s">
        <v>597</v>
      </c>
      <c r="S177" t="s">
        <v>289</v>
      </c>
      <c r="W177">
        <v>1</v>
      </c>
      <c r="X177" t="s">
        <v>196</v>
      </c>
      <c r="Y177" t="s">
        <v>1221</v>
      </c>
    </row>
    <row r="178" spans="1:25" x14ac:dyDescent="0.4">
      <c r="A178" t="s">
        <v>290</v>
      </c>
      <c r="B178">
        <v>594276</v>
      </c>
      <c r="C178" t="s">
        <v>287</v>
      </c>
      <c r="D178">
        <v>20002218</v>
      </c>
      <c r="E178">
        <v>20018842</v>
      </c>
      <c r="F178" t="s">
        <v>868</v>
      </c>
      <c r="G178" t="s">
        <v>404</v>
      </c>
      <c r="H178">
        <v>1610880</v>
      </c>
      <c r="I178" t="s">
        <v>1234</v>
      </c>
      <c r="J178" t="s">
        <v>405</v>
      </c>
      <c r="K178">
        <v>3</v>
      </c>
      <c r="L178" t="s">
        <v>852</v>
      </c>
      <c r="M178" t="s">
        <v>928</v>
      </c>
      <c r="N178" t="s">
        <v>929</v>
      </c>
      <c r="O178" t="s">
        <v>820</v>
      </c>
      <c r="P178" t="s">
        <v>305</v>
      </c>
      <c r="Q178" t="s">
        <v>306</v>
      </c>
      <c r="R178" t="s">
        <v>1205</v>
      </c>
      <c r="S178" t="s">
        <v>411</v>
      </c>
      <c r="U178">
        <v>10006081</v>
      </c>
      <c r="V178" t="s">
        <v>1123</v>
      </c>
      <c r="W178">
        <v>1</v>
      </c>
      <c r="X178" t="s">
        <v>250</v>
      </c>
      <c r="Y178" t="s">
        <v>1188</v>
      </c>
    </row>
    <row r="179" spans="1:25" x14ac:dyDescent="0.4">
      <c r="A179" t="s">
        <v>290</v>
      </c>
      <c r="B179">
        <v>594434</v>
      </c>
      <c r="C179" t="s">
        <v>219</v>
      </c>
      <c r="D179">
        <v>20003884</v>
      </c>
      <c r="E179">
        <v>20018998</v>
      </c>
      <c r="F179" t="s">
        <v>940</v>
      </c>
      <c r="G179" t="s">
        <v>787</v>
      </c>
      <c r="H179">
        <v>1898567</v>
      </c>
      <c r="I179" t="s">
        <v>1204</v>
      </c>
      <c r="J179" t="s">
        <v>289</v>
      </c>
      <c r="K179">
        <v>3</v>
      </c>
      <c r="L179" t="s">
        <v>852</v>
      </c>
      <c r="M179" t="s">
        <v>1196</v>
      </c>
      <c r="N179" t="s">
        <v>1197</v>
      </c>
      <c r="O179" t="s">
        <v>823</v>
      </c>
      <c r="P179" t="s">
        <v>702</v>
      </c>
      <c r="Q179" t="s">
        <v>703</v>
      </c>
      <c r="R179" t="s">
        <v>597</v>
      </c>
      <c r="S179" t="s">
        <v>289</v>
      </c>
      <c r="W179">
        <v>1</v>
      </c>
      <c r="X179" t="s">
        <v>196</v>
      </c>
      <c r="Y179" t="s">
        <v>1221</v>
      </c>
    </row>
    <row r="180" spans="1:25" x14ac:dyDescent="0.4">
      <c r="A180" t="s">
        <v>290</v>
      </c>
      <c r="B180">
        <v>594504</v>
      </c>
      <c r="C180" t="s">
        <v>718</v>
      </c>
      <c r="D180">
        <v>10004696</v>
      </c>
      <c r="E180">
        <v>20018883</v>
      </c>
      <c r="F180" t="s">
        <v>1134</v>
      </c>
      <c r="G180" t="s">
        <v>526</v>
      </c>
      <c r="H180">
        <v>2312500</v>
      </c>
      <c r="I180" t="s">
        <v>1235</v>
      </c>
      <c r="J180" t="s">
        <v>411</v>
      </c>
      <c r="K180">
        <v>3</v>
      </c>
      <c r="L180" t="s">
        <v>852</v>
      </c>
      <c r="M180" t="s">
        <v>1083</v>
      </c>
      <c r="N180" t="s">
        <v>1084</v>
      </c>
      <c r="O180" t="s">
        <v>819</v>
      </c>
      <c r="P180" t="s">
        <v>450</v>
      </c>
      <c r="Q180" t="s">
        <v>451</v>
      </c>
      <c r="R180" t="s">
        <v>1236</v>
      </c>
      <c r="S180" t="s">
        <v>1237</v>
      </c>
      <c r="U180">
        <v>10004696</v>
      </c>
      <c r="V180" t="s">
        <v>1134</v>
      </c>
      <c r="W180">
        <v>1</v>
      </c>
      <c r="X180" t="s">
        <v>196</v>
      </c>
      <c r="Y180" t="s">
        <v>1221</v>
      </c>
    </row>
    <row r="181" spans="1:25" x14ac:dyDescent="0.4">
      <c r="A181" t="s">
        <v>290</v>
      </c>
      <c r="B181">
        <v>594624</v>
      </c>
      <c r="C181" t="s">
        <v>455</v>
      </c>
      <c r="D181">
        <v>10005466</v>
      </c>
      <c r="E181">
        <v>20017177</v>
      </c>
      <c r="F181" t="s">
        <v>1105</v>
      </c>
      <c r="G181" t="s">
        <v>604</v>
      </c>
      <c r="H181">
        <v>1740000</v>
      </c>
      <c r="I181" t="s">
        <v>1107</v>
      </c>
      <c r="J181" t="s">
        <v>605</v>
      </c>
      <c r="K181">
        <v>16</v>
      </c>
      <c r="L181" t="s">
        <v>890</v>
      </c>
      <c r="M181" t="s">
        <v>917</v>
      </c>
      <c r="N181" t="s">
        <v>918</v>
      </c>
      <c r="O181" t="s">
        <v>822</v>
      </c>
      <c r="P181" t="s">
        <v>549</v>
      </c>
      <c r="Q181" t="s">
        <v>550</v>
      </c>
      <c r="R181" t="s">
        <v>1238</v>
      </c>
      <c r="S181" t="s">
        <v>289</v>
      </c>
      <c r="U181">
        <v>10005466</v>
      </c>
      <c r="V181" t="s">
        <v>1105</v>
      </c>
      <c r="W181">
        <v>1</v>
      </c>
      <c r="X181" t="s">
        <v>196</v>
      </c>
      <c r="Y181" t="s">
        <v>1221</v>
      </c>
    </row>
    <row r="182" spans="1:25" x14ac:dyDescent="0.4">
      <c r="A182" t="s">
        <v>290</v>
      </c>
      <c r="B182">
        <v>594631</v>
      </c>
      <c r="C182" t="s">
        <v>455</v>
      </c>
      <c r="D182">
        <v>20006277</v>
      </c>
      <c r="E182">
        <v>20019081</v>
      </c>
      <c r="F182" t="s">
        <v>856</v>
      </c>
      <c r="G182" t="s">
        <v>531</v>
      </c>
      <c r="H182">
        <v>1635704</v>
      </c>
      <c r="I182" t="s">
        <v>1071</v>
      </c>
      <c r="J182" t="s">
        <v>532</v>
      </c>
      <c r="K182">
        <v>3</v>
      </c>
      <c r="L182" t="s">
        <v>852</v>
      </c>
      <c r="M182" t="s">
        <v>991</v>
      </c>
      <c r="N182" t="s">
        <v>992</v>
      </c>
      <c r="O182" t="s">
        <v>819</v>
      </c>
      <c r="P182" t="s">
        <v>450</v>
      </c>
      <c r="Q182" t="s">
        <v>451</v>
      </c>
      <c r="R182" t="s">
        <v>202</v>
      </c>
      <c r="S182" t="s">
        <v>1237</v>
      </c>
      <c r="U182">
        <v>10004797</v>
      </c>
      <c r="V182" t="s">
        <v>1239</v>
      </c>
      <c r="W182">
        <v>1</v>
      </c>
      <c r="X182" t="s">
        <v>196</v>
      </c>
      <c r="Y182" t="s">
        <v>1221</v>
      </c>
    </row>
    <row r="183" spans="1:25" x14ac:dyDescent="0.4">
      <c r="A183" t="s">
        <v>290</v>
      </c>
      <c r="B183">
        <v>594656</v>
      </c>
      <c r="C183" t="s">
        <v>514</v>
      </c>
      <c r="D183">
        <v>20018437</v>
      </c>
      <c r="E183">
        <v>20018437</v>
      </c>
      <c r="F183" t="s">
        <v>516</v>
      </c>
      <c r="G183" t="s">
        <v>516</v>
      </c>
      <c r="H183">
        <v>1958000</v>
      </c>
      <c r="I183" t="s">
        <v>1004</v>
      </c>
      <c r="J183" t="s">
        <v>517</v>
      </c>
      <c r="K183">
        <v>3</v>
      </c>
      <c r="L183" t="s">
        <v>852</v>
      </c>
      <c r="M183" t="s">
        <v>899</v>
      </c>
      <c r="N183" t="s">
        <v>900</v>
      </c>
      <c r="O183" t="s">
        <v>819</v>
      </c>
      <c r="P183" t="s">
        <v>450</v>
      </c>
      <c r="Q183" t="s">
        <v>451</v>
      </c>
      <c r="R183" t="s">
        <v>494</v>
      </c>
      <c r="S183" t="s">
        <v>634</v>
      </c>
      <c r="W183">
        <v>1</v>
      </c>
      <c r="X183" t="s">
        <v>250</v>
      </c>
      <c r="Y183" t="s">
        <v>1188</v>
      </c>
    </row>
    <row r="184" spans="1:25" x14ac:dyDescent="0.4">
      <c r="A184" t="s">
        <v>290</v>
      </c>
      <c r="B184">
        <v>594664</v>
      </c>
      <c r="C184" t="s">
        <v>514</v>
      </c>
      <c r="D184">
        <v>10063720</v>
      </c>
      <c r="E184">
        <v>20018908</v>
      </c>
      <c r="F184" t="s">
        <v>1028</v>
      </c>
      <c r="G184" t="s">
        <v>410</v>
      </c>
      <c r="H184">
        <v>2231584</v>
      </c>
      <c r="I184" t="s">
        <v>1240</v>
      </c>
      <c r="J184" t="s">
        <v>411</v>
      </c>
      <c r="K184">
        <v>3</v>
      </c>
      <c r="L184" t="s">
        <v>852</v>
      </c>
      <c r="M184" t="s">
        <v>956</v>
      </c>
      <c r="N184" t="s">
        <v>957</v>
      </c>
      <c r="O184" t="s">
        <v>820</v>
      </c>
      <c r="P184" t="s">
        <v>305</v>
      </c>
      <c r="Q184" t="s">
        <v>306</v>
      </c>
      <c r="R184" t="s">
        <v>1241</v>
      </c>
      <c r="S184" t="s">
        <v>605</v>
      </c>
      <c r="U184">
        <v>10063720</v>
      </c>
      <c r="V184" t="s">
        <v>1028</v>
      </c>
      <c r="W184">
        <v>1</v>
      </c>
      <c r="X184" t="s">
        <v>196</v>
      </c>
      <c r="Y184" t="s">
        <v>1221</v>
      </c>
    </row>
    <row r="185" spans="1:25" x14ac:dyDescent="0.4">
      <c r="A185" t="s">
        <v>290</v>
      </c>
      <c r="B185">
        <v>594807</v>
      </c>
      <c r="C185" t="s">
        <v>1220</v>
      </c>
      <c r="D185">
        <v>10006549</v>
      </c>
      <c r="E185">
        <v>20010900</v>
      </c>
      <c r="F185" t="s">
        <v>1225</v>
      </c>
      <c r="G185" t="s">
        <v>739</v>
      </c>
      <c r="H185">
        <v>2840784</v>
      </c>
      <c r="I185" t="s">
        <v>1242</v>
      </c>
      <c r="J185" t="s">
        <v>740</v>
      </c>
      <c r="K185">
        <v>28</v>
      </c>
      <c r="L185" t="s">
        <v>907</v>
      </c>
      <c r="M185" t="s">
        <v>908</v>
      </c>
      <c r="N185" t="s">
        <v>909</v>
      </c>
      <c r="O185" t="s">
        <v>823</v>
      </c>
      <c r="P185" t="s">
        <v>702</v>
      </c>
      <c r="Q185" t="s">
        <v>703</v>
      </c>
      <c r="R185" t="s">
        <v>597</v>
      </c>
      <c r="S185" t="s">
        <v>289</v>
      </c>
      <c r="U185">
        <v>20002467</v>
      </c>
      <c r="V185" t="s">
        <v>1007</v>
      </c>
      <c r="W185">
        <v>1</v>
      </c>
      <c r="X185" t="s">
        <v>196</v>
      </c>
      <c r="Y185" t="s">
        <v>1221</v>
      </c>
    </row>
    <row r="186" spans="1:25" x14ac:dyDescent="0.4">
      <c r="A186" t="s">
        <v>290</v>
      </c>
      <c r="B186">
        <v>594865</v>
      </c>
      <c r="C186" t="s">
        <v>1241</v>
      </c>
      <c r="D186">
        <v>20005670</v>
      </c>
      <c r="E186">
        <v>10052872</v>
      </c>
      <c r="F186" t="s">
        <v>954</v>
      </c>
      <c r="G186" t="s">
        <v>722</v>
      </c>
      <c r="H186">
        <v>2172970</v>
      </c>
      <c r="I186" t="s">
        <v>1243</v>
      </c>
      <c r="J186" t="s">
        <v>723</v>
      </c>
      <c r="K186">
        <v>35</v>
      </c>
      <c r="L186" t="s">
        <v>916</v>
      </c>
      <c r="M186" t="s">
        <v>913</v>
      </c>
      <c r="N186" t="s">
        <v>914</v>
      </c>
      <c r="O186" t="s">
        <v>823</v>
      </c>
      <c r="P186" t="s">
        <v>702</v>
      </c>
      <c r="Q186" t="s">
        <v>703</v>
      </c>
      <c r="R186" t="s">
        <v>494</v>
      </c>
      <c r="S186" t="s">
        <v>289</v>
      </c>
      <c r="W186">
        <v>1</v>
      </c>
      <c r="X186" t="s">
        <v>250</v>
      </c>
      <c r="Y186" t="s">
        <v>1188</v>
      </c>
    </row>
    <row r="187" spans="1:25" x14ac:dyDescent="0.4">
      <c r="A187" t="s">
        <v>290</v>
      </c>
      <c r="B187">
        <v>594868</v>
      </c>
      <c r="C187" t="s">
        <v>1241</v>
      </c>
      <c r="D187">
        <v>10004862</v>
      </c>
      <c r="E187">
        <v>20017741</v>
      </c>
      <c r="F187" t="s">
        <v>943</v>
      </c>
      <c r="G187" t="s">
        <v>493</v>
      </c>
      <c r="H187">
        <v>2050000</v>
      </c>
      <c r="I187" t="s">
        <v>1244</v>
      </c>
      <c r="J187" t="s">
        <v>494</v>
      </c>
      <c r="K187">
        <v>3</v>
      </c>
      <c r="L187" t="s">
        <v>852</v>
      </c>
      <c r="M187" t="s">
        <v>1182</v>
      </c>
      <c r="N187" t="s">
        <v>1183</v>
      </c>
      <c r="O187" t="s">
        <v>819</v>
      </c>
      <c r="P187" t="s">
        <v>446</v>
      </c>
      <c r="Q187" t="s">
        <v>447</v>
      </c>
      <c r="R187" t="s">
        <v>1245</v>
      </c>
      <c r="S187" t="s">
        <v>289</v>
      </c>
      <c r="W187">
        <v>1</v>
      </c>
      <c r="X187" t="s">
        <v>250</v>
      </c>
      <c r="Y187" t="s">
        <v>1188</v>
      </c>
    </row>
    <row r="188" spans="1:25" x14ac:dyDescent="0.4">
      <c r="A188" t="s">
        <v>290</v>
      </c>
      <c r="B188">
        <v>594908</v>
      </c>
      <c r="C188" t="s">
        <v>411</v>
      </c>
      <c r="D188">
        <v>20002210</v>
      </c>
      <c r="E188">
        <v>20019111</v>
      </c>
      <c r="F188" t="s">
        <v>877</v>
      </c>
      <c r="G188" t="s">
        <v>633</v>
      </c>
      <c r="H188">
        <v>2254880</v>
      </c>
      <c r="I188" t="s">
        <v>1018</v>
      </c>
      <c r="J188" t="s">
        <v>634</v>
      </c>
      <c r="K188">
        <v>3</v>
      </c>
      <c r="L188" t="s">
        <v>852</v>
      </c>
      <c r="M188" t="s">
        <v>960</v>
      </c>
      <c r="N188" t="s">
        <v>961</v>
      </c>
      <c r="O188" t="s">
        <v>822</v>
      </c>
      <c r="P188" t="s">
        <v>549</v>
      </c>
      <c r="Q188" t="s">
        <v>550</v>
      </c>
      <c r="R188" t="s">
        <v>1238</v>
      </c>
      <c r="S188" t="s">
        <v>634</v>
      </c>
      <c r="U188">
        <v>20008018</v>
      </c>
      <c r="V188" t="s">
        <v>1045</v>
      </c>
      <c r="W188">
        <v>1</v>
      </c>
      <c r="X188" t="s">
        <v>196</v>
      </c>
      <c r="Y188" t="s">
        <v>1221</v>
      </c>
    </row>
    <row r="189" spans="1:25" x14ac:dyDescent="0.4">
      <c r="A189" t="s">
        <v>290</v>
      </c>
      <c r="B189">
        <v>594956</v>
      </c>
      <c r="C189" t="s">
        <v>1246</v>
      </c>
      <c r="D189">
        <v>20002329</v>
      </c>
      <c r="E189">
        <v>20009964</v>
      </c>
      <c r="F189" t="s">
        <v>1247</v>
      </c>
      <c r="G189" t="s">
        <v>596</v>
      </c>
      <c r="H189">
        <v>3300000</v>
      </c>
      <c r="I189" t="s">
        <v>1107</v>
      </c>
      <c r="J189" t="s">
        <v>597</v>
      </c>
      <c r="K189">
        <v>25</v>
      </c>
      <c r="L189" t="s">
        <v>879</v>
      </c>
      <c r="M189" t="s">
        <v>917</v>
      </c>
      <c r="N189" t="s">
        <v>918</v>
      </c>
      <c r="O189" t="s">
        <v>822</v>
      </c>
      <c r="P189" t="s">
        <v>549</v>
      </c>
      <c r="Q189" t="s">
        <v>550</v>
      </c>
      <c r="R189" t="s">
        <v>1248</v>
      </c>
      <c r="S189" t="s">
        <v>289</v>
      </c>
      <c r="U189">
        <v>20002329</v>
      </c>
      <c r="V189" t="s">
        <v>1247</v>
      </c>
      <c r="W189">
        <v>1</v>
      </c>
      <c r="X189" t="s">
        <v>196</v>
      </c>
      <c r="Y189" t="s">
        <v>1221</v>
      </c>
    </row>
    <row r="190" spans="1:25" x14ac:dyDescent="0.4">
      <c r="A190" t="s">
        <v>290</v>
      </c>
      <c r="B190">
        <v>595016</v>
      </c>
      <c r="C190" t="s">
        <v>494</v>
      </c>
      <c r="D190">
        <v>10006104</v>
      </c>
      <c r="E190">
        <v>20019179</v>
      </c>
      <c r="F190" t="s">
        <v>902</v>
      </c>
      <c r="G190" t="s">
        <v>288</v>
      </c>
      <c r="H190">
        <v>1232200</v>
      </c>
      <c r="I190" t="s">
        <v>1015</v>
      </c>
      <c r="J190" t="s">
        <v>289</v>
      </c>
      <c r="K190">
        <v>3</v>
      </c>
      <c r="L190" t="s">
        <v>852</v>
      </c>
      <c r="M190" t="s">
        <v>1016</v>
      </c>
      <c r="N190" t="s">
        <v>1017</v>
      </c>
      <c r="O190" t="s">
        <v>818</v>
      </c>
      <c r="P190" t="s">
        <v>191</v>
      </c>
      <c r="Q190" t="s">
        <v>192</v>
      </c>
      <c r="R190" t="s">
        <v>1238</v>
      </c>
      <c r="S190" t="s">
        <v>289</v>
      </c>
      <c r="U190">
        <v>10006104</v>
      </c>
      <c r="V190" t="s">
        <v>902</v>
      </c>
      <c r="W190">
        <v>1</v>
      </c>
      <c r="X190" t="s">
        <v>250</v>
      </c>
      <c r="Y190" t="s">
        <v>1188</v>
      </c>
    </row>
    <row r="191" spans="1:25" x14ac:dyDescent="0.4">
      <c r="A191" t="s">
        <v>290</v>
      </c>
      <c r="B191">
        <v>595271</v>
      </c>
      <c r="C191" t="s">
        <v>597</v>
      </c>
      <c r="D191">
        <v>20002210</v>
      </c>
      <c r="E191">
        <v>10071809</v>
      </c>
      <c r="F191" t="s">
        <v>877</v>
      </c>
      <c r="G191" t="s">
        <v>583</v>
      </c>
      <c r="H191">
        <v>1353400</v>
      </c>
      <c r="I191" t="s">
        <v>1249</v>
      </c>
      <c r="J191" t="s">
        <v>289</v>
      </c>
      <c r="K191">
        <v>16</v>
      </c>
      <c r="L191" t="s">
        <v>890</v>
      </c>
      <c r="M191" t="s">
        <v>1043</v>
      </c>
      <c r="N191" t="s">
        <v>1044</v>
      </c>
      <c r="O191" t="s">
        <v>822</v>
      </c>
      <c r="P191" t="s">
        <v>549</v>
      </c>
      <c r="Q191" t="s">
        <v>550</v>
      </c>
      <c r="R191" t="s">
        <v>289</v>
      </c>
      <c r="S191" t="s">
        <v>289</v>
      </c>
      <c r="U191">
        <v>20008018</v>
      </c>
      <c r="V191" t="s">
        <v>1045</v>
      </c>
      <c r="W191">
        <v>1</v>
      </c>
      <c r="X191" t="s">
        <v>196</v>
      </c>
      <c r="Y191" t="s">
        <v>1221</v>
      </c>
    </row>
    <row r="192" spans="1:25" x14ac:dyDescent="0.4">
      <c r="A192" t="s">
        <v>290</v>
      </c>
      <c r="B192">
        <v>595273</v>
      </c>
      <c r="C192" t="s">
        <v>597</v>
      </c>
      <c r="D192">
        <v>20002672</v>
      </c>
      <c r="E192">
        <v>10039615</v>
      </c>
      <c r="F192" t="s">
        <v>1108</v>
      </c>
      <c r="G192" t="s">
        <v>567</v>
      </c>
      <c r="H192">
        <v>1798504</v>
      </c>
      <c r="I192" t="s">
        <v>1202</v>
      </c>
      <c r="J192" t="s">
        <v>289</v>
      </c>
      <c r="K192">
        <v>35</v>
      </c>
      <c r="L192" t="s">
        <v>916</v>
      </c>
      <c r="M192" t="s">
        <v>963</v>
      </c>
      <c r="N192" t="s">
        <v>964</v>
      </c>
      <c r="O192" t="s">
        <v>822</v>
      </c>
      <c r="P192" t="s">
        <v>555</v>
      </c>
      <c r="Q192" t="s">
        <v>556</v>
      </c>
      <c r="R192" t="s">
        <v>289</v>
      </c>
      <c r="S192" t="s">
        <v>289</v>
      </c>
      <c r="U192">
        <v>20002672</v>
      </c>
      <c r="V192" t="s">
        <v>1108</v>
      </c>
      <c r="W192">
        <v>1</v>
      </c>
      <c r="X192" t="s">
        <v>196</v>
      </c>
      <c r="Y192" t="s">
        <v>1221</v>
      </c>
    </row>
    <row r="193" spans="1:25" x14ac:dyDescent="0.4">
      <c r="A193" t="s">
        <v>250</v>
      </c>
      <c r="B193">
        <v>594407</v>
      </c>
      <c r="C193" t="s">
        <v>711</v>
      </c>
      <c r="D193">
        <v>20004300</v>
      </c>
      <c r="E193">
        <v>10079752</v>
      </c>
      <c r="F193" t="s">
        <v>1250</v>
      </c>
      <c r="G193" t="s">
        <v>730</v>
      </c>
      <c r="H193">
        <v>1847304</v>
      </c>
      <c r="I193" t="s">
        <v>1251</v>
      </c>
      <c r="J193" t="s">
        <v>731</v>
      </c>
      <c r="K193">
        <v>0</v>
      </c>
      <c r="L193" t="s">
        <v>1035</v>
      </c>
      <c r="M193" t="s">
        <v>1012</v>
      </c>
      <c r="N193" t="s">
        <v>1013</v>
      </c>
      <c r="O193" t="s">
        <v>823</v>
      </c>
      <c r="P193" t="s">
        <v>702</v>
      </c>
      <c r="Q193" t="s">
        <v>703</v>
      </c>
      <c r="R193" t="s">
        <v>1252</v>
      </c>
      <c r="S193" t="s">
        <v>249</v>
      </c>
      <c r="U193">
        <v>20004300</v>
      </c>
      <c r="V193" t="s">
        <v>1250</v>
      </c>
      <c r="W193">
        <v>1</v>
      </c>
      <c r="X193" t="s">
        <v>196</v>
      </c>
      <c r="Y193" t="s">
        <v>1221</v>
      </c>
    </row>
    <row r="194" spans="1:25" x14ac:dyDescent="0.4">
      <c r="A194" t="s">
        <v>250</v>
      </c>
      <c r="B194">
        <v>594581</v>
      </c>
      <c r="C194" t="s">
        <v>723</v>
      </c>
      <c r="D194">
        <v>20002105</v>
      </c>
      <c r="E194">
        <v>10035815</v>
      </c>
      <c r="F194" t="s">
        <v>1253</v>
      </c>
      <c r="G194" t="s">
        <v>332</v>
      </c>
      <c r="H194">
        <v>1505640</v>
      </c>
      <c r="I194" t="s">
        <v>1254</v>
      </c>
      <c r="J194" t="s">
        <v>333</v>
      </c>
      <c r="K194">
        <v>99</v>
      </c>
      <c r="L194" t="s">
        <v>981</v>
      </c>
      <c r="M194" t="s">
        <v>885</v>
      </c>
      <c r="N194" t="s">
        <v>886</v>
      </c>
      <c r="O194" t="s">
        <v>820</v>
      </c>
      <c r="P194" t="s">
        <v>305</v>
      </c>
      <c r="Q194" t="s">
        <v>306</v>
      </c>
      <c r="R194" t="s">
        <v>1255</v>
      </c>
      <c r="S194" t="s">
        <v>1256</v>
      </c>
      <c r="U194">
        <v>20002105</v>
      </c>
      <c r="V194" t="s">
        <v>1253</v>
      </c>
      <c r="W194">
        <v>1</v>
      </c>
      <c r="X194" t="s">
        <v>196</v>
      </c>
      <c r="Y194" t="s">
        <v>1221</v>
      </c>
    </row>
    <row r="195" spans="1:25" x14ac:dyDescent="0.4">
      <c r="A195" t="s">
        <v>250</v>
      </c>
      <c r="B195">
        <v>594594</v>
      </c>
      <c r="C195" t="s">
        <v>413</v>
      </c>
      <c r="D195">
        <v>20002218</v>
      </c>
      <c r="E195">
        <v>20019085</v>
      </c>
      <c r="F195" t="s">
        <v>868</v>
      </c>
      <c r="G195" t="s">
        <v>533</v>
      </c>
      <c r="H195">
        <v>2048488</v>
      </c>
      <c r="I195" t="s">
        <v>1257</v>
      </c>
      <c r="J195" t="s">
        <v>417</v>
      </c>
      <c r="K195">
        <v>3</v>
      </c>
      <c r="L195" t="s">
        <v>852</v>
      </c>
      <c r="M195" t="s">
        <v>1083</v>
      </c>
      <c r="N195" t="s">
        <v>1084</v>
      </c>
      <c r="O195" t="s">
        <v>819</v>
      </c>
      <c r="P195" t="s">
        <v>450</v>
      </c>
      <c r="Q195" t="s">
        <v>451</v>
      </c>
      <c r="R195" t="s">
        <v>1237</v>
      </c>
      <c r="S195" t="s">
        <v>1258</v>
      </c>
      <c r="U195">
        <v>10063684</v>
      </c>
      <c r="V195" t="s">
        <v>1029</v>
      </c>
      <c r="W195">
        <v>1</v>
      </c>
      <c r="X195" t="s">
        <v>196</v>
      </c>
      <c r="Y195" t="s">
        <v>1221</v>
      </c>
    </row>
    <row r="196" spans="1:25" x14ac:dyDescent="0.4">
      <c r="A196" t="s">
        <v>250</v>
      </c>
      <c r="B196">
        <v>594674</v>
      </c>
      <c r="C196" t="s">
        <v>514</v>
      </c>
      <c r="D196">
        <v>10004691</v>
      </c>
      <c r="E196">
        <v>20018872</v>
      </c>
      <c r="F196" t="s">
        <v>984</v>
      </c>
      <c r="G196" t="s">
        <v>629</v>
      </c>
      <c r="H196">
        <v>2141800</v>
      </c>
      <c r="I196" t="s">
        <v>1106</v>
      </c>
      <c r="J196" t="s">
        <v>630</v>
      </c>
      <c r="K196">
        <v>3</v>
      </c>
      <c r="L196" t="s">
        <v>852</v>
      </c>
      <c r="M196" t="s">
        <v>960</v>
      </c>
      <c r="N196" t="s">
        <v>961</v>
      </c>
      <c r="O196" t="s">
        <v>822</v>
      </c>
      <c r="P196" t="s">
        <v>549</v>
      </c>
      <c r="Q196" t="s">
        <v>550</v>
      </c>
      <c r="R196" t="s">
        <v>1259</v>
      </c>
      <c r="S196" t="s">
        <v>530</v>
      </c>
      <c r="U196">
        <v>10004691</v>
      </c>
      <c r="V196" t="s">
        <v>984</v>
      </c>
      <c r="W196">
        <v>1</v>
      </c>
      <c r="X196" t="s">
        <v>186</v>
      </c>
      <c r="Y196" t="s">
        <v>1260</v>
      </c>
    </row>
    <row r="197" spans="1:25" x14ac:dyDescent="0.4">
      <c r="A197" t="s">
        <v>250</v>
      </c>
      <c r="B197">
        <v>594901</v>
      </c>
      <c r="C197" t="s">
        <v>411</v>
      </c>
      <c r="D197">
        <v>10006051</v>
      </c>
      <c r="E197">
        <v>20019017</v>
      </c>
      <c r="F197" t="s">
        <v>1261</v>
      </c>
      <c r="G197" t="s">
        <v>416</v>
      </c>
      <c r="H197">
        <v>1604600</v>
      </c>
      <c r="I197" t="s">
        <v>1262</v>
      </c>
      <c r="J197" t="s">
        <v>417</v>
      </c>
      <c r="K197">
        <v>3</v>
      </c>
      <c r="L197" t="s">
        <v>852</v>
      </c>
      <c r="M197" t="s">
        <v>869</v>
      </c>
      <c r="N197" t="s">
        <v>870</v>
      </c>
      <c r="O197" t="s">
        <v>820</v>
      </c>
      <c r="P197" t="s">
        <v>305</v>
      </c>
      <c r="Q197" t="s">
        <v>306</v>
      </c>
      <c r="R197" t="s">
        <v>1263</v>
      </c>
      <c r="S197" t="s">
        <v>417</v>
      </c>
      <c r="U197">
        <v>10006051</v>
      </c>
      <c r="V197" t="s">
        <v>1261</v>
      </c>
      <c r="W197">
        <v>1</v>
      </c>
      <c r="X197" t="s">
        <v>196</v>
      </c>
      <c r="Y197" t="s">
        <v>1221</v>
      </c>
    </row>
    <row r="198" spans="1:25" x14ac:dyDescent="0.4">
      <c r="A198" t="s">
        <v>250</v>
      </c>
      <c r="B198">
        <v>594953</v>
      </c>
      <c r="C198" t="s">
        <v>1246</v>
      </c>
      <c r="D198">
        <v>10063720</v>
      </c>
      <c r="E198">
        <v>20019029</v>
      </c>
      <c r="F198" t="s">
        <v>1028</v>
      </c>
      <c r="G198" t="s">
        <v>418</v>
      </c>
      <c r="H198">
        <v>2091584</v>
      </c>
      <c r="I198" t="s">
        <v>1240</v>
      </c>
      <c r="J198" t="s">
        <v>419</v>
      </c>
      <c r="K198">
        <v>3</v>
      </c>
      <c r="L198" t="s">
        <v>852</v>
      </c>
      <c r="M198" t="s">
        <v>956</v>
      </c>
      <c r="N198" t="s">
        <v>957</v>
      </c>
      <c r="O198" t="s">
        <v>820</v>
      </c>
      <c r="P198" t="s">
        <v>305</v>
      </c>
      <c r="Q198" t="s">
        <v>306</v>
      </c>
      <c r="R198" t="s">
        <v>417</v>
      </c>
      <c r="S198" t="s">
        <v>1255</v>
      </c>
      <c r="W198">
        <v>1</v>
      </c>
      <c r="X198" t="s">
        <v>186</v>
      </c>
      <c r="Y198" t="s">
        <v>1260</v>
      </c>
    </row>
    <row r="199" spans="1:25" x14ac:dyDescent="0.4">
      <c r="A199" t="s">
        <v>250</v>
      </c>
      <c r="B199">
        <v>595350</v>
      </c>
      <c r="C199" t="s">
        <v>417</v>
      </c>
      <c r="D199">
        <v>20006863</v>
      </c>
      <c r="E199">
        <v>20019184</v>
      </c>
      <c r="F199" t="s">
        <v>1264</v>
      </c>
      <c r="G199" t="s">
        <v>296</v>
      </c>
      <c r="H199">
        <v>1462720</v>
      </c>
      <c r="I199" t="s">
        <v>1015</v>
      </c>
      <c r="J199" t="s">
        <v>297</v>
      </c>
      <c r="K199">
        <v>3</v>
      </c>
      <c r="L199" t="s">
        <v>852</v>
      </c>
      <c r="M199" t="s">
        <v>1016</v>
      </c>
      <c r="N199" t="s">
        <v>1017</v>
      </c>
      <c r="O199" t="s">
        <v>818</v>
      </c>
      <c r="P199" t="s">
        <v>191</v>
      </c>
      <c r="Q199" t="s">
        <v>192</v>
      </c>
      <c r="R199" t="s">
        <v>1265</v>
      </c>
      <c r="S199" t="s">
        <v>1266</v>
      </c>
      <c r="U199">
        <v>20006863</v>
      </c>
      <c r="V199" t="s">
        <v>1264</v>
      </c>
      <c r="W199">
        <v>1</v>
      </c>
      <c r="X199" t="s">
        <v>196</v>
      </c>
      <c r="Y199" t="s">
        <v>1221</v>
      </c>
    </row>
    <row r="200" spans="1:25" x14ac:dyDescent="0.4">
      <c r="A200" t="s">
        <v>250</v>
      </c>
      <c r="B200">
        <v>595422</v>
      </c>
      <c r="C200" t="s">
        <v>1265</v>
      </c>
      <c r="D200">
        <v>20002218</v>
      </c>
      <c r="E200">
        <v>10068909</v>
      </c>
      <c r="F200" t="s">
        <v>868</v>
      </c>
      <c r="G200" t="s">
        <v>248</v>
      </c>
      <c r="H200">
        <v>2753000</v>
      </c>
      <c r="I200" t="s">
        <v>1267</v>
      </c>
      <c r="J200" t="s">
        <v>249</v>
      </c>
      <c r="K200">
        <v>16</v>
      </c>
      <c r="L200" t="s">
        <v>890</v>
      </c>
      <c r="M200" t="s">
        <v>873</v>
      </c>
      <c r="N200" t="s">
        <v>874</v>
      </c>
      <c r="O200" t="s">
        <v>818</v>
      </c>
      <c r="P200" t="s">
        <v>181</v>
      </c>
      <c r="Q200" t="s">
        <v>182</v>
      </c>
      <c r="R200" t="s">
        <v>249</v>
      </c>
      <c r="S200" t="s">
        <v>699</v>
      </c>
      <c r="U200">
        <v>10004781</v>
      </c>
      <c r="V200" t="s">
        <v>1268</v>
      </c>
      <c r="W200">
        <v>1</v>
      </c>
      <c r="X200" t="s">
        <v>238</v>
      </c>
      <c r="Y200" t="s">
        <v>1269</v>
      </c>
    </row>
    <row r="201" spans="1:25" x14ac:dyDescent="0.4">
      <c r="A201" t="s">
        <v>250</v>
      </c>
      <c r="B201">
        <v>595525</v>
      </c>
      <c r="C201" t="s">
        <v>297</v>
      </c>
      <c r="D201">
        <v>20002218</v>
      </c>
      <c r="E201">
        <v>20019080</v>
      </c>
      <c r="F201" t="s">
        <v>868</v>
      </c>
      <c r="G201" t="s">
        <v>529</v>
      </c>
      <c r="H201">
        <v>1264600</v>
      </c>
      <c r="I201" t="s">
        <v>975</v>
      </c>
      <c r="J201" t="s">
        <v>530</v>
      </c>
      <c r="K201">
        <v>3</v>
      </c>
      <c r="L201" t="s">
        <v>852</v>
      </c>
      <c r="M201" t="s">
        <v>976</v>
      </c>
      <c r="N201" t="s">
        <v>977</v>
      </c>
      <c r="O201" t="s">
        <v>819</v>
      </c>
      <c r="P201" t="s">
        <v>446</v>
      </c>
      <c r="Q201" t="s">
        <v>447</v>
      </c>
      <c r="R201" t="s">
        <v>1259</v>
      </c>
      <c r="S201" t="s">
        <v>1270</v>
      </c>
      <c r="W201">
        <v>1</v>
      </c>
      <c r="X201" t="s">
        <v>196</v>
      </c>
      <c r="Y201" t="s">
        <v>1221</v>
      </c>
    </row>
    <row r="202" spans="1:25" x14ac:dyDescent="0.4">
      <c r="A202" t="s">
        <v>250</v>
      </c>
      <c r="B202">
        <v>595603</v>
      </c>
      <c r="C202" t="s">
        <v>1271</v>
      </c>
      <c r="D202">
        <v>20006277</v>
      </c>
      <c r="E202">
        <v>20019098</v>
      </c>
      <c r="F202" t="s">
        <v>856</v>
      </c>
      <c r="G202" t="s">
        <v>698</v>
      </c>
      <c r="H202">
        <v>1826584</v>
      </c>
      <c r="I202" t="s">
        <v>1272</v>
      </c>
      <c r="J202" t="s">
        <v>699</v>
      </c>
      <c r="K202">
        <v>0</v>
      </c>
      <c r="L202" t="s">
        <v>1035</v>
      </c>
      <c r="M202" t="s">
        <v>1037</v>
      </c>
      <c r="N202" t="s">
        <v>1038</v>
      </c>
      <c r="O202" t="s">
        <v>821</v>
      </c>
      <c r="P202" t="s">
        <v>656</v>
      </c>
      <c r="Q202" t="s">
        <v>657</v>
      </c>
      <c r="R202" t="s">
        <v>699</v>
      </c>
      <c r="S202" t="s">
        <v>699</v>
      </c>
      <c r="U202">
        <v>20003274</v>
      </c>
      <c r="V202" t="s">
        <v>862</v>
      </c>
      <c r="W202">
        <v>1</v>
      </c>
      <c r="X202" t="s">
        <v>186</v>
      </c>
      <c r="Y202" t="s">
        <v>1260</v>
      </c>
    </row>
    <row r="203" spans="1:25" x14ac:dyDescent="0.4">
      <c r="A203" t="s">
        <v>196</v>
      </c>
      <c r="B203">
        <v>592903</v>
      </c>
      <c r="C203" t="s">
        <v>1113</v>
      </c>
      <c r="D203">
        <v>20003059</v>
      </c>
      <c r="E203">
        <v>10054475</v>
      </c>
      <c r="F203" t="s">
        <v>926</v>
      </c>
      <c r="G203" t="s">
        <v>343</v>
      </c>
      <c r="H203">
        <v>1664600</v>
      </c>
      <c r="I203" t="s">
        <v>955</v>
      </c>
      <c r="J203" t="s">
        <v>344</v>
      </c>
      <c r="K203">
        <v>25</v>
      </c>
      <c r="L203" t="s">
        <v>879</v>
      </c>
      <c r="M203" t="s">
        <v>956</v>
      </c>
      <c r="N203" t="s">
        <v>957</v>
      </c>
      <c r="O203" t="s">
        <v>820</v>
      </c>
      <c r="P203" t="s">
        <v>305</v>
      </c>
      <c r="Q203" t="s">
        <v>306</v>
      </c>
      <c r="R203" t="s">
        <v>756</v>
      </c>
      <c r="S203" t="s">
        <v>344</v>
      </c>
      <c r="U203">
        <v>20003059</v>
      </c>
      <c r="V203" t="s">
        <v>926</v>
      </c>
      <c r="W203">
        <v>1</v>
      </c>
      <c r="X203" t="s">
        <v>203</v>
      </c>
      <c r="Y203" t="s">
        <v>1126</v>
      </c>
    </row>
    <row r="204" spans="1:25" x14ac:dyDescent="0.4">
      <c r="A204" t="s">
        <v>196</v>
      </c>
      <c r="B204">
        <v>595217</v>
      </c>
      <c r="C204" t="s">
        <v>1273</v>
      </c>
      <c r="D204">
        <v>10004905</v>
      </c>
      <c r="E204">
        <v>10067085</v>
      </c>
      <c r="F204" t="s">
        <v>1077</v>
      </c>
      <c r="G204" t="s">
        <v>674</v>
      </c>
      <c r="H204">
        <v>2480472</v>
      </c>
      <c r="I204" t="s">
        <v>1026</v>
      </c>
      <c r="J204" t="s">
        <v>675</v>
      </c>
      <c r="K204">
        <v>2</v>
      </c>
      <c r="L204" t="s">
        <v>945</v>
      </c>
      <c r="M204" t="s">
        <v>859</v>
      </c>
      <c r="N204" t="s">
        <v>860</v>
      </c>
      <c r="O204" t="s">
        <v>821</v>
      </c>
      <c r="P204" t="s">
        <v>656</v>
      </c>
      <c r="Q204" t="s">
        <v>657</v>
      </c>
      <c r="R204" t="s">
        <v>344</v>
      </c>
      <c r="S204" t="s">
        <v>558</v>
      </c>
      <c r="W204">
        <v>1</v>
      </c>
      <c r="X204" t="s">
        <v>238</v>
      </c>
      <c r="Y204" t="s">
        <v>1269</v>
      </c>
    </row>
    <row r="205" spans="1:25" x14ac:dyDescent="0.4">
      <c r="A205" t="s">
        <v>196</v>
      </c>
      <c r="B205">
        <v>595503</v>
      </c>
      <c r="C205" t="s">
        <v>297</v>
      </c>
      <c r="D205">
        <v>20002542</v>
      </c>
      <c r="E205">
        <v>10026378</v>
      </c>
      <c r="F205" t="s">
        <v>1274</v>
      </c>
      <c r="G205" t="s">
        <v>319</v>
      </c>
      <c r="H205">
        <v>1304600</v>
      </c>
      <c r="I205" t="s">
        <v>1275</v>
      </c>
      <c r="J205" t="s">
        <v>320</v>
      </c>
      <c r="K205">
        <v>99</v>
      </c>
      <c r="L205" t="s">
        <v>981</v>
      </c>
      <c r="M205" t="s">
        <v>1276</v>
      </c>
      <c r="N205" t="s">
        <v>1277</v>
      </c>
      <c r="O205" t="s">
        <v>820</v>
      </c>
      <c r="P205" t="s">
        <v>305</v>
      </c>
      <c r="Q205" t="s">
        <v>306</v>
      </c>
      <c r="R205" t="s">
        <v>731</v>
      </c>
      <c r="S205" t="s">
        <v>539</v>
      </c>
      <c r="U205">
        <v>20002542</v>
      </c>
      <c r="V205" t="s">
        <v>1274</v>
      </c>
      <c r="W205">
        <v>1</v>
      </c>
      <c r="X205" t="s">
        <v>186</v>
      </c>
      <c r="Y205" t="s">
        <v>1260</v>
      </c>
    </row>
    <row r="206" spans="1:25" x14ac:dyDescent="0.4">
      <c r="A206" t="s">
        <v>196</v>
      </c>
      <c r="B206">
        <v>595572</v>
      </c>
      <c r="C206" t="s">
        <v>1278</v>
      </c>
      <c r="D206">
        <v>20019306</v>
      </c>
      <c r="E206">
        <v>20019306</v>
      </c>
      <c r="F206" t="s">
        <v>535</v>
      </c>
      <c r="G206" t="s">
        <v>535</v>
      </c>
      <c r="H206">
        <v>2585200</v>
      </c>
      <c r="I206" t="s">
        <v>1279</v>
      </c>
      <c r="J206" t="s">
        <v>536</v>
      </c>
      <c r="K206">
        <v>3</v>
      </c>
      <c r="L206" t="s">
        <v>852</v>
      </c>
      <c r="M206" t="s">
        <v>1074</v>
      </c>
      <c r="N206" t="s">
        <v>1075</v>
      </c>
      <c r="O206" t="s">
        <v>819</v>
      </c>
      <c r="P206" t="s">
        <v>446</v>
      </c>
      <c r="Q206" t="s">
        <v>447</v>
      </c>
      <c r="R206" t="s">
        <v>1280</v>
      </c>
      <c r="S206" t="s">
        <v>210</v>
      </c>
      <c r="W206">
        <v>1</v>
      </c>
      <c r="X206" t="s">
        <v>186</v>
      </c>
      <c r="Y206" t="s">
        <v>1260</v>
      </c>
    </row>
    <row r="207" spans="1:25" x14ac:dyDescent="0.4">
      <c r="A207" t="s">
        <v>196</v>
      </c>
      <c r="B207">
        <v>595883</v>
      </c>
      <c r="C207" t="s">
        <v>249</v>
      </c>
      <c r="D207">
        <v>20012244</v>
      </c>
      <c r="E207">
        <v>20012244</v>
      </c>
      <c r="F207" t="s">
        <v>744</v>
      </c>
      <c r="G207" t="s">
        <v>744</v>
      </c>
      <c r="H207">
        <v>1378000</v>
      </c>
      <c r="I207" t="s">
        <v>1281</v>
      </c>
      <c r="J207" t="s">
        <v>745</v>
      </c>
      <c r="K207">
        <v>16</v>
      </c>
      <c r="L207" t="s">
        <v>890</v>
      </c>
      <c r="M207" t="s">
        <v>1012</v>
      </c>
      <c r="N207" t="s">
        <v>1013</v>
      </c>
      <c r="O207" t="s">
        <v>823</v>
      </c>
      <c r="P207" t="s">
        <v>702</v>
      </c>
      <c r="Q207" t="s">
        <v>703</v>
      </c>
      <c r="R207" t="s">
        <v>536</v>
      </c>
      <c r="S207" t="s">
        <v>558</v>
      </c>
      <c r="U207">
        <v>20005376</v>
      </c>
      <c r="V207" t="s">
        <v>1282</v>
      </c>
      <c r="W207">
        <v>1</v>
      </c>
      <c r="X207" t="s">
        <v>186</v>
      </c>
      <c r="Y207" t="s">
        <v>1260</v>
      </c>
    </row>
    <row r="208" spans="1:25" x14ac:dyDescent="0.4">
      <c r="A208" t="s">
        <v>196</v>
      </c>
      <c r="B208">
        <v>595885</v>
      </c>
      <c r="C208" t="s">
        <v>249</v>
      </c>
      <c r="D208">
        <v>20015695</v>
      </c>
      <c r="E208">
        <v>20015695</v>
      </c>
      <c r="F208" t="s">
        <v>758</v>
      </c>
      <c r="G208" t="s">
        <v>758</v>
      </c>
      <c r="H208">
        <v>1378000</v>
      </c>
      <c r="I208" t="s">
        <v>1281</v>
      </c>
      <c r="J208" t="s">
        <v>745</v>
      </c>
      <c r="K208">
        <v>16</v>
      </c>
      <c r="L208" t="s">
        <v>890</v>
      </c>
      <c r="M208" t="s">
        <v>1012</v>
      </c>
      <c r="N208" t="s">
        <v>1013</v>
      </c>
      <c r="O208" t="s">
        <v>823</v>
      </c>
      <c r="P208" t="s">
        <v>702</v>
      </c>
      <c r="Q208" t="s">
        <v>703</v>
      </c>
      <c r="R208" t="s">
        <v>536</v>
      </c>
      <c r="S208" t="s">
        <v>558</v>
      </c>
      <c r="U208">
        <v>20005376</v>
      </c>
      <c r="V208" t="s">
        <v>1282</v>
      </c>
      <c r="W208">
        <v>1</v>
      </c>
      <c r="X208" t="s">
        <v>186</v>
      </c>
      <c r="Y208" t="s">
        <v>1260</v>
      </c>
    </row>
    <row r="209" spans="1:25" x14ac:dyDescent="0.4">
      <c r="A209" t="s">
        <v>196</v>
      </c>
      <c r="B209">
        <v>595919</v>
      </c>
      <c r="C209" t="s">
        <v>699</v>
      </c>
      <c r="D209">
        <v>10004689</v>
      </c>
      <c r="E209">
        <v>20012202</v>
      </c>
      <c r="F209" t="s">
        <v>893</v>
      </c>
      <c r="G209" t="s">
        <v>490</v>
      </c>
      <c r="H209">
        <v>2089020</v>
      </c>
      <c r="I209" t="s">
        <v>1283</v>
      </c>
      <c r="J209" t="s">
        <v>344</v>
      </c>
      <c r="K209">
        <v>28</v>
      </c>
      <c r="L209" t="s">
        <v>907</v>
      </c>
      <c r="M209" t="s">
        <v>991</v>
      </c>
      <c r="N209" t="s">
        <v>992</v>
      </c>
      <c r="O209" t="s">
        <v>819</v>
      </c>
      <c r="P209" t="s">
        <v>450</v>
      </c>
      <c r="Q209" t="s">
        <v>451</v>
      </c>
      <c r="R209" t="s">
        <v>536</v>
      </c>
      <c r="S209" t="s">
        <v>1284</v>
      </c>
      <c r="U209">
        <v>10004689</v>
      </c>
      <c r="V209" t="s">
        <v>893</v>
      </c>
      <c r="W209">
        <v>1</v>
      </c>
      <c r="X209" t="s">
        <v>186</v>
      </c>
      <c r="Y209" t="s">
        <v>1260</v>
      </c>
    </row>
    <row r="210" spans="1:25" x14ac:dyDescent="0.4">
      <c r="A210" t="s">
        <v>196</v>
      </c>
      <c r="B210">
        <v>595991</v>
      </c>
      <c r="C210" t="s">
        <v>320</v>
      </c>
      <c r="D210">
        <v>20002297</v>
      </c>
      <c r="E210">
        <v>20019209</v>
      </c>
      <c r="F210" t="s">
        <v>888</v>
      </c>
      <c r="G210" t="s">
        <v>639</v>
      </c>
      <c r="H210">
        <v>2219736</v>
      </c>
      <c r="I210" t="s">
        <v>1285</v>
      </c>
      <c r="J210" t="s">
        <v>210</v>
      </c>
      <c r="K210">
        <v>3</v>
      </c>
      <c r="L210" t="s">
        <v>852</v>
      </c>
      <c r="M210" t="s">
        <v>1043</v>
      </c>
      <c r="N210" t="s">
        <v>1044</v>
      </c>
      <c r="O210" t="s">
        <v>822</v>
      </c>
      <c r="P210" t="s">
        <v>549</v>
      </c>
      <c r="Q210" t="s">
        <v>550</v>
      </c>
      <c r="R210" t="s">
        <v>1286</v>
      </c>
      <c r="S210" t="s">
        <v>210</v>
      </c>
      <c r="U210">
        <v>20002297</v>
      </c>
      <c r="V210" t="s">
        <v>888</v>
      </c>
      <c r="W210">
        <v>1</v>
      </c>
      <c r="X210" t="s">
        <v>238</v>
      </c>
      <c r="Y210" t="s">
        <v>1269</v>
      </c>
    </row>
    <row r="211" spans="1:25" x14ac:dyDescent="0.4">
      <c r="A211" t="s">
        <v>196</v>
      </c>
      <c r="B211">
        <v>595992</v>
      </c>
      <c r="C211" t="s">
        <v>320</v>
      </c>
      <c r="D211">
        <v>20008795</v>
      </c>
      <c r="E211">
        <v>20019320</v>
      </c>
      <c r="F211" t="s">
        <v>1287</v>
      </c>
      <c r="G211" t="s">
        <v>538</v>
      </c>
      <c r="H211">
        <v>1623428</v>
      </c>
      <c r="I211" t="s">
        <v>1288</v>
      </c>
      <c r="J211" t="s">
        <v>539</v>
      </c>
      <c r="K211">
        <v>3</v>
      </c>
      <c r="L211" t="s">
        <v>852</v>
      </c>
      <c r="M211" t="s">
        <v>1083</v>
      </c>
      <c r="N211" t="s">
        <v>1084</v>
      </c>
      <c r="O211" t="s">
        <v>819</v>
      </c>
      <c r="P211" t="s">
        <v>450</v>
      </c>
      <c r="Q211" t="s">
        <v>451</v>
      </c>
      <c r="R211" t="s">
        <v>1280</v>
      </c>
      <c r="S211" t="s">
        <v>1280</v>
      </c>
      <c r="U211">
        <v>20008795</v>
      </c>
      <c r="V211" t="s">
        <v>1287</v>
      </c>
      <c r="W211">
        <v>1</v>
      </c>
      <c r="X211" t="s">
        <v>186</v>
      </c>
      <c r="Y211" t="s">
        <v>1260</v>
      </c>
    </row>
    <row r="212" spans="1:25" x14ac:dyDescent="0.4">
      <c r="A212" t="s">
        <v>196</v>
      </c>
      <c r="B212">
        <v>595994</v>
      </c>
      <c r="C212" t="s">
        <v>320</v>
      </c>
      <c r="D212">
        <v>20002364</v>
      </c>
      <c r="E212">
        <v>10065913</v>
      </c>
      <c r="F212" t="s">
        <v>1009</v>
      </c>
      <c r="G212" t="s">
        <v>726</v>
      </c>
      <c r="H212">
        <v>2119872</v>
      </c>
      <c r="I212" t="s">
        <v>1243</v>
      </c>
      <c r="J212" t="s">
        <v>558</v>
      </c>
      <c r="K212">
        <v>16</v>
      </c>
      <c r="L212" t="s">
        <v>890</v>
      </c>
      <c r="M212" t="s">
        <v>913</v>
      </c>
      <c r="N212" t="s">
        <v>914</v>
      </c>
      <c r="O212" t="s">
        <v>823</v>
      </c>
      <c r="P212" t="s">
        <v>702</v>
      </c>
      <c r="Q212" t="s">
        <v>703</v>
      </c>
      <c r="R212" t="s">
        <v>558</v>
      </c>
      <c r="S212" t="s">
        <v>558</v>
      </c>
      <c r="U212">
        <v>20002364</v>
      </c>
      <c r="V212" t="s">
        <v>1009</v>
      </c>
      <c r="W212">
        <v>1</v>
      </c>
      <c r="X212" t="s">
        <v>238</v>
      </c>
      <c r="Y212" t="s">
        <v>1269</v>
      </c>
    </row>
    <row r="213" spans="1:25" x14ac:dyDescent="0.4">
      <c r="A213" t="s">
        <v>196</v>
      </c>
      <c r="B213">
        <v>596050</v>
      </c>
      <c r="C213" t="s">
        <v>1289</v>
      </c>
      <c r="D213">
        <v>20002218</v>
      </c>
      <c r="E213">
        <v>10020304</v>
      </c>
      <c r="F213" t="s">
        <v>868</v>
      </c>
      <c r="G213" t="s">
        <v>209</v>
      </c>
      <c r="H213">
        <v>1792840</v>
      </c>
      <c r="I213" t="s">
        <v>872</v>
      </c>
      <c r="J213" t="s">
        <v>210</v>
      </c>
      <c r="K213">
        <v>2</v>
      </c>
      <c r="L213" t="s">
        <v>945</v>
      </c>
      <c r="M213" t="s">
        <v>873</v>
      </c>
      <c r="N213" t="s">
        <v>874</v>
      </c>
      <c r="O213" t="s">
        <v>818</v>
      </c>
      <c r="P213" t="s">
        <v>181</v>
      </c>
      <c r="Q213" t="s">
        <v>182</v>
      </c>
      <c r="R213" t="s">
        <v>1290</v>
      </c>
      <c r="S213" t="s">
        <v>1291</v>
      </c>
      <c r="U213">
        <v>10004781</v>
      </c>
      <c r="V213" t="s">
        <v>1268</v>
      </c>
      <c r="W213">
        <v>1</v>
      </c>
      <c r="X213" t="s">
        <v>238</v>
      </c>
      <c r="Y213" t="s">
        <v>1269</v>
      </c>
    </row>
    <row r="214" spans="1:25" x14ac:dyDescent="0.4">
      <c r="A214" t="s">
        <v>196</v>
      </c>
      <c r="B214">
        <v>596098</v>
      </c>
      <c r="C214" t="s">
        <v>1292</v>
      </c>
      <c r="D214">
        <v>10023263</v>
      </c>
      <c r="E214">
        <v>10023263</v>
      </c>
      <c r="F214" t="s">
        <v>557</v>
      </c>
      <c r="G214" t="s">
        <v>557</v>
      </c>
      <c r="H214">
        <v>1701450</v>
      </c>
      <c r="I214" t="s">
        <v>1202</v>
      </c>
      <c r="J214" t="s">
        <v>558</v>
      </c>
      <c r="K214">
        <v>0</v>
      </c>
      <c r="L214" t="s">
        <v>1035</v>
      </c>
      <c r="M214" t="s">
        <v>963</v>
      </c>
      <c r="N214" t="s">
        <v>964</v>
      </c>
      <c r="O214" t="s">
        <v>822</v>
      </c>
      <c r="P214" t="s">
        <v>555</v>
      </c>
      <c r="Q214" t="s">
        <v>556</v>
      </c>
      <c r="R214" t="s">
        <v>558</v>
      </c>
      <c r="S214" t="s">
        <v>558</v>
      </c>
      <c r="W214">
        <v>1</v>
      </c>
      <c r="X214" t="s">
        <v>238</v>
      </c>
      <c r="Y214" t="s">
        <v>1269</v>
      </c>
    </row>
    <row r="215" spans="1:25" x14ac:dyDescent="0.4">
      <c r="A215" t="s">
        <v>196</v>
      </c>
      <c r="B215">
        <v>596176</v>
      </c>
      <c r="C215" t="s">
        <v>1284</v>
      </c>
      <c r="D215">
        <v>10004856</v>
      </c>
      <c r="E215">
        <v>20020214</v>
      </c>
      <c r="F215" t="s">
        <v>1039</v>
      </c>
      <c r="G215" t="s">
        <v>430</v>
      </c>
      <c r="H215">
        <v>2187452</v>
      </c>
      <c r="I215" t="s">
        <v>1293</v>
      </c>
      <c r="J215" t="s">
        <v>210</v>
      </c>
      <c r="K215">
        <v>3</v>
      </c>
      <c r="L215" t="s">
        <v>852</v>
      </c>
      <c r="M215" t="s">
        <v>885</v>
      </c>
      <c r="N215" t="s">
        <v>886</v>
      </c>
      <c r="O215" t="s">
        <v>820</v>
      </c>
      <c r="P215" t="s">
        <v>305</v>
      </c>
      <c r="Q215" t="s">
        <v>306</v>
      </c>
      <c r="R215" t="s">
        <v>1286</v>
      </c>
      <c r="S215" t="s">
        <v>558</v>
      </c>
      <c r="W215">
        <v>1</v>
      </c>
      <c r="X215" t="s">
        <v>238</v>
      </c>
      <c r="Y215" t="s">
        <v>1269</v>
      </c>
    </row>
    <row r="216" spans="1:25" x14ac:dyDescent="0.4">
      <c r="A216" t="s">
        <v>196</v>
      </c>
      <c r="B216">
        <v>596199</v>
      </c>
      <c r="C216" t="s">
        <v>1290</v>
      </c>
      <c r="D216">
        <v>10004691</v>
      </c>
      <c r="E216">
        <v>20008671</v>
      </c>
      <c r="F216" t="s">
        <v>984</v>
      </c>
      <c r="G216" t="s">
        <v>592</v>
      </c>
      <c r="H216">
        <v>2230840</v>
      </c>
      <c r="I216" t="s">
        <v>1018</v>
      </c>
      <c r="J216" t="s">
        <v>558</v>
      </c>
      <c r="K216">
        <v>28</v>
      </c>
      <c r="L216" t="s">
        <v>907</v>
      </c>
      <c r="M216" t="s">
        <v>960</v>
      </c>
      <c r="N216" t="s">
        <v>961</v>
      </c>
      <c r="O216" t="s">
        <v>822</v>
      </c>
      <c r="P216" t="s">
        <v>549</v>
      </c>
      <c r="Q216" t="s">
        <v>550</v>
      </c>
      <c r="R216" t="s">
        <v>217</v>
      </c>
      <c r="S216" t="s">
        <v>217</v>
      </c>
      <c r="U216">
        <v>10004691</v>
      </c>
      <c r="V216" t="s">
        <v>984</v>
      </c>
      <c r="W216">
        <v>1</v>
      </c>
      <c r="X216" t="s">
        <v>186</v>
      </c>
      <c r="Y216" t="s">
        <v>1260</v>
      </c>
    </row>
    <row r="217" spans="1:25" x14ac:dyDescent="0.4">
      <c r="A217" t="s">
        <v>196</v>
      </c>
      <c r="B217">
        <v>596240</v>
      </c>
      <c r="C217" t="s">
        <v>1294</v>
      </c>
      <c r="D217">
        <v>20006277</v>
      </c>
      <c r="E217">
        <v>20018912</v>
      </c>
      <c r="F217" t="s">
        <v>856</v>
      </c>
      <c r="G217" t="s">
        <v>785</v>
      </c>
      <c r="H217">
        <v>1204600</v>
      </c>
      <c r="I217" t="s">
        <v>1295</v>
      </c>
      <c r="J217" t="s">
        <v>786</v>
      </c>
      <c r="K217">
        <v>28</v>
      </c>
      <c r="L217" t="s">
        <v>907</v>
      </c>
      <c r="M217" t="s">
        <v>913</v>
      </c>
      <c r="N217" t="s">
        <v>914</v>
      </c>
      <c r="O217" t="s">
        <v>823</v>
      </c>
      <c r="P217" t="s">
        <v>702</v>
      </c>
      <c r="Q217" t="s">
        <v>703</v>
      </c>
      <c r="R217" t="s">
        <v>217</v>
      </c>
      <c r="S217" t="s">
        <v>558</v>
      </c>
      <c r="W217">
        <v>1</v>
      </c>
      <c r="X217" t="s">
        <v>186</v>
      </c>
      <c r="Y217" t="s">
        <v>1260</v>
      </c>
    </row>
    <row r="218" spans="1:25" x14ac:dyDescent="0.4">
      <c r="A218" t="s">
        <v>196</v>
      </c>
      <c r="B218">
        <v>596293</v>
      </c>
      <c r="C218" t="s">
        <v>1296</v>
      </c>
      <c r="D218">
        <v>20002218</v>
      </c>
      <c r="E218">
        <v>10020518</v>
      </c>
      <c r="F218" t="s">
        <v>868</v>
      </c>
      <c r="G218" t="s">
        <v>216</v>
      </c>
      <c r="H218">
        <v>1507560</v>
      </c>
      <c r="I218" t="s">
        <v>1297</v>
      </c>
      <c r="J218" t="s">
        <v>217</v>
      </c>
      <c r="K218">
        <v>35</v>
      </c>
      <c r="L218" t="s">
        <v>916</v>
      </c>
      <c r="M218" t="s">
        <v>1022</v>
      </c>
      <c r="N218" t="s">
        <v>1023</v>
      </c>
      <c r="O218" t="s">
        <v>818</v>
      </c>
      <c r="P218" t="s">
        <v>181</v>
      </c>
      <c r="Q218" t="s">
        <v>182</v>
      </c>
      <c r="R218" t="s">
        <v>210</v>
      </c>
      <c r="S218" t="s">
        <v>217</v>
      </c>
      <c r="U218">
        <v>10004775</v>
      </c>
      <c r="V218" t="s">
        <v>1298</v>
      </c>
      <c r="W218">
        <v>1</v>
      </c>
      <c r="X218" t="s">
        <v>238</v>
      </c>
      <c r="Y218" t="s">
        <v>1269</v>
      </c>
    </row>
    <row r="219" spans="1:25" x14ac:dyDescent="0.4">
      <c r="A219" t="s">
        <v>196</v>
      </c>
      <c r="B219">
        <v>596371</v>
      </c>
      <c r="C219" t="s">
        <v>1291</v>
      </c>
      <c r="D219">
        <v>10005466</v>
      </c>
      <c r="E219">
        <v>20020226</v>
      </c>
      <c r="F219" t="s">
        <v>1105</v>
      </c>
      <c r="G219" t="s">
        <v>643</v>
      </c>
      <c r="H219">
        <v>1450520</v>
      </c>
      <c r="I219" t="s">
        <v>1299</v>
      </c>
      <c r="J219" t="s">
        <v>558</v>
      </c>
      <c r="K219">
        <v>3</v>
      </c>
      <c r="L219" t="s">
        <v>852</v>
      </c>
      <c r="M219" t="s">
        <v>917</v>
      </c>
      <c r="N219" t="s">
        <v>918</v>
      </c>
      <c r="O219" t="s">
        <v>822</v>
      </c>
      <c r="P219" t="s">
        <v>549</v>
      </c>
      <c r="Q219" t="s">
        <v>550</v>
      </c>
      <c r="R219" t="s">
        <v>558</v>
      </c>
      <c r="S219" t="s">
        <v>558</v>
      </c>
      <c r="U219">
        <v>10005466</v>
      </c>
      <c r="V219" t="s">
        <v>1105</v>
      </c>
      <c r="W219">
        <v>1</v>
      </c>
      <c r="X219" t="s">
        <v>238</v>
      </c>
      <c r="Y219" t="s">
        <v>1269</v>
      </c>
    </row>
    <row r="220" spans="1:25" x14ac:dyDescent="0.4">
      <c r="A220" t="s">
        <v>186</v>
      </c>
      <c r="B220">
        <v>595643</v>
      </c>
      <c r="C220" t="s">
        <v>1259</v>
      </c>
      <c r="D220">
        <v>10005590</v>
      </c>
      <c r="E220">
        <v>10086507</v>
      </c>
      <c r="F220" t="s">
        <v>1300</v>
      </c>
      <c r="G220" t="s">
        <v>733</v>
      </c>
      <c r="H220">
        <v>1304600</v>
      </c>
      <c r="I220" t="s">
        <v>1301</v>
      </c>
      <c r="J220" t="s">
        <v>734</v>
      </c>
      <c r="K220">
        <v>28</v>
      </c>
      <c r="L220" t="s">
        <v>907</v>
      </c>
      <c r="M220" t="s">
        <v>997</v>
      </c>
      <c r="N220" t="s">
        <v>998</v>
      </c>
      <c r="O220" t="s">
        <v>823</v>
      </c>
      <c r="P220" t="s">
        <v>702</v>
      </c>
      <c r="Q220" t="s">
        <v>703</v>
      </c>
      <c r="R220" t="s">
        <v>576</v>
      </c>
      <c r="S220" t="s">
        <v>601</v>
      </c>
      <c r="W220">
        <v>1</v>
      </c>
      <c r="X220" t="s">
        <v>230</v>
      </c>
      <c r="Y220" t="s">
        <v>1302</v>
      </c>
    </row>
    <row r="221" spans="1:25" x14ac:dyDescent="0.4">
      <c r="A221" t="s">
        <v>186</v>
      </c>
      <c r="B221">
        <v>596017</v>
      </c>
      <c r="C221" t="s">
        <v>539</v>
      </c>
      <c r="D221">
        <v>10063720</v>
      </c>
      <c r="E221">
        <v>10038040</v>
      </c>
      <c r="F221" t="s">
        <v>1028</v>
      </c>
      <c r="G221" t="s">
        <v>336</v>
      </c>
      <c r="H221">
        <v>1446040</v>
      </c>
      <c r="I221" t="s">
        <v>1303</v>
      </c>
      <c r="J221" t="s">
        <v>337</v>
      </c>
      <c r="K221">
        <v>16</v>
      </c>
      <c r="L221" t="s">
        <v>890</v>
      </c>
      <c r="M221" t="s">
        <v>956</v>
      </c>
      <c r="N221" t="s">
        <v>957</v>
      </c>
      <c r="O221" t="s">
        <v>820</v>
      </c>
      <c r="P221" t="s">
        <v>305</v>
      </c>
      <c r="Q221" t="s">
        <v>306</v>
      </c>
      <c r="R221" t="s">
        <v>1292</v>
      </c>
      <c r="S221" t="s">
        <v>429</v>
      </c>
      <c r="U221">
        <v>10063720</v>
      </c>
      <c r="V221" t="s">
        <v>1028</v>
      </c>
      <c r="W221">
        <v>1</v>
      </c>
      <c r="X221" t="s">
        <v>238</v>
      </c>
      <c r="Y221" t="s">
        <v>1269</v>
      </c>
    </row>
    <row r="222" spans="1:25" x14ac:dyDescent="0.4">
      <c r="A222" t="s">
        <v>186</v>
      </c>
      <c r="B222">
        <v>596090</v>
      </c>
      <c r="C222" t="s">
        <v>1292</v>
      </c>
      <c r="D222">
        <v>10006041</v>
      </c>
      <c r="E222">
        <v>10076708</v>
      </c>
      <c r="F222" t="s">
        <v>1304</v>
      </c>
      <c r="G222" t="s">
        <v>345</v>
      </c>
      <c r="H222">
        <v>2192184</v>
      </c>
      <c r="I222" t="s">
        <v>884</v>
      </c>
      <c r="J222" t="s">
        <v>346</v>
      </c>
      <c r="K222">
        <v>13</v>
      </c>
      <c r="L222" t="s">
        <v>1011</v>
      </c>
      <c r="M222" t="s">
        <v>885</v>
      </c>
      <c r="N222" t="s">
        <v>886</v>
      </c>
      <c r="O222" t="s">
        <v>820</v>
      </c>
      <c r="P222" t="s">
        <v>305</v>
      </c>
      <c r="Q222" t="s">
        <v>306</v>
      </c>
      <c r="R222" t="s">
        <v>429</v>
      </c>
      <c r="S222" t="s">
        <v>1305</v>
      </c>
      <c r="U222">
        <v>10006041</v>
      </c>
      <c r="V222" t="s">
        <v>1304</v>
      </c>
      <c r="W222">
        <v>1</v>
      </c>
      <c r="X222" t="s">
        <v>238</v>
      </c>
      <c r="Y222" t="s">
        <v>1269</v>
      </c>
    </row>
    <row r="223" spans="1:25" x14ac:dyDescent="0.4">
      <c r="A223" t="s">
        <v>186</v>
      </c>
      <c r="B223">
        <v>596130</v>
      </c>
      <c r="C223" t="s">
        <v>536</v>
      </c>
      <c r="D223">
        <v>20002747</v>
      </c>
      <c r="E223">
        <v>20020133</v>
      </c>
      <c r="F223" t="s">
        <v>1306</v>
      </c>
      <c r="G223" t="s">
        <v>428</v>
      </c>
      <c r="H223">
        <v>1844824</v>
      </c>
      <c r="I223" t="s">
        <v>1307</v>
      </c>
      <c r="J223" t="s">
        <v>429</v>
      </c>
      <c r="K223">
        <v>3</v>
      </c>
      <c r="L223" t="s">
        <v>852</v>
      </c>
      <c r="M223" t="s">
        <v>869</v>
      </c>
      <c r="N223" t="s">
        <v>870</v>
      </c>
      <c r="O223" t="s">
        <v>820</v>
      </c>
      <c r="P223" t="s">
        <v>305</v>
      </c>
      <c r="Q223" t="s">
        <v>306</v>
      </c>
      <c r="R223" t="s">
        <v>1286</v>
      </c>
      <c r="S223" t="s">
        <v>1308</v>
      </c>
      <c r="U223">
        <v>20002747</v>
      </c>
      <c r="V223" t="s">
        <v>1306</v>
      </c>
      <c r="W223">
        <v>1</v>
      </c>
      <c r="X223" t="s">
        <v>238</v>
      </c>
      <c r="Y223" t="s">
        <v>1269</v>
      </c>
    </row>
    <row r="224" spans="1:25" x14ac:dyDescent="0.4">
      <c r="A224" t="s">
        <v>186</v>
      </c>
      <c r="B224">
        <v>596229</v>
      </c>
      <c r="C224" t="s">
        <v>1291</v>
      </c>
      <c r="D224">
        <v>20002786</v>
      </c>
      <c r="E224">
        <v>20017154</v>
      </c>
      <c r="F224" t="s">
        <v>996</v>
      </c>
      <c r="G224" t="s">
        <v>684</v>
      </c>
      <c r="H224">
        <v>2271576</v>
      </c>
      <c r="I224" t="s">
        <v>1026</v>
      </c>
      <c r="J224" t="s">
        <v>346</v>
      </c>
      <c r="K224">
        <v>16</v>
      </c>
      <c r="L224" t="s">
        <v>890</v>
      </c>
      <c r="M224" t="s">
        <v>1037</v>
      </c>
      <c r="N224" t="s">
        <v>1038</v>
      </c>
      <c r="O224" t="s">
        <v>821</v>
      </c>
      <c r="P224" t="s">
        <v>656</v>
      </c>
      <c r="Q224" t="s">
        <v>657</v>
      </c>
      <c r="R224" t="s">
        <v>346</v>
      </c>
      <c r="S224" t="s">
        <v>1309</v>
      </c>
      <c r="U224">
        <v>20002786</v>
      </c>
      <c r="V224" t="s">
        <v>996</v>
      </c>
      <c r="W224">
        <v>1</v>
      </c>
      <c r="X224" t="s">
        <v>238</v>
      </c>
      <c r="Y224" t="s">
        <v>1269</v>
      </c>
    </row>
    <row r="225" spans="1:25" x14ac:dyDescent="0.4">
      <c r="A225" t="s">
        <v>186</v>
      </c>
      <c r="B225">
        <v>596246</v>
      </c>
      <c r="C225" t="s">
        <v>1310</v>
      </c>
      <c r="D225">
        <v>10004691</v>
      </c>
      <c r="E225">
        <v>10040843</v>
      </c>
      <c r="F225" t="s">
        <v>984</v>
      </c>
      <c r="G225" t="s">
        <v>570</v>
      </c>
      <c r="H225">
        <v>2331640</v>
      </c>
      <c r="I225" t="s">
        <v>1106</v>
      </c>
      <c r="J225" t="s">
        <v>571</v>
      </c>
      <c r="K225">
        <v>23</v>
      </c>
      <c r="L225" t="s">
        <v>932</v>
      </c>
      <c r="M225" t="s">
        <v>960</v>
      </c>
      <c r="N225" t="s">
        <v>961</v>
      </c>
      <c r="O225" t="s">
        <v>822</v>
      </c>
      <c r="P225" t="s">
        <v>549</v>
      </c>
      <c r="Q225" t="s">
        <v>550</v>
      </c>
      <c r="R225" t="s">
        <v>1309</v>
      </c>
      <c r="S225" t="s">
        <v>571</v>
      </c>
      <c r="U225">
        <v>10004691</v>
      </c>
      <c r="V225" t="s">
        <v>984</v>
      </c>
      <c r="W225">
        <v>1</v>
      </c>
      <c r="X225" t="s">
        <v>230</v>
      </c>
      <c r="Y225" t="s">
        <v>1302</v>
      </c>
    </row>
    <row r="226" spans="1:25" x14ac:dyDescent="0.4">
      <c r="A226" t="s">
        <v>186</v>
      </c>
      <c r="B226">
        <v>596307</v>
      </c>
      <c r="C226" t="s">
        <v>1286</v>
      </c>
      <c r="D226">
        <v>10004346</v>
      </c>
      <c r="E226">
        <v>20020224</v>
      </c>
      <c r="F226" t="s">
        <v>1079</v>
      </c>
      <c r="G226" t="s">
        <v>300</v>
      </c>
      <c r="H226">
        <v>1104600</v>
      </c>
      <c r="I226" t="s">
        <v>1311</v>
      </c>
      <c r="J226" t="s">
        <v>301</v>
      </c>
      <c r="K226">
        <v>3</v>
      </c>
      <c r="L226" t="s">
        <v>852</v>
      </c>
      <c r="M226" t="s">
        <v>1081</v>
      </c>
      <c r="N226" t="s">
        <v>1082</v>
      </c>
      <c r="O226" t="s">
        <v>818</v>
      </c>
      <c r="P226" t="s">
        <v>181</v>
      </c>
      <c r="Q226" t="s">
        <v>182</v>
      </c>
      <c r="R226" t="s">
        <v>210</v>
      </c>
      <c r="S226" t="s">
        <v>318</v>
      </c>
      <c r="U226">
        <v>10004346</v>
      </c>
      <c r="V226" t="s">
        <v>1079</v>
      </c>
      <c r="W226">
        <v>1</v>
      </c>
      <c r="X226" t="s">
        <v>230</v>
      </c>
      <c r="Y226" t="s">
        <v>1302</v>
      </c>
    </row>
    <row r="227" spans="1:25" x14ac:dyDescent="0.4">
      <c r="A227" t="s">
        <v>186</v>
      </c>
      <c r="B227">
        <v>596374</v>
      </c>
      <c r="C227" t="s">
        <v>1291</v>
      </c>
      <c r="D227">
        <v>20002218</v>
      </c>
      <c r="E227">
        <v>10058439</v>
      </c>
      <c r="F227" t="s">
        <v>868</v>
      </c>
      <c r="G227" t="s">
        <v>472</v>
      </c>
      <c r="H227">
        <v>1946184</v>
      </c>
      <c r="I227" t="s">
        <v>1312</v>
      </c>
      <c r="J227" t="s">
        <v>473</v>
      </c>
      <c r="K227">
        <v>16</v>
      </c>
      <c r="L227" t="s">
        <v>890</v>
      </c>
      <c r="M227" t="s">
        <v>1182</v>
      </c>
      <c r="N227" t="s">
        <v>1183</v>
      </c>
      <c r="O227" t="s">
        <v>819</v>
      </c>
      <c r="P227" t="s">
        <v>446</v>
      </c>
      <c r="Q227" t="s">
        <v>447</v>
      </c>
      <c r="R227" t="s">
        <v>1313</v>
      </c>
      <c r="S227" t="s">
        <v>318</v>
      </c>
      <c r="U227">
        <v>20019203</v>
      </c>
      <c r="V227" t="s">
        <v>1314</v>
      </c>
      <c r="W227">
        <v>1</v>
      </c>
      <c r="X227" t="s">
        <v>230</v>
      </c>
      <c r="Y227" t="s">
        <v>1302</v>
      </c>
    </row>
    <row r="228" spans="1:25" x14ac:dyDescent="0.4">
      <c r="A228" t="s">
        <v>186</v>
      </c>
      <c r="B228">
        <v>596380</v>
      </c>
      <c r="C228" t="s">
        <v>1291</v>
      </c>
      <c r="D228">
        <v>20005670</v>
      </c>
      <c r="E228">
        <v>10008096</v>
      </c>
      <c r="F228" t="s">
        <v>954</v>
      </c>
      <c r="G228" t="s">
        <v>704</v>
      </c>
      <c r="H228">
        <v>2068616</v>
      </c>
      <c r="I228" t="s">
        <v>1315</v>
      </c>
      <c r="J228" t="s">
        <v>576</v>
      </c>
      <c r="K228">
        <v>10</v>
      </c>
      <c r="L228" t="s">
        <v>990</v>
      </c>
      <c r="M228" t="s">
        <v>908</v>
      </c>
      <c r="N228" t="s">
        <v>909</v>
      </c>
      <c r="O228" t="s">
        <v>823</v>
      </c>
      <c r="P228" t="s">
        <v>702</v>
      </c>
      <c r="Q228" t="s">
        <v>703</v>
      </c>
      <c r="R228" t="s">
        <v>1316</v>
      </c>
      <c r="S228" t="s">
        <v>576</v>
      </c>
      <c r="W228">
        <v>1</v>
      </c>
      <c r="X228" t="s">
        <v>230</v>
      </c>
      <c r="Y228" t="s">
        <v>1302</v>
      </c>
    </row>
    <row r="229" spans="1:25" x14ac:dyDescent="0.4">
      <c r="A229" t="s">
        <v>186</v>
      </c>
      <c r="B229">
        <v>596475</v>
      </c>
      <c r="C229" t="s">
        <v>558</v>
      </c>
      <c r="D229">
        <v>20004223</v>
      </c>
      <c r="E229">
        <v>20019197</v>
      </c>
      <c r="F229" t="s">
        <v>1168</v>
      </c>
      <c r="G229" t="s">
        <v>789</v>
      </c>
      <c r="H229">
        <v>1960560</v>
      </c>
      <c r="I229" t="s">
        <v>1317</v>
      </c>
      <c r="J229" t="s">
        <v>576</v>
      </c>
      <c r="K229">
        <v>2</v>
      </c>
      <c r="L229" t="s">
        <v>945</v>
      </c>
      <c r="M229" t="s">
        <v>913</v>
      </c>
      <c r="N229" t="s">
        <v>914</v>
      </c>
      <c r="O229" t="s">
        <v>823</v>
      </c>
      <c r="P229" t="s">
        <v>702</v>
      </c>
      <c r="Q229" t="s">
        <v>703</v>
      </c>
      <c r="R229" t="s">
        <v>318</v>
      </c>
      <c r="S229" t="s">
        <v>576</v>
      </c>
      <c r="U229">
        <v>20004223</v>
      </c>
      <c r="V229" t="s">
        <v>1168</v>
      </c>
      <c r="W229">
        <v>1</v>
      </c>
      <c r="X229" t="s">
        <v>230</v>
      </c>
      <c r="Y229" t="s">
        <v>1302</v>
      </c>
    </row>
    <row r="230" spans="1:25" x14ac:dyDescent="0.4">
      <c r="A230" t="s">
        <v>186</v>
      </c>
      <c r="B230">
        <v>596577</v>
      </c>
      <c r="C230" t="s">
        <v>1313</v>
      </c>
      <c r="D230">
        <v>20016739</v>
      </c>
      <c r="E230">
        <v>20016739</v>
      </c>
      <c r="F230" t="s">
        <v>600</v>
      </c>
      <c r="G230" t="s">
        <v>600</v>
      </c>
      <c r="H230">
        <v>1800080</v>
      </c>
      <c r="I230" t="s">
        <v>1109</v>
      </c>
      <c r="J230" t="s">
        <v>601</v>
      </c>
      <c r="K230">
        <v>16</v>
      </c>
      <c r="L230" t="s">
        <v>890</v>
      </c>
      <c r="M230" t="s">
        <v>963</v>
      </c>
      <c r="N230" t="s">
        <v>964</v>
      </c>
      <c r="O230" t="s">
        <v>822</v>
      </c>
      <c r="P230" t="s">
        <v>555</v>
      </c>
      <c r="Q230" t="s">
        <v>556</v>
      </c>
      <c r="R230" t="s">
        <v>301</v>
      </c>
      <c r="S230" t="s">
        <v>601</v>
      </c>
      <c r="W230">
        <v>1</v>
      </c>
      <c r="X230" t="s">
        <v>230</v>
      </c>
      <c r="Y230" t="s">
        <v>1302</v>
      </c>
    </row>
    <row r="231" spans="1:25" x14ac:dyDescent="0.4">
      <c r="A231" t="s">
        <v>186</v>
      </c>
      <c r="B231">
        <v>596601</v>
      </c>
      <c r="C231" t="s">
        <v>1313</v>
      </c>
      <c r="D231">
        <v>10006614</v>
      </c>
      <c r="E231">
        <v>10048863</v>
      </c>
      <c r="F231" t="s">
        <v>1062</v>
      </c>
      <c r="G231" t="s">
        <v>575</v>
      </c>
      <c r="H231">
        <v>1104600</v>
      </c>
      <c r="I231" t="s">
        <v>1214</v>
      </c>
      <c r="J231" t="s">
        <v>576</v>
      </c>
      <c r="K231">
        <v>16</v>
      </c>
      <c r="L231" t="s">
        <v>890</v>
      </c>
      <c r="M231" t="s">
        <v>1043</v>
      </c>
      <c r="N231" t="s">
        <v>1044</v>
      </c>
      <c r="O231" t="s">
        <v>822</v>
      </c>
      <c r="P231" t="s">
        <v>549</v>
      </c>
      <c r="Q231" t="s">
        <v>550</v>
      </c>
      <c r="R231" t="s">
        <v>1309</v>
      </c>
      <c r="S231" t="s">
        <v>576</v>
      </c>
      <c r="U231">
        <v>10006614</v>
      </c>
      <c r="V231" t="s">
        <v>1062</v>
      </c>
      <c r="W231">
        <v>1</v>
      </c>
      <c r="X231" t="s">
        <v>238</v>
      </c>
      <c r="Y231" t="s">
        <v>1269</v>
      </c>
    </row>
    <row r="232" spans="1:25" x14ac:dyDescent="0.4">
      <c r="A232" t="s">
        <v>186</v>
      </c>
      <c r="B232">
        <v>596804</v>
      </c>
      <c r="C232" t="s">
        <v>1305</v>
      </c>
      <c r="D232">
        <v>20002160</v>
      </c>
      <c r="E232">
        <v>20011788</v>
      </c>
      <c r="F232" t="s">
        <v>906</v>
      </c>
      <c r="G232" t="s">
        <v>743</v>
      </c>
      <c r="H232">
        <v>1316600</v>
      </c>
      <c r="I232" t="s">
        <v>1318</v>
      </c>
      <c r="J232" t="s">
        <v>576</v>
      </c>
      <c r="K232">
        <v>35</v>
      </c>
      <c r="L232" t="s">
        <v>916</v>
      </c>
      <c r="M232" t="s">
        <v>1012</v>
      </c>
      <c r="N232" t="s">
        <v>1013</v>
      </c>
      <c r="O232" t="s">
        <v>823</v>
      </c>
      <c r="P232" t="s">
        <v>702</v>
      </c>
      <c r="Q232" t="s">
        <v>703</v>
      </c>
      <c r="R232" t="s">
        <v>571</v>
      </c>
      <c r="S232" t="s">
        <v>576</v>
      </c>
      <c r="U232">
        <v>20002160</v>
      </c>
      <c r="V232" t="s">
        <v>906</v>
      </c>
      <c r="W232">
        <v>1</v>
      </c>
      <c r="X232" t="s">
        <v>242</v>
      </c>
      <c r="Y232" t="s">
        <v>1319</v>
      </c>
    </row>
    <row r="233" spans="1:25" x14ac:dyDescent="0.4">
      <c r="A233" t="s">
        <v>186</v>
      </c>
      <c r="B233">
        <v>596860</v>
      </c>
      <c r="C233" t="s">
        <v>1320</v>
      </c>
      <c r="D233">
        <v>10004349</v>
      </c>
      <c r="E233">
        <v>10022352</v>
      </c>
      <c r="F233" t="s">
        <v>1321</v>
      </c>
      <c r="G233" t="s">
        <v>317</v>
      </c>
      <c r="H233">
        <v>1920744</v>
      </c>
      <c r="I233" t="s">
        <v>1322</v>
      </c>
      <c r="J233" t="s">
        <v>318</v>
      </c>
      <c r="K233">
        <v>46</v>
      </c>
      <c r="L233" t="s">
        <v>1323</v>
      </c>
      <c r="M233" t="s">
        <v>928</v>
      </c>
      <c r="N233" t="s">
        <v>929</v>
      </c>
      <c r="O233" t="s">
        <v>820</v>
      </c>
      <c r="P233" t="s">
        <v>305</v>
      </c>
      <c r="Q233" t="s">
        <v>306</v>
      </c>
      <c r="R233" t="s">
        <v>1324</v>
      </c>
      <c r="S233" t="s">
        <v>473</v>
      </c>
      <c r="U233">
        <v>10004349</v>
      </c>
      <c r="V233" t="s">
        <v>1321</v>
      </c>
      <c r="W233">
        <v>1</v>
      </c>
      <c r="X233" t="s">
        <v>242</v>
      </c>
      <c r="Y233" t="s">
        <v>1319</v>
      </c>
    </row>
    <row r="234" spans="1:25" x14ac:dyDescent="0.4">
      <c r="A234" t="s">
        <v>238</v>
      </c>
      <c r="B234">
        <v>594887</v>
      </c>
      <c r="C234" t="s">
        <v>532</v>
      </c>
      <c r="D234">
        <v>20006277</v>
      </c>
      <c r="E234">
        <v>10090490</v>
      </c>
      <c r="F234" t="s">
        <v>856</v>
      </c>
      <c r="G234" t="s">
        <v>680</v>
      </c>
      <c r="H234">
        <v>1827500</v>
      </c>
      <c r="I234" t="s">
        <v>1325</v>
      </c>
      <c r="J234" t="s">
        <v>681</v>
      </c>
      <c r="K234">
        <v>0</v>
      </c>
      <c r="L234" t="s">
        <v>1035</v>
      </c>
      <c r="M234" t="s">
        <v>1147</v>
      </c>
      <c r="N234" t="s">
        <v>1148</v>
      </c>
      <c r="O234" t="s">
        <v>821</v>
      </c>
      <c r="P234" t="s">
        <v>656</v>
      </c>
      <c r="Q234" t="s">
        <v>657</v>
      </c>
      <c r="R234" t="s">
        <v>1326</v>
      </c>
      <c r="S234" t="s">
        <v>681</v>
      </c>
      <c r="W234">
        <v>1</v>
      </c>
      <c r="X234" t="s">
        <v>242</v>
      </c>
      <c r="Y234" t="s">
        <v>1319</v>
      </c>
    </row>
    <row r="235" spans="1:25" x14ac:dyDescent="0.4">
      <c r="A235" t="s">
        <v>238</v>
      </c>
      <c r="B235">
        <v>595306</v>
      </c>
      <c r="C235" t="s">
        <v>597</v>
      </c>
      <c r="D235">
        <v>10005492</v>
      </c>
      <c r="E235">
        <v>20019088</v>
      </c>
      <c r="F235" t="s">
        <v>1327</v>
      </c>
      <c r="G235" t="s">
        <v>788</v>
      </c>
      <c r="H235">
        <v>1958528</v>
      </c>
      <c r="I235" t="s">
        <v>1141</v>
      </c>
      <c r="J235" t="s">
        <v>638</v>
      </c>
      <c r="K235">
        <v>3</v>
      </c>
      <c r="L235" t="s">
        <v>852</v>
      </c>
      <c r="M235" t="s">
        <v>941</v>
      </c>
      <c r="N235" t="s">
        <v>942</v>
      </c>
      <c r="O235" t="s">
        <v>823</v>
      </c>
      <c r="P235" t="s">
        <v>702</v>
      </c>
      <c r="Q235" t="s">
        <v>703</v>
      </c>
      <c r="R235" t="s">
        <v>642</v>
      </c>
      <c r="S235" t="s">
        <v>638</v>
      </c>
      <c r="U235">
        <v>10005492</v>
      </c>
      <c r="V235" t="s">
        <v>1327</v>
      </c>
      <c r="W235">
        <v>1</v>
      </c>
      <c r="X235" t="s">
        <v>242</v>
      </c>
      <c r="Y235" t="s">
        <v>1319</v>
      </c>
    </row>
    <row r="236" spans="1:25" x14ac:dyDescent="0.4">
      <c r="A236" t="s">
        <v>238</v>
      </c>
      <c r="B236">
        <v>595943</v>
      </c>
      <c r="C236" t="s">
        <v>1328</v>
      </c>
      <c r="D236">
        <v>20002218</v>
      </c>
      <c r="E236">
        <v>20019318</v>
      </c>
      <c r="F236" t="s">
        <v>868</v>
      </c>
      <c r="G236" t="s">
        <v>537</v>
      </c>
      <c r="H236">
        <v>1736584</v>
      </c>
      <c r="I236" t="s">
        <v>1329</v>
      </c>
      <c r="J236" t="s">
        <v>237</v>
      </c>
      <c r="K236">
        <v>3</v>
      </c>
      <c r="L236" t="s">
        <v>852</v>
      </c>
      <c r="M236" t="s">
        <v>1083</v>
      </c>
      <c r="N236" t="s">
        <v>1084</v>
      </c>
      <c r="O236" t="s">
        <v>819</v>
      </c>
      <c r="P236" t="s">
        <v>450</v>
      </c>
      <c r="Q236" t="s">
        <v>451</v>
      </c>
      <c r="R236" t="s">
        <v>1330</v>
      </c>
      <c r="S236" t="s">
        <v>1326</v>
      </c>
      <c r="U236">
        <v>10004784</v>
      </c>
      <c r="V236" t="s">
        <v>1176</v>
      </c>
      <c r="W236">
        <v>1</v>
      </c>
      <c r="X236" t="s">
        <v>230</v>
      </c>
      <c r="Y236" t="s">
        <v>1302</v>
      </c>
    </row>
    <row r="237" spans="1:25" x14ac:dyDescent="0.4">
      <c r="A237" t="s">
        <v>238</v>
      </c>
      <c r="B237">
        <v>596208</v>
      </c>
      <c r="C237" t="s">
        <v>745</v>
      </c>
      <c r="D237">
        <v>20002329</v>
      </c>
      <c r="E237">
        <v>20019192</v>
      </c>
      <c r="F237" t="s">
        <v>1247</v>
      </c>
      <c r="G237" t="s">
        <v>637</v>
      </c>
      <c r="H237">
        <v>2765000</v>
      </c>
      <c r="I237" t="s">
        <v>1107</v>
      </c>
      <c r="J237" t="s">
        <v>638</v>
      </c>
      <c r="K237">
        <v>3</v>
      </c>
      <c r="L237" t="s">
        <v>852</v>
      </c>
      <c r="M237" t="s">
        <v>917</v>
      </c>
      <c r="N237" t="s">
        <v>918</v>
      </c>
      <c r="O237" t="s">
        <v>822</v>
      </c>
      <c r="P237" t="s">
        <v>549</v>
      </c>
      <c r="Q237" t="s">
        <v>550</v>
      </c>
      <c r="R237" t="s">
        <v>638</v>
      </c>
      <c r="S237" t="s">
        <v>638</v>
      </c>
      <c r="U237">
        <v>20002329</v>
      </c>
      <c r="V237" t="s">
        <v>1247</v>
      </c>
      <c r="W237">
        <v>1</v>
      </c>
      <c r="X237" t="s">
        <v>311</v>
      </c>
      <c r="Y237" t="s">
        <v>1331</v>
      </c>
    </row>
    <row r="238" spans="1:25" x14ac:dyDescent="0.4">
      <c r="A238" t="s">
        <v>238</v>
      </c>
      <c r="B238">
        <v>596455</v>
      </c>
      <c r="C238" t="s">
        <v>786</v>
      </c>
      <c r="D238">
        <v>10068089</v>
      </c>
      <c r="E238">
        <v>10068089</v>
      </c>
      <c r="F238" t="s">
        <v>580</v>
      </c>
      <c r="G238" t="s">
        <v>580</v>
      </c>
      <c r="H238">
        <v>1861600</v>
      </c>
      <c r="I238" t="s">
        <v>1332</v>
      </c>
      <c r="J238" t="s">
        <v>581</v>
      </c>
      <c r="K238">
        <v>0</v>
      </c>
      <c r="L238" t="s">
        <v>1035</v>
      </c>
      <c r="M238" t="s">
        <v>963</v>
      </c>
      <c r="N238" t="s">
        <v>964</v>
      </c>
      <c r="O238" t="s">
        <v>822</v>
      </c>
      <c r="P238" t="s">
        <v>555</v>
      </c>
      <c r="Q238" t="s">
        <v>556</v>
      </c>
      <c r="R238" t="s">
        <v>301</v>
      </c>
      <c r="S238" t="s">
        <v>480</v>
      </c>
      <c r="W238">
        <v>1</v>
      </c>
      <c r="X238" t="s">
        <v>230</v>
      </c>
      <c r="Y238" t="s">
        <v>1302</v>
      </c>
    </row>
    <row r="239" spans="1:25" x14ac:dyDescent="0.4">
      <c r="A239" t="s">
        <v>238</v>
      </c>
      <c r="B239">
        <v>596762</v>
      </c>
      <c r="C239" t="s">
        <v>1305</v>
      </c>
      <c r="D239">
        <v>10004862</v>
      </c>
      <c r="E239">
        <v>10045105</v>
      </c>
      <c r="F239" t="s">
        <v>943</v>
      </c>
      <c r="G239" t="s">
        <v>470</v>
      </c>
      <c r="H239">
        <v>1959100</v>
      </c>
      <c r="I239" t="s">
        <v>1244</v>
      </c>
      <c r="J239" t="s">
        <v>471</v>
      </c>
      <c r="K239">
        <v>2</v>
      </c>
      <c r="L239" t="s">
        <v>945</v>
      </c>
      <c r="M239" t="s">
        <v>946</v>
      </c>
      <c r="N239" t="s">
        <v>947</v>
      </c>
      <c r="O239" t="s">
        <v>819</v>
      </c>
      <c r="P239" t="s">
        <v>446</v>
      </c>
      <c r="Q239" t="s">
        <v>447</v>
      </c>
      <c r="R239" t="s">
        <v>1333</v>
      </c>
      <c r="S239" t="s">
        <v>638</v>
      </c>
      <c r="W239">
        <v>1</v>
      </c>
      <c r="X239" t="s">
        <v>242</v>
      </c>
      <c r="Y239" t="s">
        <v>1319</v>
      </c>
    </row>
    <row r="240" spans="1:25" x14ac:dyDescent="0.4">
      <c r="A240" t="s">
        <v>238</v>
      </c>
      <c r="B240">
        <v>596929</v>
      </c>
      <c r="C240" t="s">
        <v>1334</v>
      </c>
      <c r="D240">
        <v>10088501</v>
      </c>
      <c r="E240">
        <v>10088501</v>
      </c>
      <c r="F240" t="s">
        <v>735</v>
      </c>
      <c r="G240" t="s">
        <v>735</v>
      </c>
      <c r="H240">
        <v>1625272</v>
      </c>
      <c r="I240" t="s">
        <v>1335</v>
      </c>
      <c r="J240" t="s">
        <v>471</v>
      </c>
      <c r="K240">
        <v>25</v>
      </c>
      <c r="L240" t="s">
        <v>879</v>
      </c>
      <c r="M240" t="s">
        <v>908</v>
      </c>
      <c r="N240" t="s">
        <v>909</v>
      </c>
      <c r="O240" t="s">
        <v>823</v>
      </c>
      <c r="P240" t="s">
        <v>702</v>
      </c>
      <c r="Q240" t="s">
        <v>703</v>
      </c>
      <c r="R240" t="s">
        <v>1330</v>
      </c>
      <c r="S240" t="s">
        <v>581</v>
      </c>
      <c r="U240">
        <v>20006949</v>
      </c>
      <c r="V240" t="s">
        <v>1336</v>
      </c>
      <c r="W240">
        <v>1</v>
      </c>
      <c r="X240" t="s">
        <v>242</v>
      </c>
      <c r="Y240" t="s">
        <v>1319</v>
      </c>
    </row>
    <row r="241" spans="1:25" x14ac:dyDescent="0.4">
      <c r="A241" t="s">
        <v>238</v>
      </c>
      <c r="B241">
        <v>597039</v>
      </c>
      <c r="C241" t="s">
        <v>318</v>
      </c>
      <c r="D241">
        <v>10004735</v>
      </c>
      <c r="E241">
        <v>10056455</v>
      </c>
      <c r="F241" t="s">
        <v>952</v>
      </c>
      <c r="G241" t="s">
        <v>236</v>
      </c>
      <c r="H241">
        <v>1532840</v>
      </c>
      <c r="I241" t="s">
        <v>1337</v>
      </c>
      <c r="J241" t="s">
        <v>237</v>
      </c>
      <c r="K241">
        <v>2</v>
      </c>
      <c r="L241" t="s">
        <v>945</v>
      </c>
      <c r="M241" t="s">
        <v>873</v>
      </c>
      <c r="N241" t="s">
        <v>874</v>
      </c>
      <c r="O241" t="s">
        <v>818</v>
      </c>
      <c r="P241" t="s">
        <v>181</v>
      </c>
      <c r="Q241" t="s">
        <v>182</v>
      </c>
      <c r="R241" t="s">
        <v>471</v>
      </c>
      <c r="S241" t="s">
        <v>1326</v>
      </c>
      <c r="U241">
        <v>20017975</v>
      </c>
      <c r="V241" t="s">
        <v>953</v>
      </c>
      <c r="W241">
        <v>1</v>
      </c>
      <c r="X241" t="s">
        <v>242</v>
      </c>
      <c r="Y241" t="s">
        <v>1319</v>
      </c>
    </row>
    <row r="242" spans="1:25" x14ac:dyDescent="0.4">
      <c r="A242" t="s">
        <v>238</v>
      </c>
      <c r="B242">
        <v>597042</v>
      </c>
      <c r="C242" t="s">
        <v>576</v>
      </c>
      <c r="D242">
        <v>10006614</v>
      </c>
      <c r="E242">
        <v>20020225</v>
      </c>
      <c r="F242" t="s">
        <v>1062</v>
      </c>
      <c r="G242" t="s">
        <v>641</v>
      </c>
      <c r="H242">
        <v>1464600</v>
      </c>
      <c r="I242" t="s">
        <v>1338</v>
      </c>
      <c r="J242" t="s">
        <v>642</v>
      </c>
      <c r="K242">
        <v>3</v>
      </c>
      <c r="L242" t="s">
        <v>852</v>
      </c>
      <c r="M242" t="s">
        <v>880</v>
      </c>
      <c r="N242" t="s">
        <v>881</v>
      </c>
      <c r="O242" t="s">
        <v>822</v>
      </c>
      <c r="P242" t="s">
        <v>549</v>
      </c>
      <c r="Q242" t="s">
        <v>550</v>
      </c>
      <c r="R242" t="s">
        <v>1339</v>
      </c>
      <c r="S242" t="s">
        <v>642</v>
      </c>
      <c r="U242">
        <v>10006614</v>
      </c>
      <c r="V242" t="s">
        <v>1062</v>
      </c>
      <c r="W242">
        <v>1</v>
      </c>
      <c r="X242" t="s">
        <v>238</v>
      </c>
      <c r="Y242" t="s">
        <v>1269</v>
      </c>
    </row>
    <row r="243" spans="1:25" x14ac:dyDescent="0.4">
      <c r="A243" t="s">
        <v>238</v>
      </c>
      <c r="B243">
        <v>597137</v>
      </c>
      <c r="C243" t="s">
        <v>1340</v>
      </c>
      <c r="D243">
        <v>20002218</v>
      </c>
      <c r="E243">
        <v>10079375</v>
      </c>
      <c r="F243" t="s">
        <v>868</v>
      </c>
      <c r="G243" t="s">
        <v>479</v>
      </c>
      <c r="H243">
        <v>2487712</v>
      </c>
      <c r="I243" t="s">
        <v>1341</v>
      </c>
      <c r="J243" t="s">
        <v>480</v>
      </c>
      <c r="K243">
        <v>16</v>
      </c>
      <c r="L243" t="s">
        <v>890</v>
      </c>
      <c r="M243" t="s">
        <v>1342</v>
      </c>
      <c r="N243" t="s">
        <v>1343</v>
      </c>
      <c r="O243" t="s">
        <v>819</v>
      </c>
      <c r="P243" t="s">
        <v>450</v>
      </c>
      <c r="Q243" t="s">
        <v>451</v>
      </c>
      <c r="R243" t="s">
        <v>1340</v>
      </c>
      <c r="S243" t="s">
        <v>480</v>
      </c>
      <c r="U243">
        <v>10004776</v>
      </c>
      <c r="V243" t="s">
        <v>1344</v>
      </c>
      <c r="W243">
        <v>1</v>
      </c>
      <c r="X243" t="s">
        <v>230</v>
      </c>
      <c r="Y243" t="s">
        <v>1302</v>
      </c>
    </row>
    <row r="244" spans="1:25" x14ac:dyDescent="0.4">
      <c r="A244" t="s">
        <v>238</v>
      </c>
      <c r="B244">
        <v>597308</v>
      </c>
      <c r="C244" t="s">
        <v>1330</v>
      </c>
      <c r="D244">
        <v>20007417</v>
      </c>
      <c r="E244">
        <v>10023303</v>
      </c>
      <c r="F244" t="s">
        <v>1345</v>
      </c>
      <c r="G244" t="s">
        <v>708</v>
      </c>
      <c r="H244">
        <v>2432160</v>
      </c>
      <c r="I244" t="s">
        <v>1346</v>
      </c>
      <c r="J244" t="s">
        <v>480</v>
      </c>
      <c r="K244">
        <v>28</v>
      </c>
      <c r="L244" t="s">
        <v>907</v>
      </c>
      <c r="M244" t="s">
        <v>908</v>
      </c>
      <c r="N244" t="s">
        <v>909</v>
      </c>
      <c r="O244" t="s">
        <v>823</v>
      </c>
      <c r="P244" t="s">
        <v>702</v>
      </c>
      <c r="Q244" t="s">
        <v>703</v>
      </c>
      <c r="R244" t="s">
        <v>681</v>
      </c>
      <c r="S244" t="s">
        <v>480</v>
      </c>
      <c r="U244">
        <v>20007417</v>
      </c>
      <c r="V244" t="s">
        <v>1345</v>
      </c>
      <c r="W244">
        <v>1</v>
      </c>
      <c r="X244" t="s">
        <v>311</v>
      </c>
      <c r="Y244" t="s">
        <v>1331</v>
      </c>
    </row>
    <row r="245" spans="1:25" x14ac:dyDescent="0.4">
      <c r="A245" t="s">
        <v>238</v>
      </c>
      <c r="B245">
        <v>597334</v>
      </c>
      <c r="C245" t="s">
        <v>471</v>
      </c>
      <c r="D245">
        <v>20002218</v>
      </c>
      <c r="E245">
        <v>20020415</v>
      </c>
      <c r="F245" t="s">
        <v>868</v>
      </c>
      <c r="G245" t="s">
        <v>435</v>
      </c>
      <c r="H245">
        <v>1486440</v>
      </c>
      <c r="I245" t="s">
        <v>1347</v>
      </c>
      <c r="J245" t="s">
        <v>436</v>
      </c>
      <c r="K245">
        <v>3</v>
      </c>
      <c r="L245" t="s">
        <v>852</v>
      </c>
      <c r="M245" t="s">
        <v>869</v>
      </c>
      <c r="N245" t="s">
        <v>870</v>
      </c>
      <c r="O245" t="s">
        <v>820</v>
      </c>
      <c r="P245" t="s">
        <v>305</v>
      </c>
      <c r="Q245" t="s">
        <v>306</v>
      </c>
      <c r="R245" t="s">
        <v>1348</v>
      </c>
      <c r="S245" t="s">
        <v>769</v>
      </c>
      <c r="U245">
        <v>10004793</v>
      </c>
      <c r="V245" t="s">
        <v>1139</v>
      </c>
      <c r="W245">
        <v>1</v>
      </c>
      <c r="X245" t="s">
        <v>242</v>
      </c>
      <c r="Y245" t="s">
        <v>1319</v>
      </c>
    </row>
    <row r="246" spans="1:25" x14ac:dyDescent="0.4">
      <c r="A246" t="s">
        <v>238</v>
      </c>
      <c r="B246">
        <v>597340</v>
      </c>
      <c r="C246" t="s">
        <v>471</v>
      </c>
      <c r="D246">
        <v>20018233</v>
      </c>
      <c r="E246">
        <v>20018233</v>
      </c>
      <c r="F246" t="s">
        <v>768</v>
      </c>
      <c r="G246" t="s">
        <v>768</v>
      </c>
      <c r="H246">
        <v>2488000</v>
      </c>
      <c r="I246" t="s">
        <v>1204</v>
      </c>
      <c r="J246" t="s">
        <v>769</v>
      </c>
      <c r="K246">
        <v>3</v>
      </c>
      <c r="L246" t="s">
        <v>852</v>
      </c>
      <c r="M246" t="s">
        <v>941</v>
      </c>
      <c r="N246" t="s">
        <v>942</v>
      </c>
      <c r="O246" t="s">
        <v>823</v>
      </c>
      <c r="P246" t="s">
        <v>702</v>
      </c>
      <c r="Q246" t="s">
        <v>703</v>
      </c>
      <c r="R246" t="s">
        <v>1349</v>
      </c>
      <c r="S246" t="s">
        <v>480</v>
      </c>
      <c r="T246" t="s">
        <v>973</v>
      </c>
      <c r="W246">
        <v>1</v>
      </c>
      <c r="X246" t="s">
        <v>242</v>
      </c>
      <c r="Y246" t="s">
        <v>1319</v>
      </c>
    </row>
    <row r="247" spans="1:25" x14ac:dyDescent="0.4">
      <c r="A247" t="s">
        <v>230</v>
      </c>
      <c r="B247">
        <v>595865</v>
      </c>
      <c r="C247" t="s">
        <v>1270</v>
      </c>
      <c r="D247">
        <v>20003978</v>
      </c>
      <c r="E247">
        <v>20019108</v>
      </c>
      <c r="F247" t="s">
        <v>954</v>
      </c>
      <c r="G247" t="s">
        <v>420</v>
      </c>
      <c r="H247">
        <v>2563780</v>
      </c>
      <c r="I247" t="s">
        <v>1350</v>
      </c>
      <c r="J247" t="s">
        <v>360</v>
      </c>
      <c r="K247">
        <v>3</v>
      </c>
      <c r="L247" t="s">
        <v>852</v>
      </c>
      <c r="M247" t="s">
        <v>1351</v>
      </c>
      <c r="N247" t="s">
        <v>1352</v>
      </c>
      <c r="O247" t="s">
        <v>820</v>
      </c>
      <c r="P247" t="s">
        <v>305</v>
      </c>
      <c r="Q247" t="s">
        <v>306</v>
      </c>
      <c r="R247" t="s">
        <v>1353</v>
      </c>
      <c r="S247" t="s">
        <v>285</v>
      </c>
      <c r="U247">
        <v>10006604</v>
      </c>
      <c r="V247" t="s">
        <v>1354</v>
      </c>
      <c r="W247">
        <v>1</v>
      </c>
      <c r="X247" t="s">
        <v>311</v>
      </c>
      <c r="Y247" t="s">
        <v>1331</v>
      </c>
    </row>
    <row r="248" spans="1:25" x14ac:dyDescent="0.4">
      <c r="A248" t="s">
        <v>230</v>
      </c>
      <c r="B248">
        <v>597013</v>
      </c>
      <c r="C248" t="s">
        <v>301</v>
      </c>
      <c r="D248">
        <v>20006277</v>
      </c>
      <c r="E248">
        <v>10027949</v>
      </c>
      <c r="F248" t="s">
        <v>856</v>
      </c>
      <c r="G248" t="s">
        <v>662</v>
      </c>
      <c r="H248">
        <v>2570600</v>
      </c>
      <c r="I248" t="s">
        <v>1026</v>
      </c>
      <c r="J248" t="s">
        <v>663</v>
      </c>
      <c r="K248">
        <v>26</v>
      </c>
      <c r="L248" t="s">
        <v>864</v>
      </c>
      <c r="M248" t="s">
        <v>859</v>
      </c>
      <c r="N248" t="s">
        <v>860</v>
      </c>
      <c r="O248" t="s">
        <v>821</v>
      </c>
      <c r="P248" t="s">
        <v>656</v>
      </c>
      <c r="Q248" t="s">
        <v>657</v>
      </c>
      <c r="R248" t="s">
        <v>1355</v>
      </c>
      <c r="S248" t="s">
        <v>1356</v>
      </c>
      <c r="U248">
        <v>20005404</v>
      </c>
      <c r="V248" t="s">
        <v>1357</v>
      </c>
      <c r="W248">
        <v>1</v>
      </c>
      <c r="X248" t="s">
        <v>230</v>
      </c>
      <c r="Y248" t="s">
        <v>1302</v>
      </c>
    </row>
    <row r="249" spans="1:25" x14ac:dyDescent="0.4">
      <c r="A249" t="s">
        <v>230</v>
      </c>
      <c r="B249">
        <v>597088</v>
      </c>
      <c r="C249" t="s">
        <v>716</v>
      </c>
      <c r="D249">
        <v>20003978</v>
      </c>
      <c r="E249">
        <v>20020341</v>
      </c>
      <c r="F249" t="s">
        <v>954</v>
      </c>
      <c r="G249" t="s">
        <v>541</v>
      </c>
      <c r="H249">
        <v>2135802</v>
      </c>
      <c r="I249" t="s">
        <v>1071</v>
      </c>
      <c r="J249" t="s">
        <v>229</v>
      </c>
      <c r="K249">
        <v>3</v>
      </c>
      <c r="L249" t="s">
        <v>852</v>
      </c>
      <c r="M249" t="s">
        <v>991</v>
      </c>
      <c r="N249" t="s">
        <v>992</v>
      </c>
      <c r="O249" t="s">
        <v>819</v>
      </c>
      <c r="P249" t="s">
        <v>450</v>
      </c>
      <c r="Q249" t="s">
        <v>451</v>
      </c>
      <c r="R249" t="s">
        <v>229</v>
      </c>
      <c r="S249" t="s">
        <v>229</v>
      </c>
      <c r="W249">
        <v>1</v>
      </c>
      <c r="X249" t="s">
        <v>311</v>
      </c>
      <c r="Y249" t="s">
        <v>1331</v>
      </c>
    </row>
    <row r="250" spans="1:25" x14ac:dyDescent="0.4">
      <c r="A250" t="s">
        <v>230</v>
      </c>
      <c r="B250">
        <v>597374</v>
      </c>
      <c r="C250" t="s">
        <v>1358</v>
      </c>
      <c r="D250">
        <v>10004856</v>
      </c>
      <c r="E250">
        <v>20020258</v>
      </c>
      <c r="F250" t="s">
        <v>1039</v>
      </c>
      <c r="G250" t="s">
        <v>431</v>
      </c>
      <c r="H250">
        <v>2144400</v>
      </c>
      <c r="I250" t="s">
        <v>1350</v>
      </c>
      <c r="J250" t="s">
        <v>432</v>
      </c>
      <c r="K250">
        <v>3</v>
      </c>
      <c r="L250" t="s">
        <v>852</v>
      </c>
      <c r="M250" t="s">
        <v>928</v>
      </c>
      <c r="N250" t="s">
        <v>929</v>
      </c>
      <c r="O250" t="s">
        <v>820</v>
      </c>
      <c r="P250" t="s">
        <v>305</v>
      </c>
      <c r="Q250" t="s">
        <v>306</v>
      </c>
      <c r="R250" t="s">
        <v>1356</v>
      </c>
      <c r="S250" t="s">
        <v>304</v>
      </c>
      <c r="U250">
        <v>20010292</v>
      </c>
      <c r="V250" t="s">
        <v>1146</v>
      </c>
      <c r="W250">
        <v>1</v>
      </c>
      <c r="X250" t="s">
        <v>311</v>
      </c>
      <c r="Y250" t="s">
        <v>1331</v>
      </c>
    </row>
    <row r="251" spans="1:25" x14ac:dyDescent="0.4">
      <c r="A251" t="s">
        <v>230</v>
      </c>
      <c r="B251">
        <v>597400</v>
      </c>
      <c r="C251" t="s">
        <v>1326</v>
      </c>
      <c r="D251">
        <v>20020213</v>
      </c>
      <c r="E251">
        <v>20020213</v>
      </c>
      <c r="F251" t="s">
        <v>640</v>
      </c>
      <c r="G251" t="s">
        <v>640</v>
      </c>
      <c r="H251">
        <v>2330000</v>
      </c>
      <c r="I251" t="s">
        <v>1359</v>
      </c>
      <c r="J251" t="s">
        <v>425</v>
      </c>
      <c r="K251">
        <v>3</v>
      </c>
      <c r="L251" t="s">
        <v>852</v>
      </c>
      <c r="M251" t="s">
        <v>960</v>
      </c>
      <c r="N251" t="s">
        <v>961</v>
      </c>
      <c r="O251" t="s">
        <v>822</v>
      </c>
      <c r="P251" t="s">
        <v>549</v>
      </c>
      <c r="Q251" t="s">
        <v>550</v>
      </c>
      <c r="R251" t="s">
        <v>425</v>
      </c>
      <c r="S251" t="s">
        <v>229</v>
      </c>
      <c r="W251">
        <v>1</v>
      </c>
      <c r="X251" t="s">
        <v>311</v>
      </c>
      <c r="Y251" t="s">
        <v>1331</v>
      </c>
    </row>
    <row r="252" spans="1:25" x14ac:dyDescent="0.4">
      <c r="A252" t="s">
        <v>230</v>
      </c>
      <c r="B252">
        <v>597415</v>
      </c>
      <c r="C252" t="s">
        <v>681</v>
      </c>
      <c r="D252">
        <v>20005438</v>
      </c>
      <c r="E252">
        <v>10013631</v>
      </c>
      <c r="F252" t="s">
        <v>1360</v>
      </c>
      <c r="G252" t="s">
        <v>458</v>
      </c>
      <c r="H252">
        <v>2147824</v>
      </c>
      <c r="I252" t="s">
        <v>1244</v>
      </c>
      <c r="J252" t="s">
        <v>459</v>
      </c>
      <c r="K252">
        <v>2</v>
      </c>
      <c r="L252" t="s">
        <v>945</v>
      </c>
      <c r="M252" t="s">
        <v>1182</v>
      </c>
      <c r="N252" t="s">
        <v>1183</v>
      </c>
      <c r="O252" t="s">
        <v>819</v>
      </c>
      <c r="P252" t="s">
        <v>446</v>
      </c>
      <c r="Q252" t="s">
        <v>447</v>
      </c>
      <c r="R252" t="s">
        <v>1361</v>
      </c>
      <c r="S252" t="s">
        <v>1362</v>
      </c>
      <c r="U252">
        <v>20005438</v>
      </c>
      <c r="V252" t="s">
        <v>1360</v>
      </c>
      <c r="W252">
        <v>1</v>
      </c>
      <c r="X252" t="s">
        <v>311</v>
      </c>
      <c r="Y252" t="s">
        <v>1331</v>
      </c>
    </row>
    <row r="253" spans="1:25" x14ac:dyDescent="0.4">
      <c r="A253" t="s">
        <v>230</v>
      </c>
      <c r="B253">
        <v>597494</v>
      </c>
      <c r="C253" t="s">
        <v>581</v>
      </c>
      <c r="D253">
        <v>20020346</v>
      </c>
      <c r="E253">
        <v>20020346</v>
      </c>
      <c r="F253" t="s">
        <v>542</v>
      </c>
      <c r="G253" t="s">
        <v>542</v>
      </c>
      <c r="H253">
        <v>2800000</v>
      </c>
      <c r="I253" t="s">
        <v>1033</v>
      </c>
      <c r="J253" t="s">
        <v>360</v>
      </c>
      <c r="K253">
        <v>16</v>
      </c>
      <c r="L253" t="s">
        <v>890</v>
      </c>
      <c r="M253" t="s">
        <v>899</v>
      </c>
      <c r="N253" t="s">
        <v>900</v>
      </c>
      <c r="O253" t="s">
        <v>819</v>
      </c>
      <c r="P253" t="s">
        <v>450</v>
      </c>
      <c r="Q253" t="s">
        <v>451</v>
      </c>
      <c r="R253" t="s">
        <v>1353</v>
      </c>
      <c r="S253" t="s">
        <v>1363</v>
      </c>
      <c r="W253">
        <v>1</v>
      </c>
      <c r="X253" t="s">
        <v>311</v>
      </c>
      <c r="Y253" t="s">
        <v>1331</v>
      </c>
    </row>
    <row r="254" spans="1:25" x14ac:dyDescent="0.4">
      <c r="A254" t="s">
        <v>230</v>
      </c>
      <c r="B254">
        <v>597529</v>
      </c>
      <c r="C254" t="s">
        <v>1364</v>
      </c>
      <c r="D254">
        <v>20014688</v>
      </c>
      <c r="E254">
        <v>20016395</v>
      </c>
      <c r="F254" t="s">
        <v>1365</v>
      </c>
      <c r="G254" t="s">
        <v>760</v>
      </c>
      <c r="H254">
        <v>1800000</v>
      </c>
      <c r="I254" t="s">
        <v>1366</v>
      </c>
      <c r="J254" t="s">
        <v>761</v>
      </c>
      <c r="K254">
        <v>16</v>
      </c>
      <c r="L254" t="s">
        <v>890</v>
      </c>
      <c r="M254" t="s">
        <v>1012</v>
      </c>
      <c r="N254" t="s">
        <v>1013</v>
      </c>
      <c r="O254" t="s">
        <v>823</v>
      </c>
      <c r="P254" t="s">
        <v>702</v>
      </c>
      <c r="Q254" t="s">
        <v>703</v>
      </c>
      <c r="R254" t="s">
        <v>638</v>
      </c>
      <c r="S254" t="s">
        <v>285</v>
      </c>
      <c r="U254">
        <v>20014688</v>
      </c>
      <c r="V254" t="s">
        <v>1365</v>
      </c>
      <c r="W254">
        <v>1</v>
      </c>
      <c r="X254" t="s">
        <v>311</v>
      </c>
      <c r="Y254" t="s">
        <v>1331</v>
      </c>
    </row>
    <row r="255" spans="1:25" x14ac:dyDescent="0.4">
      <c r="A255" t="s">
        <v>230</v>
      </c>
      <c r="B255">
        <v>597559</v>
      </c>
      <c r="C255" t="s">
        <v>769</v>
      </c>
      <c r="D255">
        <v>20002218</v>
      </c>
      <c r="E255">
        <v>20017190</v>
      </c>
      <c r="F255" t="s">
        <v>868</v>
      </c>
      <c r="G255" t="s">
        <v>359</v>
      </c>
      <c r="H255">
        <v>2272848</v>
      </c>
      <c r="I255" t="s">
        <v>1367</v>
      </c>
      <c r="J255" t="s">
        <v>360</v>
      </c>
      <c r="K255">
        <v>3</v>
      </c>
      <c r="L255" t="s">
        <v>852</v>
      </c>
      <c r="M255" t="s">
        <v>1276</v>
      </c>
      <c r="N255" t="s">
        <v>1277</v>
      </c>
      <c r="O255" t="s">
        <v>820</v>
      </c>
      <c r="P255" t="s">
        <v>305</v>
      </c>
      <c r="Q255" t="s">
        <v>306</v>
      </c>
      <c r="R255" t="s">
        <v>432</v>
      </c>
      <c r="S255" t="s">
        <v>285</v>
      </c>
      <c r="U255">
        <v>10004793</v>
      </c>
      <c r="V255" t="s">
        <v>1139</v>
      </c>
      <c r="W255">
        <v>1</v>
      </c>
      <c r="X255" t="s">
        <v>311</v>
      </c>
      <c r="Y255" t="s">
        <v>1331</v>
      </c>
    </row>
    <row r="256" spans="1:25" x14ac:dyDescent="0.4">
      <c r="A256" t="s">
        <v>230</v>
      </c>
      <c r="B256">
        <v>597561</v>
      </c>
      <c r="C256" t="s">
        <v>769</v>
      </c>
      <c r="D256">
        <v>20005670</v>
      </c>
      <c r="E256">
        <v>10033933</v>
      </c>
      <c r="F256" t="s">
        <v>954</v>
      </c>
      <c r="G256" t="s">
        <v>715</v>
      </c>
      <c r="H256">
        <v>1340000</v>
      </c>
      <c r="I256" t="s">
        <v>1335</v>
      </c>
      <c r="J256" t="s">
        <v>716</v>
      </c>
      <c r="K256">
        <v>25</v>
      </c>
      <c r="L256" t="s">
        <v>879</v>
      </c>
      <c r="M256" t="s">
        <v>1012</v>
      </c>
      <c r="N256" t="s">
        <v>1013</v>
      </c>
      <c r="O256" t="s">
        <v>823</v>
      </c>
      <c r="P256" t="s">
        <v>702</v>
      </c>
      <c r="Q256" t="s">
        <v>703</v>
      </c>
      <c r="R256" t="s">
        <v>638</v>
      </c>
      <c r="S256" t="s">
        <v>360</v>
      </c>
      <c r="W256">
        <v>1</v>
      </c>
      <c r="X256" t="s">
        <v>311</v>
      </c>
      <c r="Y256" t="s">
        <v>1331</v>
      </c>
    </row>
    <row r="257" spans="1:25" x14ac:dyDescent="0.4">
      <c r="A257" t="s">
        <v>230</v>
      </c>
      <c r="B257">
        <v>597580</v>
      </c>
      <c r="C257" t="s">
        <v>769</v>
      </c>
      <c r="D257">
        <v>10004690</v>
      </c>
      <c r="E257">
        <v>20019322</v>
      </c>
      <c r="F257" t="s">
        <v>1065</v>
      </c>
      <c r="G257" t="s">
        <v>422</v>
      </c>
      <c r="H257">
        <v>1664600</v>
      </c>
      <c r="I257" t="s">
        <v>1368</v>
      </c>
      <c r="J257" t="s">
        <v>423</v>
      </c>
      <c r="K257">
        <v>3</v>
      </c>
      <c r="L257" t="s">
        <v>852</v>
      </c>
      <c r="M257" t="s">
        <v>1276</v>
      </c>
      <c r="N257" t="s">
        <v>1277</v>
      </c>
      <c r="O257" t="s">
        <v>820</v>
      </c>
      <c r="P257" t="s">
        <v>305</v>
      </c>
      <c r="Q257" t="s">
        <v>306</v>
      </c>
      <c r="R257" t="s">
        <v>1356</v>
      </c>
      <c r="S257" t="s">
        <v>432</v>
      </c>
      <c r="U257">
        <v>10004690</v>
      </c>
      <c r="V257" t="s">
        <v>1065</v>
      </c>
      <c r="W257">
        <v>1</v>
      </c>
      <c r="X257" t="s">
        <v>311</v>
      </c>
      <c r="Y257" t="s">
        <v>1331</v>
      </c>
    </row>
    <row r="258" spans="1:25" x14ac:dyDescent="0.4">
      <c r="A258" t="s">
        <v>230</v>
      </c>
      <c r="B258">
        <v>597581</v>
      </c>
      <c r="C258" t="s">
        <v>769</v>
      </c>
      <c r="D258">
        <v>10004690</v>
      </c>
      <c r="E258">
        <v>20019323</v>
      </c>
      <c r="F258" t="s">
        <v>1065</v>
      </c>
      <c r="G258" t="s">
        <v>424</v>
      </c>
      <c r="H258">
        <v>1664600</v>
      </c>
      <c r="I258" t="s">
        <v>1368</v>
      </c>
      <c r="J258" t="s">
        <v>425</v>
      </c>
      <c r="K258">
        <v>3</v>
      </c>
      <c r="L258" t="s">
        <v>852</v>
      </c>
      <c r="M258" t="s">
        <v>1276</v>
      </c>
      <c r="N258" t="s">
        <v>1277</v>
      </c>
      <c r="O258" t="s">
        <v>820</v>
      </c>
      <c r="P258" t="s">
        <v>305</v>
      </c>
      <c r="Q258" t="s">
        <v>306</v>
      </c>
      <c r="R258" t="s">
        <v>1356</v>
      </c>
      <c r="S258" t="s">
        <v>761</v>
      </c>
      <c r="U258">
        <v>10004690</v>
      </c>
      <c r="V258" t="s">
        <v>1065</v>
      </c>
      <c r="W258">
        <v>1</v>
      </c>
      <c r="X258" t="s">
        <v>311</v>
      </c>
      <c r="Y258" t="s">
        <v>1331</v>
      </c>
    </row>
    <row r="259" spans="1:25" x14ac:dyDescent="0.4">
      <c r="A259" t="s">
        <v>230</v>
      </c>
      <c r="B259">
        <v>597591</v>
      </c>
      <c r="C259" t="s">
        <v>480</v>
      </c>
      <c r="D259">
        <v>20002160</v>
      </c>
      <c r="E259">
        <v>20018717</v>
      </c>
      <c r="F259" t="s">
        <v>906</v>
      </c>
      <c r="G259" t="s">
        <v>782</v>
      </c>
      <c r="H259">
        <v>1579600</v>
      </c>
      <c r="I259" t="s">
        <v>1369</v>
      </c>
      <c r="J259" t="s">
        <v>783</v>
      </c>
      <c r="K259">
        <v>3</v>
      </c>
      <c r="L259" t="s">
        <v>852</v>
      </c>
      <c r="M259" t="s">
        <v>908</v>
      </c>
      <c r="N259" t="s">
        <v>909</v>
      </c>
      <c r="O259" t="s">
        <v>823</v>
      </c>
      <c r="P259" t="s">
        <v>702</v>
      </c>
      <c r="Q259" t="s">
        <v>703</v>
      </c>
      <c r="R259" t="s">
        <v>360</v>
      </c>
      <c r="S259" t="s">
        <v>229</v>
      </c>
      <c r="U259">
        <v>20007173</v>
      </c>
      <c r="V259" t="s">
        <v>910</v>
      </c>
      <c r="W259">
        <v>1</v>
      </c>
      <c r="X259" t="s">
        <v>311</v>
      </c>
      <c r="Y259" t="s">
        <v>1331</v>
      </c>
    </row>
    <row r="260" spans="1:25" x14ac:dyDescent="0.4">
      <c r="A260" t="s">
        <v>230</v>
      </c>
      <c r="B260">
        <v>597593</v>
      </c>
      <c r="C260" t="s">
        <v>480</v>
      </c>
      <c r="D260">
        <v>10006549</v>
      </c>
      <c r="E260">
        <v>20020431</v>
      </c>
      <c r="F260" t="s">
        <v>1225</v>
      </c>
      <c r="G260" t="s">
        <v>792</v>
      </c>
      <c r="H260">
        <v>2110672</v>
      </c>
      <c r="I260" t="s">
        <v>1370</v>
      </c>
      <c r="J260" t="s">
        <v>304</v>
      </c>
      <c r="K260">
        <v>3</v>
      </c>
      <c r="L260" t="s">
        <v>852</v>
      </c>
      <c r="M260" t="s">
        <v>908</v>
      </c>
      <c r="N260" t="s">
        <v>909</v>
      </c>
      <c r="O260" t="s">
        <v>823</v>
      </c>
      <c r="P260" t="s">
        <v>702</v>
      </c>
      <c r="Q260" t="s">
        <v>703</v>
      </c>
      <c r="R260" t="s">
        <v>761</v>
      </c>
      <c r="S260" t="s">
        <v>304</v>
      </c>
      <c r="U260">
        <v>10006549</v>
      </c>
      <c r="V260" t="s">
        <v>1225</v>
      </c>
      <c r="W260">
        <v>1</v>
      </c>
      <c r="X260" t="s">
        <v>311</v>
      </c>
      <c r="Y260" t="s">
        <v>1331</v>
      </c>
    </row>
    <row r="261" spans="1:25" x14ac:dyDescent="0.4">
      <c r="A261" t="s">
        <v>230</v>
      </c>
      <c r="B261">
        <v>597660</v>
      </c>
      <c r="C261" t="s">
        <v>638</v>
      </c>
      <c r="D261">
        <v>20006277</v>
      </c>
      <c r="E261">
        <v>20010843</v>
      </c>
      <c r="F261" t="s">
        <v>856</v>
      </c>
      <c r="G261" t="s">
        <v>737</v>
      </c>
      <c r="H261">
        <v>2104440</v>
      </c>
      <c r="I261" t="s">
        <v>1335</v>
      </c>
      <c r="J261" t="s">
        <v>738</v>
      </c>
      <c r="K261">
        <v>28</v>
      </c>
      <c r="L261" t="s">
        <v>907</v>
      </c>
      <c r="M261" t="s">
        <v>913</v>
      </c>
      <c r="N261" t="s">
        <v>914</v>
      </c>
      <c r="O261" t="s">
        <v>823</v>
      </c>
      <c r="P261" t="s">
        <v>702</v>
      </c>
      <c r="Q261" t="s">
        <v>703</v>
      </c>
      <c r="R261" t="s">
        <v>229</v>
      </c>
      <c r="S261" t="s">
        <v>738</v>
      </c>
      <c r="W261">
        <v>1</v>
      </c>
      <c r="X261" t="s">
        <v>242</v>
      </c>
      <c r="Y261" t="s">
        <v>1319</v>
      </c>
    </row>
    <row r="262" spans="1:25" x14ac:dyDescent="0.4">
      <c r="A262" t="s">
        <v>230</v>
      </c>
      <c r="B262">
        <v>597691</v>
      </c>
      <c r="C262" t="s">
        <v>1371</v>
      </c>
      <c r="D262">
        <v>20003978</v>
      </c>
      <c r="E262">
        <v>20019171</v>
      </c>
      <c r="F262" t="s">
        <v>954</v>
      </c>
      <c r="G262" t="s">
        <v>534</v>
      </c>
      <c r="H262">
        <v>2034320</v>
      </c>
      <c r="I262" t="s">
        <v>1033</v>
      </c>
      <c r="J262" t="s">
        <v>285</v>
      </c>
      <c r="K262">
        <v>3</v>
      </c>
      <c r="L262" t="s">
        <v>852</v>
      </c>
      <c r="M262" t="s">
        <v>1083</v>
      </c>
      <c r="N262" t="s">
        <v>1084</v>
      </c>
      <c r="O262" t="s">
        <v>819</v>
      </c>
      <c r="P262" t="s">
        <v>450</v>
      </c>
      <c r="Q262" t="s">
        <v>451</v>
      </c>
      <c r="R262" t="s">
        <v>432</v>
      </c>
      <c r="S262" t="s">
        <v>285</v>
      </c>
      <c r="W262">
        <v>1</v>
      </c>
      <c r="X262" t="s">
        <v>258</v>
      </c>
      <c r="Y262" t="s">
        <v>1372</v>
      </c>
    </row>
    <row r="263" spans="1:25" x14ac:dyDescent="0.4">
      <c r="A263" t="s">
        <v>230</v>
      </c>
      <c r="B263">
        <v>597695</v>
      </c>
      <c r="C263" t="s">
        <v>1373</v>
      </c>
      <c r="D263">
        <v>10004863</v>
      </c>
      <c r="E263">
        <v>20020218</v>
      </c>
      <c r="F263" t="s">
        <v>1003</v>
      </c>
      <c r="G263" t="s">
        <v>540</v>
      </c>
      <c r="H263">
        <v>1446400</v>
      </c>
      <c r="I263" t="s">
        <v>1374</v>
      </c>
      <c r="J263" t="s">
        <v>432</v>
      </c>
      <c r="K263">
        <v>3</v>
      </c>
      <c r="L263" t="s">
        <v>852</v>
      </c>
      <c r="M263" t="s">
        <v>899</v>
      </c>
      <c r="N263" t="s">
        <v>900</v>
      </c>
      <c r="O263" t="s">
        <v>819</v>
      </c>
      <c r="P263" t="s">
        <v>450</v>
      </c>
      <c r="Q263" t="s">
        <v>451</v>
      </c>
      <c r="R263" t="s">
        <v>1356</v>
      </c>
      <c r="S263" t="s">
        <v>1375</v>
      </c>
      <c r="W263">
        <v>1</v>
      </c>
      <c r="X263" t="s">
        <v>242</v>
      </c>
      <c r="Y263" t="s">
        <v>1319</v>
      </c>
    </row>
    <row r="264" spans="1:25" x14ac:dyDescent="0.4">
      <c r="A264" t="s">
        <v>230</v>
      </c>
      <c r="B264">
        <v>597758</v>
      </c>
      <c r="C264" t="s">
        <v>423</v>
      </c>
      <c r="D264">
        <v>20009092</v>
      </c>
      <c r="E264">
        <v>10024720</v>
      </c>
      <c r="F264" t="s">
        <v>1376</v>
      </c>
      <c r="G264" t="s">
        <v>709</v>
      </c>
      <c r="H264">
        <v>1767048</v>
      </c>
      <c r="I264" t="s">
        <v>1377</v>
      </c>
      <c r="J264" t="s">
        <v>285</v>
      </c>
      <c r="K264">
        <v>28</v>
      </c>
      <c r="L264" t="s">
        <v>907</v>
      </c>
      <c r="M264" t="s">
        <v>941</v>
      </c>
      <c r="N264" t="s">
        <v>942</v>
      </c>
      <c r="O264" t="s">
        <v>823</v>
      </c>
      <c r="P264" t="s">
        <v>702</v>
      </c>
      <c r="Q264" t="s">
        <v>703</v>
      </c>
      <c r="R264" t="s">
        <v>360</v>
      </c>
      <c r="S264" t="s">
        <v>229</v>
      </c>
      <c r="U264">
        <v>20009092</v>
      </c>
      <c r="V264" t="s">
        <v>1376</v>
      </c>
      <c r="W264">
        <v>1</v>
      </c>
      <c r="X264" t="s">
        <v>311</v>
      </c>
      <c r="Y264" t="s">
        <v>1331</v>
      </c>
    </row>
    <row r="265" spans="1:25" x14ac:dyDescent="0.4">
      <c r="A265" t="s">
        <v>230</v>
      </c>
      <c r="B265">
        <v>597806</v>
      </c>
      <c r="C265" t="s">
        <v>716</v>
      </c>
      <c r="D265">
        <v>20018888</v>
      </c>
      <c r="E265">
        <v>20018888</v>
      </c>
      <c r="F265" t="s">
        <v>284</v>
      </c>
      <c r="G265" t="s">
        <v>284</v>
      </c>
      <c r="H265">
        <v>1828000</v>
      </c>
      <c r="I265" t="s">
        <v>1378</v>
      </c>
      <c r="J265" t="s">
        <v>285</v>
      </c>
      <c r="K265">
        <v>16</v>
      </c>
      <c r="L265" t="s">
        <v>890</v>
      </c>
      <c r="M265" t="s">
        <v>873</v>
      </c>
      <c r="N265" t="s">
        <v>874</v>
      </c>
      <c r="O265" t="s">
        <v>818</v>
      </c>
      <c r="P265" t="s">
        <v>181</v>
      </c>
      <c r="Q265" t="s">
        <v>182</v>
      </c>
      <c r="R265" t="s">
        <v>285</v>
      </c>
      <c r="S265" t="s">
        <v>229</v>
      </c>
      <c r="T265" t="s">
        <v>973</v>
      </c>
      <c r="W265">
        <v>1</v>
      </c>
      <c r="X265" t="s">
        <v>311</v>
      </c>
      <c r="Y265" t="s">
        <v>1331</v>
      </c>
    </row>
    <row r="266" spans="1:25" x14ac:dyDescent="0.4">
      <c r="A266" t="s">
        <v>230</v>
      </c>
      <c r="B266">
        <v>597839</v>
      </c>
      <c r="C266" t="s">
        <v>1379</v>
      </c>
      <c r="D266">
        <v>10005091</v>
      </c>
      <c r="E266">
        <v>20020425</v>
      </c>
      <c r="F266" t="s">
        <v>1020</v>
      </c>
      <c r="G266" t="s">
        <v>303</v>
      </c>
      <c r="H266">
        <v>1995224</v>
      </c>
      <c r="I266" t="s">
        <v>1380</v>
      </c>
      <c r="J266" t="s">
        <v>304</v>
      </c>
      <c r="K266">
        <v>3</v>
      </c>
      <c r="L266" t="s">
        <v>852</v>
      </c>
      <c r="M266" t="s">
        <v>1081</v>
      </c>
      <c r="N266" t="s">
        <v>1082</v>
      </c>
      <c r="O266" t="s">
        <v>818</v>
      </c>
      <c r="P266" t="s">
        <v>181</v>
      </c>
      <c r="Q266" t="s">
        <v>182</v>
      </c>
      <c r="R266" t="s">
        <v>761</v>
      </c>
      <c r="S266" t="s">
        <v>304</v>
      </c>
      <c r="W266">
        <v>1</v>
      </c>
      <c r="X266" t="s">
        <v>258</v>
      </c>
      <c r="Y266" t="s">
        <v>1372</v>
      </c>
    </row>
    <row r="267" spans="1:25" x14ac:dyDescent="0.4">
      <c r="A267" t="s">
        <v>230</v>
      </c>
      <c r="B267">
        <v>597875</v>
      </c>
      <c r="C267" t="s">
        <v>1375</v>
      </c>
      <c r="D267">
        <v>10040967</v>
      </c>
      <c r="E267">
        <v>10040967</v>
      </c>
      <c r="F267" t="s">
        <v>228</v>
      </c>
      <c r="G267" t="s">
        <v>228</v>
      </c>
      <c r="H267">
        <v>1877344</v>
      </c>
      <c r="I267" t="s">
        <v>872</v>
      </c>
      <c r="J267" t="s">
        <v>229</v>
      </c>
      <c r="K267">
        <v>13</v>
      </c>
      <c r="L267" t="s">
        <v>1011</v>
      </c>
      <c r="M267" t="s">
        <v>873</v>
      </c>
      <c r="N267" t="s">
        <v>874</v>
      </c>
      <c r="O267" t="s">
        <v>818</v>
      </c>
      <c r="P267" t="s">
        <v>181</v>
      </c>
      <c r="Q267" t="s">
        <v>182</v>
      </c>
      <c r="R267" t="s">
        <v>285</v>
      </c>
      <c r="S267" t="s">
        <v>229</v>
      </c>
      <c r="T267" t="s">
        <v>973</v>
      </c>
      <c r="W267">
        <v>1</v>
      </c>
      <c r="X267" t="s">
        <v>311</v>
      </c>
      <c r="Y267" t="s">
        <v>1331</v>
      </c>
    </row>
    <row r="268" spans="1:25" x14ac:dyDescent="0.4">
      <c r="A268" t="s">
        <v>242</v>
      </c>
      <c r="B268">
        <v>596095</v>
      </c>
      <c r="C268" t="s">
        <v>1292</v>
      </c>
      <c r="D268">
        <v>20019205</v>
      </c>
      <c r="E268">
        <v>20019205</v>
      </c>
      <c r="F268" t="s">
        <v>421</v>
      </c>
      <c r="G268" t="s">
        <v>421</v>
      </c>
      <c r="H268">
        <v>2174960</v>
      </c>
      <c r="I268" t="s">
        <v>884</v>
      </c>
      <c r="J268" t="s">
        <v>342</v>
      </c>
      <c r="K268">
        <v>3</v>
      </c>
      <c r="L268" t="s">
        <v>852</v>
      </c>
      <c r="M268" t="s">
        <v>885</v>
      </c>
      <c r="N268" t="s">
        <v>886</v>
      </c>
      <c r="O268" t="s">
        <v>820</v>
      </c>
      <c r="P268" t="s">
        <v>305</v>
      </c>
      <c r="Q268" t="s">
        <v>306</v>
      </c>
      <c r="R268" t="s">
        <v>761</v>
      </c>
      <c r="S268" t="s">
        <v>1381</v>
      </c>
      <c r="W268">
        <v>1</v>
      </c>
      <c r="X268" t="s">
        <v>311</v>
      </c>
      <c r="Y268" t="s">
        <v>1331</v>
      </c>
    </row>
    <row r="269" spans="1:25" x14ac:dyDescent="0.4">
      <c r="A269" t="s">
        <v>242</v>
      </c>
      <c r="B269">
        <v>596272</v>
      </c>
      <c r="C269" t="s">
        <v>1296</v>
      </c>
      <c r="D269">
        <v>20002782</v>
      </c>
      <c r="E269">
        <v>10052953</v>
      </c>
      <c r="F269" t="s">
        <v>1067</v>
      </c>
      <c r="G269" t="s">
        <v>341</v>
      </c>
      <c r="H269">
        <v>3672424</v>
      </c>
      <c r="I269" t="s">
        <v>1382</v>
      </c>
      <c r="J269" t="s">
        <v>342</v>
      </c>
      <c r="K269">
        <v>39</v>
      </c>
      <c r="L269" t="s">
        <v>1383</v>
      </c>
      <c r="M269" t="s">
        <v>928</v>
      </c>
      <c r="N269" t="s">
        <v>929</v>
      </c>
      <c r="O269" t="s">
        <v>820</v>
      </c>
      <c r="P269" t="s">
        <v>305</v>
      </c>
      <c r="Q269" t="s">
        <v>306</v>
      </c>
      <c r="R269" t="s">
        <v>304</v>
      </c>
      <c r="S269" t="s">
        <v>342</v>
      </c>
      <c r="U269">
        <v>20002782</v>
      </c>
      <c r="V269" t="s">
        <v>1067</v>
      </c>
      <c r="W269">
        <v>1</v>
      </c>
      <c r="X269" t="s">
        <v>311</v>
      </c>
      <c r="Y269" t="s">
        <v>1331</v>
      </c>
    </row>
    <row r="270" spans="1:25" x14ac:dyDescent="0.4">
      <c r="A270" t="s">
        <v>242</v>
      </c>
      <c r="B270">
        <v>597651</v>
      </c>
      <c r="C270" t="s">
        <v>638</v>
      </c>
      <c r="D270">
        <v>10063720</v>
      </c>
      <c r="E270">
        <v>20020422</v>
      </c>
      <c r="F270" t="s">
        <v>1028</v>
      </c>
      <c r="G270" t="s">
        <v>439</v>
      </c>
      <c r="H270">
        <v>1304600</v>
      </c>
      <c r="I270" t="s">
        <v>1384</v>
      </c>
      <c r="J270" t="s">
        <v>440</v>
      </c>
      <c r="K270">
        <v>3</v>
      </c>
      <c r="L270" t="s">
        <v>852</v>
      </c>
      <c r="M270" t="s">
        <v>928</v>
      </c>
      <c r="N270" t="s">
        <v>929</v>
      </c>
      <c r="O270" t="s">
        <v>820</v>
      </c>
      <c r="P270" t="s">
        <v>305</v>
      </c>
      <c r="Q270" t="s">
        <v>306</v>
      </c>
      <c r="R270" t="s">
        <v>1385</v>
      </c>
      <c r="S270" t="s">
        <v>1386</v>
      </c>
      <c r="U270">
        <v>10063720</v>
      </c>
      <c r="V270" t="s">
        <v>1028</v>
      </c>
      <c r="W270">
        <v>1</v>
      </c>
      <c r="X270" t="s">
        <v>258</v>
      </c>
      <c r="Y270" t="s">
        <v>1372</v>
      </c>
    </row>
    <row r="271" spans="1:25" x14ac:dyDescent="0.4">
      <c r="A271" t="s">
        <v>242</v>
      </c>
      <c r="B271">
        <v>597672</v>
      </c>
      <c r="C271" t="s">
        <v>663</v>
      </c>
      <c r="D271">
        <v>20020215</v>
      </c>
      <c r="E271">
        <v>20020215</v>
      </c>
      <c r="F271" t="s">
        <v>298</v>
      </c>
      <c r="G271" t="s">
        <v>298</v>
      </c>
      <c r="H271">
        <v>1941120</v>
      </c>
      <c r="I271" t="s">
        <v>1387</v>
      </c>
      <c r="J271" t="s">
        <v>299</v>
      </c>
      <c r="K271">
        <v>3</v>
      </c>
      <c r="L271" t="s">
        <v>852</v>
      </c>
      <c r="M271" t="s">
        <v>1081</v>
      </c>
      <c r="N271" t="s">
        <v>1082</v>
      </c>
      <c r="O271" t="s">
        <v>818</v>
      </c>
      <c r="P271" t="s">
        <v>181</v>
      </c>
      <c r="Q271" t="s">
        <v>182</v>
      </c>
      <c r="R271" t="s">
        <v>663</v>
      </c>
      <c r="S271" t="s">
        <v>427</v>
      </c>
      <c r="T271" t="s">
        <v>973</v>
      </c>
      <c r="W271">
        <v>1</v>
      </c>
      <c r="X271" t="s">
        <v>311</v>
      </c>
      <c r="Y271" t="s">
        <v>1331</v>
      </c>
    </row>
    <row r="272" spans="1:25" x14ac:dyDescent="0.4">
      <c r="A272" t="s">
        <v>242</v>
      </c>
      <c r="B272">
        <v>597731</v>
      </c>
      <c r="C272" t="s">
        <v>1356</v>
      </c>
      <c r="D272">
        <v>20002210</v>
      </c>
      <c r="E272">
        <v>20019087</v>
      </c>
      <c r="F272" t="s">
        <v>877</v>
      </c>
      <c r="G272" t="s">
        <v>631</v>
      </c>
      <c r="H272">
        <v>2310000</v>
      </c>
      <c r="I272" t="s">
        <v>1388</v>
      </c>
      <c r="J272" t="s">
        <v>632</v>
      </c>
      <c r="K272">
        <v>3</v>
      </c>
      <c r="L272" t="s">
        <v>852</v>
      </c>
      <c r="M272" t="s">
        <v>880</v>
      </c>
      <c r="N272" t="s">
        <v>881</v>
      </c>
      <c r="O272" t="s">
        <v>822</v>
      </c>
      <c r="P272" t="s">
        <v>549</v>
      </c>
      <c r="Q272" t="s">
        <v>550</v>
      </c>
      <c r="R272" t="s">
        <v>632</v>
      </c>
      <c r="S272" t="s">
        <v>241</v>
      </c>
      <c r="U272">
        <v>20002210</v>
      </c>
      <c r="V272" t="s">
        <v>877</v>
      </c>
      <c r="W272">
        <v>1</v>
      </c>
      <c r="X272" t="s">
        <v>258</v>
      </c>
      <c r="Y272" t="s">
        <v>1372</v>
      </c>
    </row>
    <row r="273" spans="1:25" x14ac:dyDescent="0.4">
      <c r="A273" t="s">
        <v>242</v>
      </c>
      <c r="B273">
        <v>597777</v>
      </c>
      <c r="C273" t="s">
        <v>432</v>
      </c>
      <c r="D273">
        <v>10004692</v>
      </c>
      <c r="E273">
        <v>10078620</v>
      </c>
      <c r="F273" t="s">
        <v>1389</v>
      </c>
      <c r="G273" t="s">
        <v>477</v>
      </c>
      <c r="H273">
        <v>1927984</v>
      </c>
      <c r="I273" t="s">
        <v>975</v>
      </c>
      <c r="J273" t="s">
        <v>478</v>
      </c>
      <c r="K273">
        <v>28</v>
      </c>
      <c r="L273" t="s">
        <v>907</v>
      </c>
      <c r="M273" t="s">
        <v>976</v>
      </c>
      <c r="N273" t="s">
        <v>977</v>
      </c>
      <c r="O273" t="s">
        <v>819</v>
      </c>
      <c r="P273" t="s">
        <v>446</v>
      </c>
      <c r="Q273" t="s">
        <v>447</v>
      </c>
      <c r="R273" t="s">
        <v>1390</v>
      </c>
      <c r="S273" t="s">
        <v>478</v>
      </c>
      <c r="U273">
        <v>10004692</v>
      </c>
      <c r="V273" t="s">
        <v>1389</v>
      </c>
      <c r="W273">
        <v>1</v>
      </c>
      <c r="X273" t="s">
        <v>311</v>
      </c>
      <c r="Y273" t="s">
        <v>1331</v>
      </c>
    </row>
    <row r="274" spans="1:25" x14ac:dyDescent="0.4">
      <c r="A274" t="s">
        <v>242</v>
      </c>
      <c r="B274">
        <v>597788</v>
      </c>
      <c r="C274" t="s">
        <v>432</v>
      </c>
      <c r="D274">
        <v>20011744</v>
      </c>
      <c r="E274">
        <v>20011744</v>
      </c>
      <c r="F274" t="s">
        <v>741</v>
      </c>
      <c r="G274" t="s">
        <v>741</v>
      </c>
      <c r="H274">
        <v>1540000</v>
      </c>
      <c r="I274" t="s">
        <v>1391</v>
      </c>
      <c r="J274" t="s">
        <v>742</v>
      </c>
      <c r="K274">
        <v>99</v>
      </c>
      <c r="L274" t="s">
        <v>981</v>
      </c>
      <c r="M274" t="s">
        <v>941</v>
      </c>
      <c r="N274" t="s">
        <v>942</v>
      </c>
      <c r="O274" t="s">
        <v>823</v>
      </c>
      <c r="P274" t="s">
        <v>702</v>
      </c>
      <c r="Q274" t="s">
        <v>703</v>
      </c>
      <c r="R274" t="s">
        <v>285</v>
      </c>
      <c r="S274" t="s">
        <v>751</v>
      </c>
      <c r="W274">
        <v>1</v>
      </c>
      <c r="X274" t="s">
        <v>311</v>
      </c>
      <c r="Y274" t="s">
        <v>1331</v>
      </c>
    </row>
    <row r="275" spans="1:25" x14ac:dyDescent="0.4">
      <c r="A275" t="s">
        <v>242</v>
      </c>
      <c r="B275">
        <v>597865</v>
      </c>
      <c r="C275" t="s">
        <v>1375</v>
      </c>
      <c r="D275">
        <v>20016372</v>
      </c>
      <c r="E275">
        <v>20020259</v>
      </c>
      <c r="F275" t="s">
        <v>1392</v>
      </c>
      <c r="G275" t="s">
        <v>433</v>
      </c>
      <c r="H275">
        <v>1913720</v>
      </c>
      <c r="I275" t="s">
        <v>1213</v>
      </c>
      <c r="J275" t="s">
        <v>434</v>
      </c>
      <c r="K275">
        <v>3</v>
      </c>
      <c r="L275" t="s">
        <v>852</v>
      </c>
      <c r="M275" t="s">
        <v>956</v>
      </c>
      <c r="N275" t="s">
        <v>957</v>
      </c>
      <c r="O275" t="s">
        <v>820</v>
      </c>
      <c r="P275" t="s">
        <v>305</v>
      </c>
      <c r="Q275" t="s">
        <v>306</v>
      </c>
      <c r="R275" t="s">
        <v>342</v>
      </c>
      <c r="S275" t="s">
        <v>434</v>
      </c>
      <c r="U275">
        <v>20016372</v>
      </c>
      <c r="V275" t="s">
        <v>1392</v>
      </c>
      <c r="W275">
        <v>1</v>
      </c>
      <c r="X275" t="s">
        <v>258</v>
      </c>
      <c r="Y275" t="s">
        <v>1372</v>
      </c>
    </row>
    <row r="276" spans="1:25" x14ac:dyDescent="0.4">
      <c r="A276" t="s">
        <v>242</v>
      </c>
      <c r="B276">
        <v>597939</v>
      </c>
      <c r="C276" t="s">
        <v>360</v>
      </c>
      <c r="D276">
        <v>20006277</v>
      </c>
      <c r="E276">
        <v>10010636</v>
      </c>
      <c r="F276" t="s">
        <v>856</v>
      </c>
      <c r="G276" t="s">
        <v>705</v>
      </c>
      <c r="H276">
        <v>1354600</v>
      </c>
      <c r="I276" t="s">
        <v>1393</v>
      </c>
      <c r="J276" t="s">
        <v>342</v>
      </c>
      <c r="K276">
        <v>28</v>
      </c>
      <c r="L276" t="s">
        <v>907</v>
      </c>
      <c r="M276" t="s">
        <v>1012</v>
      </c>
      <c r="N276" t="s">
        <v>1013</v>
      </c>
      <c r="O276" t="s">
        <v>823</v>
      </c>
      <c r="P276" t="s">
        <v>702</v>
      </c>
      <c r="Q276" t="s">
        <v>703</v>
      </c>
      <c r="R276" t="s">
        <v>304</v>
      </c>
      <c r="S276" t="s">
        <v>1385</v>
      </c>
      <c r="W276">
        <v>1</v>
      </c>
      <c r="X276" t="s">
        <v>242</v>
      </c>
      <c r="Y276" t="s">
        <v>1319</v>
      </c>
    </row>
    <row r="277" spans="1:25" x14ac:dyDescent="0.4">
      <c r="A277" t="s">
        <v>242</v>
      </c>
      <c r="B277">
        <v>597954</v>
      </c>
      <c r="C277" t="s">
        <v>1363</v>
      </c>
      <c r="D277">
        <v>20002364</v>
      </c>
      <c r="E277">
        <v>20020497</v>
      </c>
      <c r="F277" t="s">
        <v>1009</v>
      </c>
      <c r="G277" t="s">
        <v>793</v>
      </c>
      <c r="H277">
        <v>1688000</v>
      </c>
      <c r="I277" t="s">
        <v>1394</v>
      </c>
      <c r="J277" t="s">
        <v>794</v>
      </c>
      <c r="K277">
        <v>3</v>
      </c>
      <c r="L277" t="s">
        <v>852</v>
      </c>
      <c r="M277" t="s">
        <v>941</v>
      </c>
      <c r="N277" t="s">
        <v>942</v>
      </c>
      <c r="O277" t="s">
        <v>823</v>
      </c>
      <c r="P277" t="s">
        <v>702</v>
      </c>
      <c r="Q277" t="s">
        <v>703</v>
      </c>
      <c r="R277" t="s">
        <v>427</v>
      </c>
      <c r="S277" t="s">
        <v>1395</v>
      </c>
      <c r="U277">
        <v>20002364</v>
      </c>
      <c r="V277" t="s">
        <v>1009</v>
      </c>
      <c r="W277">
        <v>1</v>
      </c>
      <c r="X277" t="s">
        <v>311</v>
      </c>
      <c r="Y277" t="s">
        <v>1331</v>
      </c>
    </row>
    <row r="278" spans="1:25" x14ac:dyDescent="0.4">
      <c r="A278" t="s">
        <v>242</v>
      </c>
      <c r="B278">
        <v>597965</v>
      </c>
      <c r="C278" t="s">
        <v>425</v>
      </c>
      <c r="D278">
        <v>20003059</v>
      </c>
      <c r="E278">
        <v>20019383</v>
      </c>
      <c r="F278" t="s">
        <v>926</v>
      </c>
      <c r="G278" t="s">
        <v>426</v>
      </c>
      <c r="H278">
        <v>2402347</v>
      </c>
      <c r="I278" t="s">
        <v>1213</v>
      </c>
      <c r="J278" t="s">
        <v>427</v>
      </c>
      <c r="K278">
        <v>16</v>
      </c>
      <c r="L278" t="s">
        <v>890</v>
      </c>
      <c r="M278" t="s">
        <v>956</v>
      </c>
      <c r="N278" t="s">
        <v>957</v>
      </c>
      <c r="O278" t="s">
        <v>820</v>
      </c>
      <c r="P278" t="s">
        <v>305</v>
      </c>
      <c r="Q278" t="s">
        <v>306</v>
      </c>
      <c r="R278" t="s">
        <v>1381</v>
      </c>
      <c r="S278" t="s">
        <v>427</v>
      </c>
      <c r="U278">
        <v>20003059</v>
      </c>
      <c r="V278" t="s">
        <v>926</v>
      </c>
      <c r="W278">
        <v>1</v>
      </c>
      <c r="X278" t="s">
        <v>311</v>
      </c>
      <c r="Y278" t="s">
        <v>1331</v>
      </c>
    </row>
    <row r="279" spans="1:25" x14ac:dyDescent="0.4">
      <c r="A279" t="s">
        <v>242</v>
      </c>
      <c r="B279">
        <v>598068</v>
      </c>
      <c r="C279" t="s">
        <v>434</v>
      </c>
      <c r="D279">
        <v>10006549</v>
      </c>
      <c r="E279">
        <v>20013794</v>
      </c>
      <c r="F279" t="s">
        <v>1225</v>
      </c>
      <c r="G279" t="s">
        <v>750</v>
      </c>
      <c r="H279">
        <v>1739600</v>
      </c>
      <c r="I279" t="s">
        <v>1396</v>
      </c>
      <c r="J279" t="s">
        <v>751</v>
      </c>
      <c r="K279">
        <v>26</v>
      </c>
      <c r="L279" t="s">
        <v>864</v>
      </c>
      <c r="M279" t="s">
        <v>908</v>
      </c>
      <c r="N279" t="s">
        <v>909</v>
      </c>
      <c r="O279" t="s">
        <v>823</v>
      </c>
      <c r="P279" t="s">
        <v>702</v>
      </c>
      <c r="Q279" t="s">
        <v>703</v>
      </c>
      <c r="R279" t="s">
        <v>751</v>
      </c>
      <c r="S279" t="s">
        <v>324</v>
      </c>
      <c r="U279">
        <v>10006549</v>
      </c>
      <c r="V279" t="s">
        <v>1225</v>
      </c>
      <c r="W279">
        <v>1</v>
      </c>
      <c r="X279" t="s">
        <v>258</v>
      </c>
      <c r="Y279" t="s">
        <v>1372</v>
      </c>
    </row>
    <row r="280" spans="1:25" x14ac:dyDescent="0.4">
      <c r="A280" t="s">
        <v>242</v>
      </c>
      <c r="B280">
        <v>598097</v>
      </c>
      <c r="C280" t="s">
        <v>285</v>
      </c>
      <c r="D280">
        <v>10006280</v>
      </c>
      <c r="E280">
        <v>10045281</v>
      </c>
      <c r="F280" t="s">
        <v>1053</v>
      </c>
      <c r="G280" t="s">
        <v>668</v>
      </c>
      <c r="H280">
        <v>1490520</v>
      </c>
      <c r="I280" t="s">
        <v>1397</v>
      </c>
      <c r="J280" t="s">
        <v>669</v>
      </c>
      <c r="K280">
        <v>46</v>
      </c>
      <c r="L280" t="s">
        <v>1323</v>
      </c>
      <c r="M280" t="s">
        <v>1037</v>
      </c>
      <c r="N280" t="s">
        <v>1038</v>
      </c>
      <c r="O280" t="s">
        <v>821</v>
      </c>
      <c r="P280" t="s">
        <v>656</v>
      </c>
      <c r="Q280" t="s">
        <v>657</v>
      </c>
      <c r="R280" t="s">
        <v>1381</v>
      </c>
      <c r="S280" t="s">
        <v>478</v>
      </c>
      <c r="U280">
        <v>10006280</v>
      </c>
      <c r="V280" t="s">
        <v>1053</v>
      </c>
      <c r="W280">
        <v>1</v>
      </c>
      <c r="X280" t="s">
        <v>311</v>
      </c>
      <c r="Y280" t="s">
        <v>1331</v>
      </c>
    </row>
    <row r="281" spans="1:25" x14ac:dyDescent="0.4">
      <c r="A281" t="s">
        <v>242</v>
      </c>
      <c r="B281">
        <v>598110</v>
      </c>
      <c r="C281" t="s">
        <v>285</v>
      </c>
      <c r="D281">
        <v>20006972</v>
      </c>
      <c r="E281">
        <v>20020434</v>
      </c>
      <c r="F281" t="s">
        <v>1398</v>
      </c>
      <c r="G281" t="s">
        <v>646</v>
      </c>
      <c r="H281">
        <v>3030000</v>
      </c>
      <c r="I281" t="s">
        <v>1338</v>
      </c>
      <c r="J281" t="s">
        <v>241</v>
      </c>
      <c r="K281">
        <v>3</v>
      </c>
      <c r="L281" t="s">
        <v>852</v>
      </c>
      <c r="M281" t="s">
        <v>880</v>
      </c>
      <c r="N281" t="s">
        <v>881</v>
      </c>
      <c r="O281" t="s">
        <v>822</v>
      </c>
      <c r="P281" t="s">
        <v>549</v>
      </c>
      <c r="Q281" t="s">
        <v>550</v>
      </c>
      <c r="R281" t="s">
        <v>241</v>
      </c>
      <c r="S281" t="s">
        <v>241</v>
      </c>
      <c r="W281">
        <v>1</v>
      </c>
      <c r="X281" t="s">
        <v>221</v>
      </c>
      <c r="Y281" t="s">
        <v>1399</v>
      </c>
    </row>
    <row r="282" spans="1:25" x14ac:dyDescent="0.4">
      <c r="A282" t="s">
        <v>242</v>
      </c>
      <c r="B282">
        <v>598129</v>
      </c>
      <c r="C282" t="s">
        <v>229</v>
      </c>
      <c r="D282">
        <v>20002364</v>
      </c>
      <c r="E282">
        <v>20019206</v>
      </c>
      <c r="F282" t="s">
        <v>1009</v>
      </c>
      <c r="G282" t="s">
        <v>790</v>
      </c>
      <c r="H282">
        <v>2212552</v>
      </c>
      <c r="I282" t="s">
        <v>1335</v>
      </c>
      <c r="J282" t="s">
        <v>791</v>
      </c>
      <c r="K282">
        <v>3</v>
      </c>
      <c r="L282" t="s">
        <v>852</v>
      </c>
      <c r="M282" t="s">
        <v>913</v>
      </c>
      <c r="N282" t="s">
        <v>914</v>
      </c>
      <c r="O282" t="s">
        <v>823</v>
      </c>
      <c r="P282" t="s">
        <v>702</v>
      </c>
      <c r="Q282" t="s">
        <v>703</v>
      </c>
      <c r="R282" t="s">
        <v>1400</v>
      </c>
      <c r="S282" t="s">
        <v>1390</v>
      </c>
      <c r="U282">
        <v>20002364</v>
      </c>
      <c r="V282" t="s">
        <v>1009</v>
      </c>
      <c r="W282">
        <v>1</v>
      </c>
      <c r="X282" t="s">
        <v>311</v>
      </c>
      <c r="Y282" t="s">
        <v>1331</v>
      </c>
    </row>
    <row r="283" spans="1:25" x14ac:dyDescent="0.4">
      <c r="A283" t="s">
        <v>242</v>
      </c>
      <c r="B283">
        <v>598238</v>
      </c>
      <c r="C283" t="s">
        <v>1385</v>
      </c>
      <c r="D283">
        <v>20002218</v>
      </c>
      <c r="E283">
        <v>10065393</v>
      </c>
      <c r="F283" t="s">
        <v>868</v>
      </c>
      <c r="G283" t="s">
        <v>240</v>
      </c>
      <c r="H283">
        <v>2129064</v>
      </c>
      <c r="I283" t="s">
        <v>1401</v>
      </c>
      <c r="J283" t="s">
        <v>241</v>
      </c>
      <c r="K283">
        <v>35</v>
      </c>
      <c r="L283" t="s">
        <v>916</v>
      </c>
      <c r="M283" t="s">
        <v>873</v>
      </c>
      <c r="N283" t="s">
        <v>874</v>
      </c>
      <c r="O283" t="s">
        <v>818</v>
      </c>
      <c r="P283" t="s">
        <v>181</v>
      </c>
      <c r="Q283" t="s">
        <v>182</v>
      </c>
      <c r="R283" t="s">
        <v>1386</v>
      </c>
      <c r="S283" t="s">
        <v>241</v>
      </c>
      <c r="U283">
        <v>20002277</v>
      </c>
      <c r="V283" t="s">
        <v>1402</v>
      </c>
      <c r="W283">
        <v>1</v>
      </c>
      <c r="X283" t="s">
        <v>311</v>
      </c>
      <c r="Y283" t="s">
        <v>1331</v>
      </c>
    </row>
    <row r="284" spans="1:25" x14ac:dyDescent="0.4">
      <c r="A284" t="s">
        <v>242</v>
      </c>
      <c r="B284">
        <v>598255</v>
      </c>
      <c r="C284" t="s">
        <v>427</v>
      </c>
      <c r="D284">
        <v>20005057</v>
      </c>
      <c r="E284">
        <v>20020209</v>
      </c>
      <c r="F284" t="s">
        <v>1403</v>
      </c>
      <c r="G284" t="s">
        <v>700</v>
      </c>
      <c r="H284">
        <v>2872464</v>
      </c>
      <c r="I284" t="s">
        <v>1404</v>
      </c>
      <c r="J284" t="s">
        <v>478</v>
      </c>
      <c r="K284">
        <v>3</v>
      </c>
      <c r="L284" t="s">
        <v>852</v>
      </c>
      <c r="M284" t="s">
        <v>924</v>
      </c>
      <c r="N284" t="s">
        <v>925</v>
      </c>
      <c r="O284" t="s">
        <v>821</v>
      </c>
      <c r="P284" t="s">
        <v>664</v>
      </c>
      <c r="Q284" t="s">
        <v>665</v>
      </c>
      <c r="R284" t="s">
        <v>478</v>
      </c>
      <c r="S284" t="s">
        <v>241</v>
      </c>
      <c r="U284">
        <v>20005057</v>
      </c>
      <c r="V284" t="s">
        <v>1403</v>
      </c>
      <c r="W284">
        <v>1</v>
      </c>
      <c r="X284" t="s">
        <v>258</v>
      </c>
      <c r="Y284" t="s">
        <v>1372</v>
      </c>
    </row>
    <row r="285" spans="1:25" x14ac:dyDescent="0.4">
      <c r="A285" t="s">
        <v>242</v>
      </c>
      <c r="B285">
        <v>598318</v>
      </c>
      <c r="C285" t="s">
        <v>427</v>
      </c>
      <c r="D285">
        <v>20016315</v>
      </c>
      <c r="E285">
        <v>20016315</v>
      </c>
      <c r="F285" t="s">
        <v>759</v>
      </c>
      <c r="G285" t="s">
        <v>759</v>
      </c>
      <c r="H285">
        <v>1540000</v>
      </c>
      <c r="I285" t="s">
        <v>1405</v>
      </c>
      <c r="J285" t="s">
        <v>478</v>
      </c>
      <c r="K285">
        <v>99</v>
      </c>
      <c r="L285" t="s">
        <v>981</v>
      </c>
      <c r="M285" t="s">
        <v>941</v>
      </c>
      <c r="N285" t="s">
        <v>942</v>
      </c>
      <c r="O285" t="s">
        <v>823</v>
      </c>
      <c r="P285" t="s">
        <v>702</v>
      </c>
      <c r="Q285" t="s">
        <v>703</v>
      </c>
      <c r="R285" t="s">
        <v>324</v>
      </c>
      <c r="S285" t="s">
        <v>478</v>
      </c>
      <c r="W285">
        <v>1</v>
      </c>
      <c r="X285" t="s">
        <v>258</v>
      </c>
      <c r="Y285" t="s">
        <v>1372</v>
      </c>
    </row>
    <row r="286" spans="1:25" x14ac:dyDescent="0.4">
      <c r="A286" t="s">
        <v>242</v>
      </c>
      <c r="B286">
        <v>598373</v>
      </c>
      <c r="C286" t="s">
        <v>1400</v>
      </c>
      <c r="D286">
        <v>20002218</v>
      </c>
      <c r="E286">
        <v>10028492</v>
      </c>
      <c r="F286" t="s">
        <v>868</v>
      </c>
      <c r="G286" t="s">
        <v>323</v>
      </c>
      <c r="H286">
        <v>1584840</v>
      </c>
      <c r="I286" t="s">
        <v>1406</v>
      </c>
      <c r="J286" t="s">
        <v>324</v>
      </c>
      <c r="K286">
        <v>16</v>
      </c>
      <c r="L286" t="s">
        <v>890</v>
      </c>
      <c r="M286" t="s">
        <v>869</v>
      </c>
      <c r="N286" t="s">
        <v>870</v>
      </c>
      <c r="O286" t="s">
        <v>820</v>
      </c>
      <c r="P286" t="s">
        <v>305</v>
      </c>
      <c r="Q286" t="s">
        <v>306</v>
      </c>
      <c r="R286" t="s">
        <v>742</v>
      </c>
      <c r="S286" t="s">
        <v>324</v>
      </c>
      <c r="U286">
        <v>10004766</v>
      </c>
      <c r="V286" t="s">
        <v>1129</v>
      </c>
      <c r="W286">
        <v>1</v>
      </c>
      <c r="X286" t="s">
        <v>258</v>
      </c>
      <c r="Y286" t="s">
        <v>1372</v>
      </c>
    </row>
    <row r="287" spans="1:25" x14ac:dyDescent="0.4">
      <c r="A287" t="s">
        <v>242</v>
      </c>
      <c r="B287">
        <v>598398</v>
      </c>
      <c r="C287" t="s">
        <v>1407</v>
      </c>
      <c r="D287">
        <v>10005466</v>
      </c>
      <c r="E287">
        <v>20020584</v>
      </c>
      <c r="F287" t="s">
        <v>1105</v>
      </c>
      <c r="G287" t="s">
        <v>652</v>
      </c>
      <c r="H287">
        <v>2255000</v>
      </c>
      <c r="I287" t="s">
        <v>1338</v>
      </c>
      <c r="J287" t="s">
        <v>653</v>
      </c>
      <c r="K287">
        <v>3</v>
      </c>
      <c r="L287" t="s">
        <v>852</v>
      </c>
      <c r="M287" t="s">
        <v>917</v>
      </c>
      <c r="N287" t="s">
        <v>918</v>
      </c>
      <c r="O287" t="s">
        <v>822</v>
      </c>
      <c r="P287" t="s">
        <v>549</v>
      </c>
      <c r="Q287" t="s">
        <v>550</v>
      </c>
      <c r="R287" t="s">
        <v>1408</v>
      </c>
      <c r="S287" t="s">
        <v>653</v>
      </c>
      <c r="U287">
        <v>10005466</v>
      </c>
      <c r="V287" t="s">
        <v>1105</v>
      </c>
      <c r="W287">
        <v>1</v>
      </c>
      <c r="X287" t="s">
        <v>311</v>
      </c>
      <c r="Y287" t="s">
        <v>1331</v>
      </c>
    </row>
    <row r="288" spans="1:25" x14ac:dyDescent="0.4">
      <c r="A288" t="s">
        <v>242</v>
      </c>
      <c r="B288">
        <v>598508</v>
      </c>
      <c r="C288" t="s">
        <v>653</v>
      </c>
      <c r="D288">
        <v>20017953</v>
      </c>
      <c r="E288">
        <v>20018401</v>
      </c>
      <c r="F288" t="s">
        <v>1409</v>
      </c>
      <c r="G288" t="s">
        <v>616</v>
      </c>
      <c r="H288">
        <v>2450900</v>
      </c>
      <c r="I288" t="s">
        <v>1388</v>
      </c>
      <c r="J288" t="s">
        <v>478</v>
      </c>
      <c r="K288">
        <v>2</v>
      </c>
      <c r="L288" t="s">
        <v>945</v>
      </c>
      <c r="M288" t="s">
        <v>917</v>
      </c>
      <c r="N288" t="s">
        <v>918</v>
      </c>
      <c r="O288" t="s">
        <v>822</v>
      </c>
      <c r="P288" t="s">
        <v>549</v>
      </c>
      <c r="Q288" t="s">
        <v>550</v>
      </c>
      <c r="R288" t="s">
        <v>478</v>
      </c>
      <c r="S288" t="s">
        <v>478</v>
      </c>
      <c r="U288">
        <v>20017953</v>
      </c>
      <c r="V288" t="s">
        <v>1409</v>
      </c>
      <c r="W288">
        <v>1</v>
      </c>
      <c r="X288" t="s">
        <v>311</v>
      </c>
      <c r="Y288" t="s">
        <v>1331</v>
      </c>
    </row>
    <row r="289" spans="1:25" x14ac:dyDescent="0.4">
      <c r="A289" t="s">
        <v>311</v>
      </c>
      <c r="B289">
        <v>597433</v>
      </c>
      <c r="C289" t="s">
        <v>1410</v>
      </c>
      <c r="D289">
        <v>10006040</v>
      </c>
      <c r="E289">
        <v>20019013</v>
      </c>
      <c r="F289" t="s">
        <v>1210</v>
      </c>
      <c r="G289" t="s">
        <v>414</v>
      </c>
      <c r="H289">
        <v>2124648</v>
      </c>
      <c r="I289" t="s">
        <v>1411</v>
      </c>
      <c r="J289" t="s">
        <v>415</v>
      </c>
      <c r="K289">
        <v>3</v>
      </c>
      <c r="L289" t="s">
        <v>852</v>
      </c>
      <c r="M289" t="s">
        <v>1412</v>
      </c>
      <c r="N289" t="s">
        <v>1413</v>
      </c>
      <c r="O289" t="s">
        <v>820</v>
      </c>
      <c r="P289" t="s">
        <v>305</v>
      </c>
      <c r="Q289" t="s">
        <v>306</v>
      </c>
      <c r="R289" t="s">
        <v>356</v>
      </c>
      <c r="S289" t="s">
        <v>1414</v>
      </c>
      <c r="U289">
        <v>10006040</v>
      </c>
      <c r="V289" t="s">
        <v>1210</v>
      </c>
      <c r="W289">
        <v>1</v>
      </c>
      <c r="X289" t="s">
        <v>258</v>
      </c>
      <c r="Y289" t="s">
        <v>1372</v>
      </c>
    </row>
    <row r="290" spans="1:25" x14ac:dyDescent="0.4">
      <c r="A290" t="s">
        <v>311</v>
      </c>
      <c r="B290">
        <v>597834</v>
      </c>
      <c r="C290" t="s">
        <v>1415</v>
      </c>
      <c r="D290">
        <v>20020494</v>
      </c>
      <c r="E290">
        <v>20020494</v>
      </c>
      <c r="F290" t="s">
        <v>1416</v>
      </c>
      <c r="G290" t="s">
        <v>443</v>
      </c>
      <c r="H290">
        <v>2854000</v>
      </c>
      <c r="I290" t="s">
        <v>1417</v>
      </c>
      <c r="J290" t="s">
        <v>356</v>
      </c>
      <c r="K290">
        <v>3</v>
      </c>
      <c r="L290" t="s">
        <v>852</v>
      </c>
      <c r="M290" t="s">
        <v>885</v>
      </c>
      <c r="N290" t="s">
        <v>886</v>
      </c>
      <c r="O290" t="s">
        <v>820</v>
      </c>
      <c r="P290" t="s">
        <v>305</v>
      </c>
      <c r="Q290" t="s">
        <v>306</v>
      </c>
      <c r="R290" t="s">
        <v>1390</v>
      </c>
      <c r="S290" t="s">
        <v>356</v>
      </c>
      <c r="T290" t="s">
        <v>973</v>
      </c>
      <c r="W290">
        <v>1</v>
      </c>
      <c r="X290" t="s">
        <v>311</v>
      </c>
      <c r="Y290" t="s">
        <v>1331</v>
      </c>
    </row>
    <row r="291" spans="1:25" x14ac:dyDescent="0.4">
      <c r="A291" t="s">
        <v>311</v>
      </c>
      <c r="B291">
        <v>597973</v>
      </c>
      <c r="C291" t="s">
        <v>425</v>
      </c>
      <c r="D291">
        <v>20006277</v>
      </c>
      <c r="E291">
        <v>20020502</v>
      </c>
      <c r="F291" t="s">
        <v>856</v>
      </c>
      <c r="G291" t="s">
        <v>701</v>
      </c>
      <c r="H291">
        <v>2718460</v>
      </c>
      <c r="I291" t="s">
        <v>1418</v>
      </c>
      <c r="J291" t="s">
        <v>356</v>
      </c>
      <c r="K291">
        <v>3</v>
      </c>
      <c r="L291" t="s">
        <v>852</v>
      </c>
      <c r="M291" t="s">
        <v>859</v>
      </c>
      <c r="N291" t="s">
        <v>860</v>
      </c>
      <c r="O291" t="s">
        <v>821</v>
      </c>
      <c r="P291" t="s">
        <v>656</v>
      </c>
      <c r="Q291" t="s">
        <v>657</v>
      </c>
      <c r="R291" t="s">
        <v>669</v>
      </c>
      <c r="S291" t="s">
        <v>796</v>
      </c>
      <c r="U291">
        <v>10004801</v>
      </c>
      <c r="V291" t="s">
        <v>1419</v>
      </c>
      <c r="W291">
        <v>1</v>
      </c>
      <c r="X291" t="s">
        <v>258</v>
      </c>
      <c r="Y291" t="s">
        <v>1372</v>
      </c>
    </row>
    <row r="292" spans="1:25" x14ac:dyDescent="0.4">
      <c r="A292" t="s">
        <v>311</v>
      </c>
      <c r="B292">
        <v>597976</v>
      </c>
      <c r="C292" t="s">
        <v>425</v>
      </c>
      <c r="D292">
        <v>20003978</v>
      </c>
      <c r="E292">
        <v>20016208</v>
      </c>
      <c r="F292" t="s">
        <v>954</v>
      </c>
      <c r="G292" t="s">
        <v>355</v>
      </c>
      <c r="H292">
        <v>2551780</v>
      </c>
      <c r="I292" t="s">
        <v>1350</v>
      </c>
      <c r="J292" t="s">
        <v>356</v>
      </c>
      <c r="K292">
        <v>3</v>
      </c>
      <c r="L292" t="s">
        <v>852</v>
      </c>
      <c r="M292" t="s">
        <v>928</v>
      </c>
      <c r="N292" t="s">
        <v>929</v>
      </c>
      <c r="O292" t="s">
        <v>820</v>
      </c>
      <c r="P292" t="s">
        <v>305</v>
      </c>
      <c r="Q292" t="s">
        <v>306</v>
      </c>
      <c r="R292" t="s">
        <v>1386</v>
      </c>
      <c r="S292" t="s">
        <v>356</v>
      </c>
      <c r="W292">
        <v>1</v>
      </c>
      <c r="X292" t="s">
        <v>221</v>
      </c>
      <c r="Y292" t="s">
        <v>1399</v>
      </c>
    </row>
    <row r="293" spans="1:25" x14ac:dyDescent="0.4">
      <c r="A293" t="s">
        <v>311</v>
      </c>
      <c r="B293">
        <v>598082</v>
      </c>
      <c r="C293" t="s">
        <v>1386</v>
      </c>
      <c r="D293">
        <v>10006549</v>
      </c>
      <c r="E293">
        <v>20020596</v>
      </c>
      <c r="F293" t="s">
        <v>1225</v>
      </c>
      <c r="G293" t="s">
        <v>797</v>
      </c>
      <c r="H293">
        <v>2360264</v>
      </c>
      <c r="I293" t="s">
        <v>1420</v>
      </c>
      <c r="J293" t="s">
        <v>798</v>
      </c>
      <c r="K293">
        <v>3</v>
      </c>
      <c r="L293" t="s">
        <v>852</v>
      </c>
      <c r="M293" t="s">
        <v>908</v>
      </c>
      <c r="N293" t="s">
        <v>909</v>
      </c>
      <c r="O293" t="s">
        <v>823</v>
      </c>
      <c r="P293" t="s">
        <v>702</v>
      </c>
      <c r="Q293" t="s">
        <v>703</v>
      </c>
      <c r="R293" t="s">
        <v>478</v>
      </c>
      <c r="S293" t="s">
        <v>1421</v>
      </c>
      <c r="U293">
        <v>10006549</v>
      </c>
      <c r="V293" t="s">
        <v>1225</v>
      </c>
      <c r="W293">
        <v>1</v>
      </c>
      <c r="X293" t="s">
        <v>221</v>
      </c>
      <c r="Y293" t="s">
        <v>1399</v>
      </c>
    </row>
    <row r="294" spans="1:25" x14ac:dyDescent="0.4">
      <c r="A294" t="s">
        <v>311</v>
      </c>
      <c r="B294">
        <v>598115</v>
      </c>
      <c r="C294" t="s">
        <v>229</v>
      </c>
      <c r="D294">
        <v>10005492</v>
      </c>
      <c r="E294">
        <v>10050698</v>
      </c>
      <c r="F294" t="s">
        <v>1327</v>
      </c>
      <c r="G294" t="s">
        <v>721</v>
      </c>
      <c r="H294">
        <v>1543000</v>
      </c>
      <c r="I294" t="s">
        <v>1422</v>
      </c>
      <c r="J294" t="s">
        <v>645</v>
      </c>
      <c r="K294">
        <v>26</v>
      </c>
      <c r="L294" t="s">
        <v>864</v>
      </c>
      <c r="M294" t="s">
        <v>941</v>
      </c>
      <c r="N294" t="s">
        <v>942</v>
      </c>
      <c r="O294" t="s">
        <v>823</v>
      </c>
      <c r="P294" t="s">
        <v>702</v>
      </c>
      <c r="Q294" t="s">
        <v>703</v>
      </c>
      <c r="R294" t="s">
        <v>645</v>
      </c>
      <c r="S294" t="s">
        <v>645</v>
      </c>
      <c r="U294">
        <v>10005492</v>
      </c>
      <c r="V294" t="s">
        <v>1327</v>
      </c>
      <c r="W294">
        <v>1</v>
      </c>
      <c r="X294" t="s">
        <v>221</v>
      </c>
      <c r="Y294" t="s">
        <v>1399</v>
      </c>
    </row>
    <row r="295" spans="1:25" x14ac:dyDescent="0.4">
      <c r="A295" t="s">
        <v>311</v>
      </c>
      <c r="B295">
        <v>598252</v>
      </c>
      <c r="C295" t="s">
        <v>440</v>
      </c>
      <c r="D295">
        <v>20002456</v>
      </c>
      <c r="E295">
        <v>20020343</v>
      </c>
      <c r="F295" t="s">
        <v>966</v>
      </c>
      <c r="G295" t="s">
        <v>644</v>
      </c>
      <c r="H295">
        <v>1881624</v>
      </c>
      <c r="I295" t="s">
        <v>1202</v>
      </c>
      <c r="J295" t="s">
        <v>645</v>
      </c>
      <c r="K295">
        <v>3</v>
      </c>
      <c r="L295" t="s">
        <v>852</v>
      </c>
      <c r="M295" t="s">
        <v>963</v>
      </c>
      <c r="N295" t="s">
        <v>964</v>
      </c>
      <c r="O295" t="s">
        <v>822</v>
      </c>
      <c r="P295" t="s">
        <v>555</v>
      </c>
      <c r="Q295" t="s">
        <v>556</v>
      </c>
      <c r="R295" t="s">
        <v>645</v>
      </c>
      <c r="S295" t="s">
        <v>645</v>
      </c>
      <c r="W295">
        <v>1</v>
      </c>
      <c r="X295" t="s">
        <v>221</v>
      </c>
      <c r="Y295" t="s">
        <v>1399</v>
      </c>
    </row>
    <row r="296" spans="1:25" x14ac:dyDescent="0.4">
      <c r="A296" t="s">
        <v>311</v>
      </c>
      <c r="B296">
        <v>598278</v>
      </c>
      <c r="C296" t="s">
        <v>1381</v>
      </c>
      <c r="D296">
        <v>20002218</v>
      </c>
      <c r="E296">
        <v>10017590</v>
      </c>
      <c r="F296" t="s">
        <v>868</v>
      </c>
      <c r="G296" t="s">
        <v>309</v>
      </c>
      <c r="H296">
        <v>1320600</v>
      </c>
      <c r="I296" t="s">
        <v>884</v>
      </c>
      <c r="J296" t="s">
        <v>310</v>
      </c>
      <c r="K296">
        <v>99</v>
      </c>
      <c r="L296" t="s">
        <v>981</v>
      </c>
      <c r="M296" t="s">
        <v>885</v>
      </c>
      <c r="N296" t="s">
        <v>886</v>
      </c>
      <c r="O296" t="s">
        <v>820</v>
      </c>
      <c r="P296" t="s">
        <v>305</v>
      </c>
      <c r="Q296" t="s">
        <v>306</v>
      </c>
      <c r="R296" t="s">
        <v>356</v>
      </c>
      <c r="S296" t="s">
        <v>415</v>
      </c>
      <c r="U296">
        <v>20003163</v>
      </c>
      <c r="V296" t="s">
        <v>1423</v>
      </c>
      <c r="W296">
        <v>1</v>
      </c>
      <c r="X296" t="s">
        <v>221</v>
      </c>
      <c r="Y296" t="s">
        <v>1399</v>
      </c>
    </row>
    <row r="297" spans="1:25" x14ac:dyDescent="0.4">
      <c r="A297" t="s">
        <v>311</v>
      </c>
      <c r="B297">
        <v>598291</v>
      </c>
      <c r="C297" t="s">
        <v>1381</v>
      </c>
      <c r="D297">
        <v>20002364</v>
      </c>
      <c r="E297">
        <v>10028407</v>
      </c>
      <c r="F297" t="s">
        <v>1009</v>
      </c>
      <c r="G297" t="s">
        <v>714</v>
      </c>
      <c r="H297">
        <v>1989600</v>
      </c>
      <c r="I297" t="s">
        <v>1424</v>
      </c>
      <c r="J297" t="s">
        <v>356</v>
      </c>
      <c r="K297">
        <v>23</v>
      </c>
      <c r="L297" t="s">
        <v>932</v>
      </c>
      <c r="M297" t="s">
        <v>1012</v>
      </c>
      <c r="N297" t="s">
        <v>1013</v>
      </c>
      <c r="O297" t="s">
        <v>823</v>
      </c>
      <c r="P297" t="s">
        <v>702</v>
      </c>
      <c r="Q297" t="s">
        <v>703</v>
      </c>
      <c r="R297" t="s">
        <v>1395</v>
      </c>
      <c r="S297" t="s">
        <v>356</v>
      </c>
      <c r="U297">
        <v>20002364</v>
      </c>
      <c r="V297" t="s">
        <v>1009</v>
      </c>
      <c r="W297">
        <v>1</v>
      </c>
      <c r="X297" t="s">
        <v>311</v>
      </c>
      <c r="Y297" t="s">
        <v>1331</v>
      </c>
    </row>
    <row r="298" spans="1:25" x14ac:dyDescent="0.4">
      <c r="A298" t="s">
        <v>311</v>
      </c>
      <c r="B298">
        <v>598474</v>
      </c>
      <c r="C298" t="s">
        <v>1408</v>
      </c>
      <c r="D298">
        <v>20002210</v>
      </c>
      <c r="E298">
        <v>20020512</v>
      </c>
      <c r="F298" t="s">
        <v>877</v>
      </c>
      <c r="G298" t="s">
        <v>650</v>
      </c>
      <c r="H298">
        <v>1465328</v>
      </c>
      <c r="I298" t="s">
        <v>1359</v>
      </c>
      <c r="J298" t="s">
        <v>651</v>
      </c>
      <c r="K298">
        <v>3</v>
      </c>
      <c r="L298" t="s">
        <v>852</v>
      </c>
      <c r="M298" t="s">
        <v>960</v>
      </c>
      <c r="N298" t="s">
        <v>961</v>
      </c>
      <c r="O298" t="s">
        <v>822</v>
      </c>
      <c r="P298" t="s">
        <v>549</v>
      </c>
      <c r="Q298" t="s">
        <v>550</v>
      </c>
      <c r="R298" t="s">
        <v>1421</v>
      </c>
      <c r="S298" t="s">
        <v>645</v>
      </c>
      <c r="U298">
        <v>20002210</v>
      </c>
      <c r="V298" t="s">
        <v>877</v>
      </c>
      <c r="W298">
        <v>1</v>
      </c>
      <c r="X298" t="s">
        <v>258</v>
      </c>
      <c r="Y298" t="s">
        <v>1372</v>
      </c>
    </row>
    <row r="299" spans="1:25" x14ac:dyDescent="0.4">
      <c r="A299" t="s">
        <v>311</v>
      </c>
      <c r="B299">
        <v>598509</v>
      </c>
      <c r="C299" t="s">
        <v>1425</v>
      </c>
      <c r="D299">
        <v>20008289</v>
      </c>
      <c r="E299">
        <v>20020589</v>
      </c>
      <c r="F299" t="s">
        <v>1058</v>
      </c>
      <c r="G299" t="s">
        <v>795</v>
      </c>
      <c r="H299">
        <v>2322784</v>
      </c>
      <c r="I299" t="s">
        <v>1426</v>
      </c>
      <c r="J299" t="s">
        <v>796</v>
      </c>
      <c r="K299">
        <v>3</v>
      </c>
      <c r="L299" t="s">
        <v>852</v>
      </c>
      <c r="M299" t="s">
        <v>908</v>
      </c>
      <c r="N299" t="s">
        <v>909</v>
      </c>
      <c r="O299" t="s">
        <v>823</v>
      </c>
      <c r="P299" t="s">
        <v>702</v>
      </c>
      <c r="Q299" t="s">
        <v>703</v>
      </c>
      <c r="R299" t="s">
        <v>1395</v>
      </c>
      <c r="S299" t="s">
        <v>774</v>
      </c>
      <c r="U299">
        <v>20008289</v>
      </c>
      <c r="V299" t="s">
        <v>1058</v>
      </c>
      <c r="W299">
        <v>1</v>
      </c>
      <c r="X299" t="s">
        <v>221</v>
      </c>
      <c r="Y299" t="s">
        <v>1399</v>
      </c>
    </row>
    <row r="300" spans="1:25" x14ac:dyDescent="0.4">
      <c r="A300" t="s">
        <v>311</v>
      </c>
      <c r="B300">
        <v>598690</v>
      </c>
      <c r="C300" t="s">
        <v>478</v>
      </c>
      <c r="D300">
        <v>20002364</v>
      </c>
      <c r="E300">
        <v>20018412</v>
      </c>
      <c r="F300" t="s">
        <v>1009</v>
      </c>
      <c r="G300" t="s">
        <v>773</v>
      </c>
      <c r="H300">
        <v>1857112</v>
      </c>
      <c r="I300" t="s">
        <v>1317</v>
      </c>
      <c r="J300" t="s">
        <v>774</v>
      </c>
      <c r="K300">
        <v>3</v>
      </c>
      <c r="L300" t="s">
        <v>852</v>
      </c>
      <c r="M300" t="s">
        <v>913</v>
      </c>
      <c r="N300" t="s">
        <v>914</v>
      </c>
      <c r="O300" t="s">
        <v>823</v>
      </c>
      <c r="P300" t="s">
        <v>702</v>
      </c>
      <c r="Q300" t="s">
        <v>703</v>
      </c>
      <c r="R300" t="s">
        <v>415</v>
      </c>
      <c r="S300" t="s">
        <v>1421</v>
      </c>
      <c r="U300">
        <v>20002364</v>
      </c>
      <c r="V300" t="s">
        <v>1009</v>
      </c>
      <c r="W300">
        <v>1</v>
      </c>
      <c r="X300" t="s">
        <v>258</v>
      </c>
      <c r="Y300" t="s">
        <v>1372</v>
      </c>
    </row>
    <row r="301" spans="1:25" x14ac:dyDescent="0.4">
      <c r="A301" t="s">
        <v>258</v>
      </c>
      <c r="B301">
        <v>598389</v>
      </c>
      <c r="C301" t="s">
        <v>791</v>
      </c>
      <c r="D301">
        <v>20003978</v>
      </c>
      <c r="E301">
        <v>20020500</v>
      </c>
      <c r="F301" t="s">
        <v>954</v>
      </c>
      <c r="G301" t="s">
        <v>444</v>
      </c>
      <c r="H301">
        <v>1790000</v>
      </c>
      <c r="I301" t="s">
        <v>884</v>
      </c>
      <c r="J301" t="s">
        <v>442</v>
      </c>
      <c r="K301">
        <v>3</v>
      </c>
      <c r="L301" t="s">
        <v>852</v>
      </c>
      <c r="M301" t="s">
        <v>885</v>
      </c>
      <c r="N301" t="s">
        <v>886</v>
      </c>
      <c r="O301" t="s">
        <v>820</v>
      </c>
      <c r="P301" t="s">
        <v>305</v>
      </c>
      <c r="Q301" t="s">
        <v>306</v>
      </c>
      <c r="R301" t="s">
        <v>651</v>
      </c>
      <c r="S301" t="s">
        <v>1427</v>
      </c>
      <c r="W301">
        <v>1</v>
      </c>
      <c r="X301" t="s">
        <v>221</v>
      </c>
      <c r="Y301" t="s">
        <v>1399</v>
      </c>
    </row>
    <row r="302" spans="1:25" x14ac:dyDescent="0.4">
      <c r="A302" t="s">
        <v>258</v>
      </c>
      <c r="B302">
        <v>598419</v>
      </c>
      <c r="C302" t="s">
        <v>742</v>
      </c>
      <c r="D302">
        <v>20016394</v>
      </c>
      <c r="E302">
        <v>20020435</v>
      </c>
      <c r="F302" t="s">
        <v>1428</v>
      </c>
      <c r="G302" t="s">
        <v>441</v>
      </c>
      <c r="H302">
        <v>2538980</v>
      </c>
      <c r="I302" t="s">
        <v>1429</v>
      </c>
      <c r="J302" t="s">
        <v>442</v>
      </c>
      <c r="K302">
        <v>3</v>
      </c>
      <c r="L302" t="s">
        <v>852</v>
      </c>
      <c r="M302" t="s">
        <v>1351</v>
      </c>
      <c r="N302" t="s">
        <v>1352</v>
      </c>
      <c r="O302" t="s">
        <v>820</v>
      </c>
      <c r="P302" t="s">
        <v>305</v>
      </c>
      <c r="Q302" t="s">
        <v>306</v>
      </c>
      <c r="R302" t="s">
        <v>1395</v>
      </c>
      <c r="S302" t="s">
        <v>409</v>
      </c>
      <c r="W302">
        <v>1</v>
      </c>
      <c r="X302" t="s">
        <v>221</v>
      </c>
      <c r="Y302" t="s">
        <v>1399</v>
      </c>
    </row>
    <row r="303" spans="1:25" x14ac:dyDescent="0.4">
      <c r="A303" t="s">
        <v>258</v>
      </c>
      <c r="B303">
        <v>598453</v>
      </c>
      <c r="C303" t="s">
        <v>324</v>
      </c>
      <c r="D303">
        <v>10006039</v>
      </c>
      <c r="E303">
        <v>20020413</v>
      </c>
      <c r="F303" t="s">
        <v>1115</v>
      </c>
      <c r="G303" t="s">
        <v>543</v>
      </c>
      <c r="H303">
        <v>2503984</v>
      </c>
      <c r="I303" t="s">
        <v>1244</v>
      </c>
      <c r="J303" t="s">
        <v>409</v>
      </c>
      <c r="K303">
        <v>3</v>
      </c>
      <c r="L303" t="s">
        <v>852</v>
      </c>
      <c r="M303" t="s">
        <v>946</v>
      </c>
      <c r="N303" t="s">
        <v>947</v>
      </c>
      <c r="O303" t="s">
        <v>819</v>
      </c>
      <c r="P303" t="s">
        <v>446</v>
      </c>
      <c r="Q303" t="s">
        <v>447</v>
      </c>
      <c r="R303" t="s">
        <v>310</v>
      </c>
      <c r="U303">
        <v>10004692</v>
      </c>
      <c r="V303" t="s">
        <v>1389</v>
      </c>
      <c r="W303">
        <v>1</v>
      </c>
      <c r="X303" t="s">
        <v>221</v>
      </c>
      <c r="Y303" t="s">
        <v>1399</v>
      </c>
    </row>
    <row r="304" spans="1:25" x14ac:dyDescent="0.4">
      <c r="A304" t="s">
        <v>258</v>
      </c>
      <c r="B304">
        <v>598497</v>
      </c>
      <c r="C304" t="s">
        <v>653</v>
      </c>
      <c r="D304">
        <v>10063720</v>
      </c>
      <c r="E304">
        <v>20020417</v>
      </c>
      <c r="F304" t="s">
        <v>1028</v>
      </c>
      <c r="G304" t="s">
        <v>437</v>
      </c>
      <c r="H304">
        <v>1727720</v>
      </c>
      <c r="I304" t="s">
        <v>1430</v>
      </c>
      <c r="J304" t="s">
        <v>438</v>
      </c>
      <c r="K304">
        <v>3</v>
      </c>
      <c r="L304" t="s">
        <v>852</v>
      </c>
      <c r="M304" t="s">
        <v>885</v>
      </c>
      <c r="N304" t="s">
        <v>886</v>
      </c>
      <c r="O304" t="s">
        <v>820</v>
      </c>
      <c r="P304" t="s">
        <v>305</v>
      </c>
      <c r="Q304" t="s">
        <v>306</v>
      </c>
      <c r="R304" t="s">
        <v>1427</v>
      </c>
      <c r="S304" t="s">
        <v>1431</v>
      </c>
      <c r="U304">
        <v>10063720</v>
      </c>
      <c r="V304" t="s">
        <v>1028</v>
      </c>
      <c r="W304">
        <v>1</v>
      </c>
      <c r="X304" t="s">
        <v>204</v>
      </c>
      <c r="Y304" t="s">
        <v>1432</v>
      </c>
    </row>
    <row r="305" spans="1:25" x14ac:dyDescent="0.4">
      <c r="A305" t="s">
        <v>258</v>
      </c>
      <c r="B305">
        <v>598716</v>
      </c>
      <c r="C305" t="s">
        <v>241</v>
      </c>
      <c r="D305">
        <v>10004349</v>
      </c>
      <c r="E305">
        <v>20018902</v>
      </c>
      <c r="F305" t="s">
        <v>1433</v>
      </c>
      <c r="G305" t="s">
        <v>408</v>
      </c>
      <c r="H305">
        <v>1844988</v>
      </c>
      <c r="I305" t="s">
        <v>1434</v>
      </c>
      <c r="J305" t="s">
        <v>409</v>
      </c>
      <c r="K305">
        <v>3</v>
      </c>
      <c r="L305" t="s">
        <v>852</v>
      </c>
      <c r="M305" t="s">
        <v>1412</v>
      </c>
      <c r="N305" t="s">
        <v>1413</v>
      </c>
      <c r="O305" t="s">
        <v>820</v>
      </c>
      <c r="P305" t="s">
        <v>305</v>
      </c>
      <c r="Q305" t="s">
        <v>306</v>
      </c>
      <c r="R305" t="s">
        <v>651</v>
      </c>
      <c r="S305" t="s">
        <v>1435</v>
      </c>
      <c r="U305">
        <v>10004349</v>
      </c>
      <c r="V305" t="s">
        <v>1321</v>
      </c>
      <c r="W305">
        <v>1</v>
      </c>
      <c r="X305" t="s">
        <v>221</v>
      </c>
      <c r="Y305" t="s">
        <v>1399</v>
      </c>
    </row>
    <row r="306" spans="1:25" x14ac:dyDescent="0.4">
      <c r="A306" t="s">
        <v>258</v>
      </c>
      <c r="B306">
        <v>598835</v>
      </c>
      <c r="C306" t="s">
        <v>774</v>
      </c>
      <c r="D306">
        <v>20002218</v>
      </c>
      <c r="E306">
        <v>20020499</v>
      </c>
      <c r="F306" t="s">
        <v>868</v>
      </c>
      <c r="G306" t="s">
        <v>544</v>
      </c>
      <c r="H306">
        <v>1963224</v>
      </c>
      <c r="I306" t="s">
        <v>1033</v>
      </c>
      <c r="J306" t="s">
        <v>545</v>
      </c>
      <c r="K306">
        <v>16</v>
      </c>
      <c r="L306" t="s">
        <v>890</v>
      </c>
      <c r="M306" t="s">
        <v>1083</v>
      </c>
      <c r="N306" t="s">
        <v>1084</v>
      </c>
      <c r="O306" t="s">
        <v>819</v>
      </c>
      <c r="P306" t="s">
        <v>450</v>
      </c>
      <c r="Q306" t="s">
        <v>451</v>
      </c>
      <c r="R306" t="s">
        <v>545</v>
      </c>
      <c r="S306" t="s">
        <v>1435</v>
      </c>
      <c r="U306">
        <v>10004789</v>
      </c>
      <c r="V306" t="s">
        <v>1436</v>
      </c>
      <c r="W306">
        <v>1</v>
      </c>
      <c r="X306" t="s">
        <v>204</v>
      </c>
      <c r="Y306" t="s">
        <v>1432</v>
      </c>
    </row>
    <row r="307" spans="1:25" x14ac:dyDescent="0.4">
      <c r="A307" t="s">
        <v>258</v>
      </c>
      <c r="B307">
        <v>598925</v>
      </c>
      <c r="C307" t="s">
        <v>1437</v>
      </c>
      <c r="D307">
        <v>20002218</v>
      </c>
      <c r="E307">
        <v>20020735</v>
      </c>
      <c r="F307" t="s">
        <v>868</v>
      </c>
      <c r="G307" t="s">
        <v>547</v>
      </c>
      <c r="H307">
        <v>1651944</v>
      </c>
      <c r="I307" t="s">
        <v>1033</v>
      </c>
      <c r="J307" t="s">
        <v>409</v>
      </c>
      <c r="K307">
        <v>3</v>
      </c>
      <c r="L307" t="s">
        <v>852</v>
      </c>
      <c r="M307" t="s">
        <v>1083</v>
      </c>
      <c r="N307" t="s">
        <v>1084</v>
      </c>
      <c r="O307" t="s">
        <v>819</v>
      </c>
      <c r="P307" t="s">
        <v>450</v>
      </c>
      <c r="Q307" t="s">
        <v>451</v>
      </c>
      <c r="R307" t="s">
        <v>1421</v>
      </c>
      <c r="S307" t="s">
        <v>409</v>
      </c>
      <c r="U307">
        <v>10004789</v>
      </c>
      <c r="V307" t="s">
        <v>1436</v>
      </c>
      <c r="W307">
        <v>1</v>
      </c>
      <c r="X307" t="s">
        <v>221</v>
      </c>
      <c r="Y307" t="s">
        <v>1399</v>
      </c>
    </row>
    <row r="308" spans="1:25" x14ac:dyDescent="0.4">
      <c r="A308" t="s">
        <v>258</v>
      </c>
      <c r="B308">
        <v>598955</v>
      </c>
      <c r="C308" t="s">
        <v>1438</v>
      </c>
      <c r="D308">
        <v>20013729</v>
      </c>
      <c r="E308">
        <v>20013729</v>
      </c>
      <c r="F308" t="s">
        <v>749</v>
      </c>
      <c r="G308" t="s">
        <v>749</v>
      </c>
      <c r="H308">
        <v>2411200</v>
      </c>
      <c r="I308" t="s">
        <v>1439</v>
      </c>
      <c r="J308" t="s">
        <v>679</v>
      </c>
      <c r="K308">
        <v>28</v>
      </c>
      <c r="L308" t="s">
        <v>907</v>
      </c>
      <c r="M308" t="s">
        <v>913</v>
      </c>
      <c r="N308" t="s">
        <v>914</v>
      </c>
      <c r="O308" t="s">
        <v>823</v>
      </c>
      <c r="P308" t="s">
        <v>702</v>
      </c>
      <c r="Q308" t="s">
        <v>703</v>
      </c>
      <c r="W308">
        <v>1</v>
      </c>
      <c r="X308" t="s">
        <v>204</v>
      </c>
      <c r="Y308" t="s">
        <v>1432</v>
      </c>
    </row>
    <row r="309" spans="1:25" x14ac:dyDescent="0.4">
      <c r="A309" t="s">
        <v>258</v>
      </c>
      <c r="B309">
        <v>598994</v>
      </c>
      <c r="C309" t="s">
        <v>1440</v>
      </c>
      <c r="D309">
        <v>20003837</v>
      </c>
      <c r="E309">
        <v>10019222</v>
      </c>
      <c r="F309" t="s">
        <v>1441</v>
      </c>
      <c r="G309" t="s">
        <v>707</v>
      </c>
      <c r="H309">
        <v>1836608</v>
      </c>
      <c r="I309" t="s">
        <v>1442</v>
      </c>
      <c r="J309" t="s">
        <v>679</v>
      </c>
      <c r="K309">
        <v>46</v>
      </c>
      <c r="L309" t="s">
        <v>1323</v>
      </c>
      <c r="M309" t="s">
        <v>913</v>
      </c>
      <c r="N309" t="s">
        <v>914</v>
      </c>
      <c r="O309" t="s">
        <v>823</v>
      </c>
      <c r="P309" t="s">
        <v>702</v>
      </c>
      <c r="Q309" t="s">
        <v>703</v>
      </c>
      <c r="W309">
        <v>1</v>
      </c>
      <c r="X309" t="s">
        <v>221</v>
      </c>
      <c r="Y309" t="s">
        <v>1399</v>
      </c>
    </row>
    <row r="310" spans="1:25" x14ac:dyDescent="0.4">
      <c r="A310" t="s">
        <v>258</v>
      </c>
      <c r="B310">
        <v>599209</v>
      </c>
      <c r="C310" t="s">
        <v>645</v>
      </c>
      <c r="D310">
        <v>10004346</v>
      </c>
      <c r="E310">
        <v>10081243</v>
      </c>
      <c r="F310" t="s">
        <v>1433</v>
      </c>
      <c r="G310" t="s">
        <v>256</v>
      </c>
      <c r="H310">
        <v>1585824</v>
      </c>
      <c r="I310" t="s">
        <v>1443</v>
      </c>
      <c r="J310" t="s">
        <v>257</v>
      </c>
      <c r="K310">
        <v>0</v>
      </c>
      <c r="L310" t="s">
        <v>1035</v>
      </c>
      <c r="M310" t="s">
        <v>1081</v>
      </c>
      <c r="N310" t="s">
        <v>1082</v>
      </c>
      <c r="O310" t="s">
        <v>818</v>
      </c>
      <c r="P310" t="s">
        <v>181</v>
      </c>
      <c r="Q310" t="s">
        <v>182</v>
      </c>
      <c r="R310" t="s">
        <v>1444</v>
      </c>
      <c r="W310">
        <v>1</v>
      </c>
      <c r="X310" t="s">
        <v>291</v>
      </c>
      <c r="Y310" t="s">
        <v>1445</v>
      </c>
    </row>
    <row r="311" spans="1:25" x14ac:dyDescent="0.4">
      <c r="A311" t="s">
        <v>258</v>
      </c>
      <c r="B311">
        <v>599291</v>
      </c>
      <c r="C311" t="s">
        <v>1446</v>
      </c>
      <c r="D311">
        <v>10004862</v>
      </c>
      <c r="E311">
        <v>10073044</v>
      </c>
      <c r="F311" t="s">
        <v>1447</v>
      </c>
      <c r="G311" t="s">
        <v>475</v>
      </c>
      <c r="H311">
        <v>2400000</v>
      </c>
      <c r="I311" t="s">
        <v>1244</v>
      </c>
      <c r="J311" t="s">
        <v>476</v>
      </c>
      <c r="K311">
        <v>0</v>
      </c>
      <c r="L311" t="s">
        <v>1035</v>
      </c>
      <c r="M311" t="s">
        <v>976</v>
      </c>
      <c r="N311" t="s">
        <v>977</v>
      </c>
      <c r="O311" t="s">
        <v>819</v>
      </c>
      <c r="P311" t="s">
        <v>446</v>
      </c>
      <c r="Q311" t="s">
        <v>447</v>
      </c>
      <c r="W311">
        <v>1</v>
      </c>
      <c r="X311" t="s">
        <v>221</v>
      </c>
      <c r="Y311" t="s">
        <v>1399</v>
      </c>
    </row>
    <row r="312" spans="1:25" x14ac:dyDescent="0.4">
      <c r="A312" t="s">
        <v>258</v>
      </c>
      <c r="B312">
        <v>599350</v>
      </c>
      <c r="C312" t="s">
        <v>438</v>
      </c>
      <c r="D312">
        <v>20006277</v>
      </c>
      <c r="E312">
        <v>10084874</v>
      </c>
      <c r="F312" t="s">
        <v>856</v>
      </c>
      <c r="G312" t="s">
        <v>678</v>
      </c>
      <c r="H312">
        <v>1643580</v>
      </c>
      <c r="I312" t="s">
        <v>1060</v>
      </c>
      <c r="J312" t="s">
        <v>679</v>
      </c>
      <c r="K312">
        <v>28</v>
      </c>
      <c r="L312" t="s">
        <v>907</v>
      </c>
      <c r="M312" t="s">
        <v>1147</v>
      </c>
      <c r="N312" t="s">
        <v>1148</v>
      </c>
      <c r="O312" t="s">
        <v>821</v>
      </c>
      <c r="P312" t="s">
        <v>656</v>
      </c>
      <c r="Q312" t="s">
        <v>657</v>
      </c>
      <c r="U312">
        <v>10004791</v>
      </c>
      <c r="V312" t="s">
        <v>1448</v>
      </c>
      <c r="W312">
        <v>1</v>
      </c>
      <c r="X312" t="s">
        <v>291</v>
      </c>
      <c r="Y312" t="s">
        <v>1445</v>
      </c>
    </row>
    <row r="313" spans="1:25" x14ac:dyDescent="0.4">
      <c r="A313" t="s">
        <v>258</v>
      </c>
      <c r="B313">
        <v>599376</v>
      </c>
      <c r="C313" t="s">
        <v>1431</v>
      </c>
      <c r="D313">
        <v>20008289</v>
      </c>
      <c r="E313">
        <v>20020749</v>
      </c>
      <c r="F313" t="s">
        <v>1058</v>
      </c>
      <c r="G313" t="s">
        <v>799</v>
      </c>
      <c r="H313">
        <v>1714600</v>
      </c>
      <c r="I313" t="s">
        <v>1449</v>
      </c>
      <c r="J313" t="s">
        <v>800</v>
      </c>
      <c r="K313">
        <v>3</v>
      </c>
      <c r="L313" t="s">
        <v>852</v>
      </c>
      <c r="M313" t="s">
        <v>908</v>
      </c>
      <c r="N313" t="s">
        <v>909</v>
      </c>
      <c r="O313" t="s">
        <v>823</v>
      </c>
      <c r="P313" t="s">
        <v>702</v>
      </c>
      <c r="Q313" t="s">
        <v>703</v>
      </c>
      <c r="U313">
        <v>20008289</v>
      </c>
      <c r="V313" t="s">
        <v>1058</v>
      </c>
      <c r="W313">
        <v>1</v>
      </c>
      <c r="X313" t="s">
        <v>204</v>
      </c>
      <c r="Y313" t="s">
        <v>1432</v>
      </c>
    </row>
    <row r="314" spans="1:25" x14ac:dyDescent="0.4">
      <c r="A314" t="s">
        <v>258</v>
      </c>
      <c r="B314">
        <v>599419</v>
      </c>
      <c r="C314" t="s">
        <v>1450</v>
      </c>
      <c r="D314">
        <v>10004690</v>
      </c>
      <c r="E314">
        <v>20020764</v>
      </c>
      <c r="F314" t="s">
        <v>1065</v>
      </c>
      <c r="G314" t="s">
        <v>445</v>
      </c>
      <c r="H314">
        <v>1664600</v>
      </c>
      <c r="I314" t="s">
        <v>1368</v>
      </c>
      <c r="J314" t="s">
        <v>257</v>
      </c>
      <c r="K314">
        <v>3</v>
      </c>
      <c r="L314" t="s">
        <v>852</v>
      </c>
      <c r="M314" t="s">
        <v>1276</v>
      </c>
      <c r="N314" t="s">
        <v>1277</v>
      </c>
      <c r="O314" t="s">
        <v>820</v>
      </c>
      <c r="P314" t="s">
        <v>305</v>
      </c>
      <c r="Q314" t="s">
        <v>306</v>
      </c>
      <c r="U314">
        <v>10004690</v>
      </c>
      <c r="V314" t="s">
        <v>1065</v>
      </c>
      <c r="W314">
        <v>1</v>
      </c>
      <c r="X314" t="s">
        <v>221</v>
      </c>
      <c r="Y314" t="s">
        <v>1399</v>
      </c>
    </row>
    <row r="315" spans="1:25" x14ac:dyDescent="0.4">
      <c r="A315" t="s">
        <v>221</v>
      </c>
      <c r="B315">
        <v>598899</v>
      </c>
      <c r="C315" t="s">
        <v>1414</v>
      </c>
      <c r="D315">
        <v>20002218</v>
      </c>
      <c r="E315">
        <v>10030254</v>
      </c>
      <c r="F315" t="s">
        <v>868</v>
      </c>
      <c r="G315" t="s">
        <v>325</v>
      </c>
      <c r="H315">
        <v>1594840</v>
      </c>
      <c r="I315" t="s">
        <v>1451</v>
      </c>
      <c r="J315" t="s">
        <v>326</v>
      </c>
      <c r="K315">
        <v>16</v>
      </c>
      <c r="L315" t="s">
        <v>890</v>
      </c>
      <c r="M315" t="s">
        <v>869</v>
      </c>
      <c r="N315" t="s">
        <v>870</v>
      </c>
      <c r="O315" t="s">
        <v>820</v>
      </c>
      <c r="P315" t="s">
        <v>305</v>
      </c>
      <c r="Q315" t="s">
        <v>306</v>
      </c>
      <c r="R315" t="s">
        <v>1452</v>
      </c>
      <c r="U315">
        <v>10004789</v>
      </c>
      <c r="V315" t="s">
        <v>1436</v>
      </c>
      <c r="W315">
        <v>1</v>
      </c>
      <c r="X315" t="s">
        <v>221</v>
      </c>
      <c r="Y315" t="s">
        <v>1399</v>
      </c>
    </row>
    <row r="316" spans="1:25" x14ac:dyDescent="0.4">
      <c r="A316" t="s">
        <v>221</v>
      </c>
      <c r="B316">
        <v>599009</v>
      </c>
      <c r="C316" t="s">
        <v>1453</v>
      </c>
      <c r="D316">
        <v>20002218</v>
      </c>
      <c r="E316">
        <v>20020743</v>
      </c>
      <c r="F316" t="s">
        <v>868</v>
      </c>
      <c r="G316" t="s">
        <v>548</v>
      </c>
      <c r="H316">
        <v>2171184</v>
      </c>
      <c r="I316" t="s">
        <v>1454</v>
      </c>
      <c r="J316" t="s">
        <v>326</v>
      </c>
      <c r="K316">
        <v>39</v>
      </c>
      <c r="L316" t="s">
        <v>1383</v>
      </c>
      <c r="M316" t="s">
        <v>1083</v>
      </c>
      <c r="N316" t="s">
        <v>1084</v>
      </c>
      <c r="O316" t="s">
        <v>819</v>
      </c>
      <c r="P316" t="s">
        <v>450</v>
      </c>
      <c r="Q316" t="s">
        <v>451</v>
      </c>
      <c r="W316">
        <v>1</v>
      </c>
      <c r="X316" t="s">
        <v>221</v>
      </c>
      <c r="Y316" t="s">
        <v>1399</v>
      </c>
    </row>
    <row r="317" spans="1:25" x14ac:dyDescent="0.4">
      <c r="A317" t="s">
        <v>221</v>
      </c>
      <c r="B317">
        <v>599063</v>
      </c>
      <c r="C317" t="s">
        <v>651</v>
      </c>
      <c r="D317">
        <v>10004873</v>
      </c>
      <c r="E317">
        <v>20020748</v>
      </c>
      <c r="F317" t="s">
        <v>1455</v>
      </c>
      <c r="G317" t="s">
        <v>654</v>
      </c>
      <c r="H317">
        <v>2872110</v>
      </c>
      <c r="I317" t="s">
        <v>1359</v>
      </c>
      <c r="J317" t="s">
        <v>655</v>
      </c>
      <c r="K317">
        <v>3</v>
      </c>
      <c r="L317" t="s">
        <v>852</v>
      </c>
      <c r="M317" t="s">
        <v>960</v>
      </c>
      <c r="N317" t="s">
        <v>961</v>
      </c>
      <c r="O317" t="s">
        <v>822</v>
      </c>
      <c r="P317" t="s">
        <v>549</v>
      </c>
      <c r="Q317" t="s">
        <v>550</v>
      </c>
      <c r="U317">
        <v>20008126</v>
      </c>
      <c r="V317" t="s">
        <v>1456</v>
      </c>
      <c r="W317">
        <v>1</v>
      </c>
      <c r="X317" t="s">
        <v>204</v>
      </c>
      <c r="Y317" t="s">
        <v>1432</v>
      </c>
    </row>
    <row r="318" spans="1:25" x14ac:dyDescent="0.4">
      <c r="A318" t="s">
        <v>221</v>
      </c>
      <c r="B318">
        <v>599181</v>
      </c>
      <c r="C318" t="s">
        <v>1457</v>
      </c>
      <c r="D318">
        <v>20002218</v>
      </c>
      <c r="E318">
        <v>20020510</v>
      </c>
      <c r="F318" t="s">
        <v>868</v>
      </c>
      <c r="G318" t="s">
        <v>546</v>
      </c>
      <c r="H318">
        <v>1957040</v>
      </c>
      <c r="I318" t="s">
        <v>1033</v>
      </c>
      <c r="J318" t="s">
        <v>326</v>
      </c>
      <c r="K318">
        <v>16</v>
      </c>
      <c r="L318" t="s">
        <v>890</v>
      </c>
      <c r="M318" t="s">
        <v>991</v>
      </c>
      <c r="N318" t="s">
        <v>992</v>
      </c>
      <c r="O318" t="s">
        <v>819</v>
      </c>
      <c r="P318" t="s">
        <v>450</v>
      </c>
      <c r="Q318" t="s">
        <v>451</v>
      </c>
      <c r="W318">
        <v>1</v>
      </c>
      <c r="X318" t="s">
        <v>204</v>
      </c>
      <c r="Y318" t="s">
        <v>1432</v>
      </c>
    </row>
    <row r="319" spans="1:25" x14ac:dyDescent="0.4">
      <c r="A319" t="s">
        <v>221</v>
      </c>
      <c r="B319">
        <v>599408</v>
      </c>
      <c r="C319" t="s">
        <v>1450</v>
      </c>
      <c r="D319">
        <v>20002210</v>
      </c>
      <c r="E319">
        <v>20019178</v>
      </c>
      <c r="F319" t="s">
        <v>877</v>
      </c>
      <c r="G319" t="s">
        <v>635</v>
      </c>
      <c r="H319">
        <v>2435000</v>
      </c>
      <c r="I319" t="s">
        <v>1458</v>
      </c>
      <c r="J319" t="s">
        <v>636</v>
      </c>
      <c r="K319">
        <v>3</v>
      </c>
      <c r="L319" t="s">
        <v>852</v>
      </c>
      <c r="M319" t="s">
        <v>880</v>
      </c>
      <c r="N319" t="s">
        <v>881</v>
      </c>
      <c r="O319" t="s">
        <v>822</v>
      </c>
      <c r="P319" t="s">
        <v>549</v>
      </c>
      <c r="Q319" t="s">
        <v>550</v>
      </c>
      <c r="U319">
        <v>20002210</v>
      </c>
      <c r="V319" t="s">
        <v>877</v>
      </c>
      <c r="W319">
        <v>1</v>
      </c>
      <c r="X319" t="s">
        <v>291</v>
      </c>
      <c r="Y319" t="s">
        <v>1445</v>
      </c>
    </row>
    <row r="320" spans="1:25" x14ac:dyDescent="0.4">
      <c r="A320" t="s">
        <v>204</v>
      </c>
      <c r="B320">
        <v>599411</v>
      </c>
      <c r="C320" t="s">
        <v>1450</v>
      </c>
      <c r="D320">
        <v>20002210</v>
      </c>
      <c r="E320">
        <v>20020437</v>
      </c>
      <c r="F320" t="s">
        <v>877</v>
      </c>
      <c r="G320" t="s">
        <v>647</v>
      </c>
      <c r="H320">
        <v>2998840</v>
      </c>
      <c r="I320" t="s">
        <v>1459</v>
      </c>
      <c r="J320" t="s">
        <v>648</v>
      </c>
      <c r="K320">
        <v>3</v>
      </c>
      <c r="L320" t="s">
        <v>852</v>
      </c>
      <c r="M320" t="s">
        <v>880</v>
      </c>
      <c r="N320" t="s">
        <v>881</v>
      </c>
      <c r="O320" t="s">
        <v>822</v>
      </c>
      <c r="P320" t="s">
        <v>549</v>
      </c>
      <c r="Q320" t="s">
        <v>550</v>
      </c>
      <c r="U320">
        <v>20002210</v>
      </c>
      <c r="V320" t="s">
        <v>877</v>
      </c>
      <c r="W320">
        <v>1</v>
      </c>
      <c r="X320" t="s">
        <v>251</v>
      </c>
      <c r="Y320" t="s">
        <v>1460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77BC-FB65-4087-9823-B0E2DAD89161}">
  <dimension ref="A1:Q148"/>
  <sheetViews>
    <sheetView workbookViewId="0"/>
  </sheetViews>
  <sheetFormatPr defaultRowHeight="18.75" x14ac:dyDescent="0.4"/>
  <cols>
    <col min="1" max="1" width="9.5" bestFit="1" customWidth="1"/>
    <col min="2" max="2" width="13.25" bestFit="1" customWidth="1"/>
    <col min="3" max="4" width="8" bestFit="1" customWidth="1"/>
    <col min="5" max="5" width="11.25" bestFit="1" customWidth="1"/>
    <col min="6" max="6" width="9.25" bestFit="1" customWidth="1"/>
    <col min="7" max="7" width="13.25" bestFit="1" customWidth="1"/>
    <col min="8" max="9" width="8" bestFit="1" customWidth="1"/>
    <col min="10" max="10" width="11.25" bestFit="1" customWidth="1"/>
    <col min="11" max="11" width="9.25" bestFit="1" customWidth="1"/>
    <col min="12" max="12" width="13.25" bestFit="1" customWidth="1"/>
    <col min="13" max="14" width="8" bestFit="1" customWidth="1"/>
    <col min="15" max="15" width="11.25" bestFit="1" customWidth="1"/>
    <col min="16" max="16" width="9.25" bestFit="1" customWidth="1"/>
    <col min="17" max="17" width="13.25" bestFit="1" customWidth="1"/>
  </cols>
  <sheetData>
    <row r="1" spans="1:17" x14ac:dyDescent="0.4">
      <c r="A1" s="1" t="s">
        <v>801</v>
      </c>
      <c r="B1" s="1" t="s">
        <v>802</v>
      </c>
      <c r="C1" s="1" t="s">
        <v>803</v>
      </c>
      <c r="D1" s="1" t="s">
        <v>804</v>
      </c>
      <c r="E1" s="1" t="s">
        <v>805</v>
      </c>
      <c r="F1" s="1" t="s">
        <v>806</v>
      </c>
      <c r="G1" s="1" t="s">
        <v>807</v>
      </c>
      <c r="H1" s="1" t="s">
        <v>808</v>
      </c>
      <c r="I1" s="1" t="s">
        <v>809</v>
      </c>
      <c r="J1" s="1" t="s">
        <v>810</v>
      </c>
      <c r="K1" s="1" t="s">
        <v>811</v>
      </c>
      <c r="L1" s="1" t="s">
        <v>812</v>
      </c>
      <c r="M1" s="1" t="s">
        <v>813</v>
      </c>
      <c r="N1" s="1" t="s">
        <v>814</v>
      </c>
      <c r="O1" s="1" t="s">
        <v>815</v>
      </c>
      <c r="P1" s="1" t="s">
        <v>816</v>
      </c>
      <c r="Q1" s="1" t="s">
        <v>817</v>
      </c>
    </row>
    <row r="2" spans="1:17" x14ac:dyDescent="0.4">
      <c r="A2">
        <v>20190801</v>
      </c>
      <c r="B2" t="s">
        <v>818</v>
      </c>
      <c r="C2">
        <v>2</v>
      </c>
      <c r="D2">
        <v>0</v>
      </c>
      <c r="E2">
        <v>11</v>
      </c>
      <c r="F2">
        <v>38140</v>
      </c>
      <c r="G2">
        <v>-88</v>
      </c>
      <c r="H2">
        <v>1</v>
      </c>
      <c r="I2">
        <v>0</v>
      </c>
      <c r="J2">
        <v>13</v>
      </c>
      <c r="K2">
        <v>38500</v>
      </c>
      <c r="L2">
        <v>500</v>
      </c>
      <c r="M2">
        <v>0</v>
      </c>
      <c r="N2">
        <v>0</v>
      </c>
      <c r="O2">
        <v>13</v>
      </c>
      <c r="P2">
        <v>36628</v>
      </c>
      <c r="Q2">
        <v>434</v>
      </c>
    </row>
    <row r="3" spans="1:17" x14ac:dyDescent="0.4">
      <c r="A3">
        <v>20190801</v>
      </c>
      <c r="B3" t="s">
        <v>819</v>
      </c>
      <c r="C3">
        <v>4</v>
      </c>
      <c r="D3">
        <v>0</v>
      </c>
      <c r="E3">
        <v>15</v>
      </c>
      <c r="F3">
        <v>61880</v>
      </c>
      <c r="G3">
        <v>2399</v>
      </c>
      <c r="H3">
        <v>3</v>
      </c>
      <c r="I3">
        <v>0</v>
      </c>
      <c r="J3">
        <v>22</v>
      </c>
      <c r="K3">
        <v>69600</v>
      </c>
      <c r="L3">
        <v>9500</v>
      </c>
      <c r="M3">
        <v>3</v>
      </c>
      <c r="N3">
        <v>0</v>
      </c>
      <c r="O3">
        <v>21</v>
      </c>
      <c r="P3">
        <v>69093</v>
      </c>
      <c r="Q3">
        <v>15365</v>
      </c>
    </row>
    <row r="4" spans="1:17" x14ac:dyDescent="0.4">
      <c r="A4">
        <v>20190801</v>
      </c>
      <c r="B4" t="s">
        <v>820</v>
      </c>
      <c r="C4">
        <v>4</v>
      </c>
      <c r="D4">
        <v>0</v>
      </c>
      <c r="E4">
        <v>7</v>
      </c>
      <c r="F4">
        <v>46228</v>
      </c>
      <c r="G4">
        <v>499</v>
      </c>
      <c r="H4">
        <v>3</v>
      </c>
      <c r="I4">
        <v>0</v>
      </c>
      <c r="J4">
        <v>8</v>
      </c>
      <c r="K4">
        <v>56608</v>
      </c>
      <c r="L4">
        <v>4400</v>
      </c>
      <c r="M4">
        <v>4</v>
      </c>
      <c r="N4">
        <v>0</v>
      </c>
      <c r="O4">
        <v>9</v>
      </c>
      <c r="P4">
        <v>56349</v>
      </c>
      <c r="Q4">
        <v>9702</v>
      </c>
    </row>
    <row r="5" spans="1:17" x14ac:dyDescent="0.4">
      <c r="A5">
        <v>20190801</v>
      </c>
      <c r="B5" t="s">
        <v>821</v>
      </c>
      <c r="C5">
        <v>0</v>
      </c>
      <c r="D5">
        <v>0</v>
      </c>
      <c r="E5">
        <v>9</v>
      </c>
      <c r="F5">
        <v>76625</v>
      </c>
      <c r="G5">
        <v>682</v>
      </c>
      <c r="H5">
        <v>4</v>
      </c>
      <c r="I5">
        <v>0</v>
      </c>
      <c r="J5">
        <v>21</v>
      </c>
      <c r="K5">
        <v>82000</v>
      </c>
      <c r="L5">
        <v>14000</v>
      </c>
      <c r="M5">
        <v>4</v>
      </c>
      <c r="N5">
        <v>0</v>
      </c>
      <c r="O5">
        <v>21</v>
      </c>
      <c r="P5">
        <v>85386</v>
      </c>
      <c r="Q5">
        <v>19025</v>
      </c>
    </row>
    <row r="6" spans="1:17" x14ac:dyDescent="0.4">
      <c r="A6">
        <v>20190801</v>
      </c>
      <c r="B6" t="s">
        <v>822</v>
      </c>
      <c r="C6">
        <v>1</v>
      </c>
      <c r="D6">
        <v>0</v>
      </c>
      <c r="E6">
        <v>10</v>
      </c>
      <c r="F6">
        <v>41616</v>
      </c>
      <c r="G6">
        <v>1682</v>
      </c>
      <c r="H6">
        <v>1</v>
      </c>
      <c r="I6">
        <v>0</v>
      </c>
      <c r="J6">
        <v>9</v>
      </c>
      <c r="K6">
        <v>33000</v>
      </c>
      <c r="L6">
        <v>-1100</v>
      </c>
      <c r="M6">
        <v>1</v>
      </c>
      <c r="N6">
        <v>0</v>
      </c>
      <c r="O6">
        <v>9</v>
      </c>
      <c r="P6">
        <v>33535</v>
      </c>
      <c r="Q6">
        <v>2703</v>
      </c>
    </row>
    <row r="7" spans="1:17" x14ac:dyDescent="0.4">
      <c r="A7">
        <v>20190901</v>
      </c>
      <c r="B7" t="s">
        <v>818</v>
      </c>
      <c r="C7">
        <v>3</v>
      </c>
      <c r="D7">
        <v>0</v>
      </c>
      <c r="E7">
        <v>9</v>
      </c>
      <c r="F7">
        <v>40613</v>
      </c>
      <c r="G7">
        <v>-5018</v>
      </c>
      <c r="H7">
        <v>1</v>
      </c>
      <c r="I7">
        <v>0</v>
      </c>
      <c r="J7">
        <v>12</v>
      </c>
      <c r="K7">
        <v>41312</v>
      </c>
      <c r="L7">
        <v>-3324</v>
      </c>
      <c r="M7">
        <v>0</v>
      </c>
      <c r="N7">
        <v>0</v>
      </c>
      <c r="O7">
        <v>12</v>
      </c>
      <c r="P7">
        <v>44113</v>
      </c>
      <c r="Q7">
        <v>760</v>
      </c>
    </row>
    <row r="8" spans="1:17" x14ac:dyDescent="0.4">
      <c r="A8">
        <v>20190901</v>
      </c>
      <c r="B8" t="s">
        <v>819</v>
      </c>
      <c r="C8">
        <v>4</v>
      </c>
      <c r="D8">
        <v>0</v>
      </c>
      <c r="E8">
        <v>14</v>
      </c>
      <c r="F8">
        <v>76581</v>
      </c>
      <c r="G8">
        <v>10246</v>
      </c>
      <c r="H8">
        <v>1</v>
      </c>
      <c r="I8">
        <v>0</v>
      </c>
      <c r="J8">
        <v>16</v>
      </c>
      <c r="K8">
        <v>84000</v>
      </c>
      <c r="L8">
        <v>15000</v>
      </c>
      <c r="M8">
        <v>1</v>
      </c>
      <c r="N8">
        <v>0</v>
      </c>
      <c r="O8">
        <v>16</v>
      </c>
      <c r="P8">
        <v>85964</v>
      </c>
      <c r="Q8">
        <v>18712</v>
      </c>
    </row>
    <row r="9" spans="1:17" x14ac:dyDescent="0.4">
      <c r="A9">
        <v>20190901</v>
      </c>
      <c r="B9" t="s">
        <v>820</v>
      </c>
      <c r="C9">
        <v>4</v>
      </c>
      <c r="D9">
        <v>0</v>
      </c>
      <c r="E9">
        <v>8</v>
      </c>
      <c r="F9">
        <v>47763</v>
      </c>
      <c r="G9">
        <v>2132</v>
      </c>
      <c r="H9">
        <v>1</v>
      </c>
      <c r="I9">
        <v>0</v>
      </c>
      <c r="J9">
        <v>20</v>
      </c>
      <c r="K9">
        <v>66481</v>
      </c>
      <c r="L9">
        <v>9939</v>
      </c>
      <c r="M9">
        <v>1</v>
      </c>
      <c r="N9">
        <v>0</v>
      </c>
      <c r="O9">
        <v>20</v>
      </c>
      <c r="P9">
        <v>67932</v>
      </c>
      <c r="Q9">
        <v>16563</v>
      </c>
    </row>
    <row r="10" spans="1:17" x14ac:dyDescent="0.4">
      <c r="A10">
        <v>20190901</v>
      </c>
      <c r="B10" t="s">
        <v>821</v>
      </c>
      <c r="C10">
        <v>5</v>
      </c>
      <c r="D10">
        <v>0</v>
      </c>
      <c r="E10">
        <v>6</v>
      </c>
      <c r="F10">
        <v>79795</v>
      </c>
      <c r="G10">
        <v>-2871</v>
      </c>
      <c r="H10">
        <v>4</v>
      </c>
      <c r="I10">
        <v>0</v>
      </c>
      <c r="J10">
        <v>14</v>
      </c>
      <c r="K10">
        <v>90000</v>
      </c>
      <c r="L10">
        <v>11000</v>
      </c>
      <c r="M10">
        <v>3</v>
      </c>
      <c r="N10">
        <v>0</v>
      </c>
      <c r="O10">
        <v>14</v>
      </c>
      <c r="P10">
        <v>92782</v>
      </c>
      <c r="Q10">
        <v>21333</v>
      </c>
    </row>
    <row r="11" spans="1:17" x14ac:dyDescent="0.4">
      <c r="A11">
        <v>20190901</v>
      </c>
      <c r="B11" t="s">
        <v>822</v>
      </c>
      <c r="C11">
        <v>3</v>
      </c>
      <c r="D11">
        <v>0</v>
      </c>
      <c r="E11">
        <v>10</v>
      </c>
      <c r="F11">
        <v>44607</v>
      </c>
      <c r="G11">
        <v>4612</v>
      </c>
      <c r="H11">
        <v>1</v>
      </c>
      <c r="I11">
        <v>0</v>
      </c>
      <c r="J11">
        <v>17</v>
      </c>
      <c r="K11">
        <v>52000</v>
      </c>
      <c r="L11">
        <v>8700</v>
      </c>
      <c r="M11">
        <v>1</v>
      </c>
      <c r="N11">
        <v>0</v>
      </c>
      <c r="O11">
        <v>17</v>
      </c>
      <c r="P11">
        <v>53258</v>
      </c>
      <c r="Q11">
        <v>15317</v>
      </c>
    </row>
    <row r="12" spans="1:17" x14ac:dyDescent="0.4">
      <c r="A12">
        <v>20191001</v>
      </c>
      <c r="B12" t="s">
        <v>818</v>
      </c>
      <c r="C12">
        <v>4</v>
      </c>
      <c r="D12">
        <v>0</v>
      </c>
      <c r="E12">
        <v>12</v>
      </c>
      <c r="F12">
        <v>45760</v>
      </c>
      <c r="G12">
        <v>5687</v>
      </c>
      <c r="H12">
        <v>0</v>
      </c>
      <c r="I12">
        <v>1</v>
      </c>
      <c r="J12">
        <v>10</v>
      </c>
      <c r="K12">
        <v>42200</v>
      </c>
      <c r="L12">
        <v>2150</v>
      </c>
      <c r="M12">
        <v>0</v>
      </c>
      <c r="N12">
        <v>0</v>
      </c>
      <c r="O12">
        <v>10</v>
      </c>
      <c r="P12">
        <v>34614</v>
      </c>
      <c r="Q12">
        <v>470</v>
      </c>
    </row>
    <row r="13" spans="1:17" x14ac:dyDescent="0.4">
      <c r="A13">
        <v>20191001</v>
      </c>
      <c r="B13" t="s">
        <v>819</v>
      </c>
      <c r="C13">
        <v>4</v>
      </c>
      <c r="D13">
        <v>0</v>
      </c>
      <c r="E13">
        <v>14</v>
      </c>
      <c r="F13">
        <v>76818</v>
      </c>
      <c r="G13">
        <v>10676</v>
      </c>
      <c r="H13">
        <v>0</v>
      </c>
      <c r="I13">
        <v>0</v>
      </c>
      <c r="J13">
        <v>21</v>
      </c>
      <c r="K13">
        <v>77000</v>
      </c>
      <c r="L13">
        <v>12600</v>
      </c>
      <c r="M13">
        <v>0</v>
      </c>
      <c r="N13">
        <v>0</v>
      </c>
      <c r="O13">
        <v>21</v>
      </c>
      <c r="P13">
        <v>74884</v>
      </c>
      <c r="Q13">
        <v>13775</v>
      </c>
    </row>
    <row r="14" spans="1:17" x14ac:dyDescent="0.4">
      <c r="A14">
        <v>20191001</v>
      </c>
      <c r="B14" t="s">
        <v>820</v>
      </c>
      <c r="C14">
        <v>4</v>
      </c>
      <c r="D14">
        <v>0</v>
      </c>
      <c r="E14">
        <v>10</v>
      </c>
      <c r="F14">
        <v>49993</v>
      </c>
      <c r="G14">
        <v>3778</v>
      </c>
      <c r="H14">
        <v>0</v>
      </c>
      <c r="I14">
        <v>0</v>
      </c>
      <c r="J14">
        <v>13</v>
      </c>
      <c r="K14">
        <v>69100</v>
      </c>
      <c r="L14">
        <v>11400</v>
      </c>
      <c r="M14">
        <v>0</v>
      </c>
      <c r="N14">
        <v>0</v>
      </c>
      <c r="O14">
        <v>13</v>
      </c>
      <c r="P14">
        <v>62845</v>
      </c>
      <c r="Q14">
        <v>10639</v>
      </c>
    </row>
    <row r="15" spans="1:17" x14ac:dyDescent="0.4">
      <c r="A15">
        <v>20191001</v>
      </c>
      <c r="B15" t="s">
        <v>821</v>
      </c>
      <c r="C15">
        <v>6</v>
      </c>
      <c r="D15">
        <v>0</v>
      </c>
      <c r="E15">
        <v>6</v>
      </c>
      <c r="F15">
        <v>81363</v>
      </c>
      <c r="G15">
        <v>4565</v>
      </c>
      <c r="H15">
        <v>1</v>
      </c>
      <c r="I15">
        <v>0</v>
      </c>
      <c r="J15">
        <v>24</v>
      </c>
      <c r="K15">
        <v>82000</v>
      </c>
      <c r="L15">
        <v>10000</v>
      </c>
      <c r="M15">
        <v>1</v>
      </c>
      <c r="N15">
        <v>0</v>
      </c>
      <c r="O15">
        <v>24</v>
      </c>
      <c r="P15">
        <v>79055</v>
      </c>
      <c r="Q15">
        <v>12676</v>
      </c>
    </row>
    <row r="16" spans="1:17" x14ac:dyDescent="0.4">
      <c r="A16">
        <v>20191001</v>
      </c>
      <c r="B16" t="s">
        <v>822</v>
      </c>
      <c r="C16">
        <v>3</v>
      </c>
      <c r="D16">
        <v>0</v>
      </c>
      <c r="E16">
        <v>10</v>
      </c>
      <c r="F16">
        <v>40188</v>
      </c>
      <c r="G16">
        <v>4604</v>
      </c>
      <c r="H16">
        <v>0</v>
      </c>
      <c r="I16">
        <v>0</v>
      </c>
      <c r="J16">
        <v>9</v>
      </c>
      <c r="K16">
        <v>44000</v>
      </c>
      <c r="L16">
        <v>4000</v>
      </c>
      <c r="M16">
        <v>0</v>
      </c>
      <c r="N16">
        <v>0</v>
      </c>
      <c r="O16">
        <v>9</v>
      </c>
      <c r="P16">
        <v>43107</v>
      </c>
      <c r="Q16">
        <v>3337</v>
      </c>
    </row>
    <row r="17" spans="1:17" x14ac:dyDescent="0.4">
      <c r="A17">
        <v>20191101</v>
      </c>
      <c r="B17" t="s">
        <v>818</v>
      </c>
      <c r="C17">
        <v>0</v>
      </c>
      <c r="D17">
        <v>4</v>
      </c>
      <c r="E17">
        <v>8</v>
      </c>
      <c r="F17">
        <v>36595</v>
      </c>
      <c r="G17">
        <v>163</v>
      </c>
      <c r="H17">
        <v>0</v>
      </c>
      <c r="I17">
        <v>3</v>
      </c>
      <c r="J17">
        <v>7</v>
      </c>
      <c r="K17">
        <v>38300</v>
      </c>
      <c r="L17">
        <v>1970</v>
      </c>
      <c r="M17">
        <v>0</v>
      </c>
      <c r="N17">
        <v>2</v>
      </c>
      <c r="O17">
        <v>7</v>
      </c>
      <c r="P17">
        <v>37020</v>
      </c>
      <c r="Q17">
        <v>-595</v>
      </c>
    </row>
    <row r="18" spans="1:17" x14ac:dyDescent="0.4">
      <c r="A18">
        <v>20191101</v>
      </c>
      <c r="B18" t="s">
        <v>819</v>
      </c>
      <c r="C18">
        <v>0</v>
      </c>
      <c r="D18">
        <v>8</v>
      </c>
      <c r="E18">
        <v>13</v>
      </c>
      <c r="F18">
        <v>76813</v>
      </c>
      <c r="G18">
        <v>4058</v>
      </c>
      <c r="H18">
        <v>0</v>
      </c>
      <c r="I18">
        <v>0</v>
      </c>
      <c r="J18">
        <v>22</v>
      </c>
      <c r="K18">
        <v>80500</v>
      </c>
      <c r="L18">
        <v>12800</v>
      </c>
      <c r="M18">
        <v>0</v>
      </c>
      <c r="N18">
        <v>0</v>
      </c>
      <c r="O18">
        <v>23</v>
      </c>
      <c r="P18">
        <v>76885</v>
      </c>
      <c r="Q18">
        <v>14227</v>
      </c>
    </row>
    <row r="19" spans="1:17" x14ac:dyDescent="0.4">
      <c r="A19">
        <v>20191101</v>
      </c>
      <c r="B19" t="s">
        <v>820</v>
      </c>
      <c r="C19">
        <v>0</v>
      </c>
      <c r="D19">
        <v>9</v>
      </c>
      <c r="E19">
        <v>11</v>
      </c>
      <c r="F19">
        <v>53098</v>
      </c>
      <c r="G19">
        <v>-5001</v>
      </c>
      <c r="H19">
        <v>0</v>
      </c>
      <c r="I19">
        <v>1</v>
      </c>
      <c r="J19">
        <v>16</v>
      </c>
      <c r="K19">
        <v>68000</v>
      </c>
      <c r="L19">
        <v>1000</v>
      </c>
      <c r="M19">
        <v>0</v>
      </c>
      <c r="N19">
        <v>1</v>
      </c>
      <c r="O19">
        <v>14</v>
      </c>
      <c r="P19">
        <v>64606</v>
      </c>
      <c r="Q19">
        <v>6906</v>
      </c>
    </row>
    <row r="20" spans="1:17" x14ac:dyDescent="0.4">
      <c r="A20">
        <v>20191101</v>
      </c>
      <c r="B20" t="s">
        <v>821</v>
      </c>
      <c r="C20">
        <v>0</v>
      </c>
      <c r="D20">
        <v>6</v>
      </c>
      <c r="E20">
        <v>2</v>
      </c>
      <c r="F20">
        <v>32046</v>
      </c>
      <c r="G20">
        <v>3351</v>
      </c>
      <c r="H20">
        <v>0</v>
      </c>
      <c r="I20">
        <v>2</v>
      </c>
      <c r="J20">
        <v>8</v>
      </c>
      <c r="K20">
        <v>31000</v>
      </c>
      <c r="L20">
        <v>4000</v>
      </c>
      <c r="M20">
        <v>0</v>
      </c>
      <c r="N20">
        <v>2</v>
      </c>
      <c r="O20">
        <v>7</v>
      </c>
      <c r="P20">
        <v>30756</v>
      </c>
      <c r="Q20">
        <v>8604</v>
      </c>
    </row>
    <row r="21" spans="1:17" x14ac:dyDescent="0.4">
      <c r="A21">
        <v>20191101</v>
      </c>
      <c r="B21" t="s">
        <v>823</v>
      </c>
      <c r="C21">
        <v>0</v>
      </c>
      <c r="D21">
        <v>7</v>
      </c>
      <c r="E21">
        <v>7</v>
      </c>
      <c r="F21">
        <v>55482</v>
      </c>
      <c r="G21">
        <v>2406</v>
      </c>
      <c r="H21">
        <v>0</v>
      </c>
      <c r="I21">
        <v>0</v>
      </c>
      <c r="J21">
        <v>16</v>
      </c>
      <c r="K21">
        <v>58500</v>
      </c>
      <c r="L21">
        <v>5500</v>
      </c>
      <c r="M21">
        <v>0</v>
      </c>
      <c r="N21">
        <v>0</v>
      </c>
      <c r="O21">
        <v>17</v>
      </c>
      <c r="P21">
        <v>57370</v>
      </c>
      <c r="Q21">
        <v>7213</v>
      </c>
    </row>
    <row r="22" spans="1:17" x14ac:dyDescent="0.4">
      <c r="A22">
        <v>20191101</v>
      </c>
      <c r="B22" t="s">
        <v>822</v>
      </c>
      <c r="C22">
        <v>0</v>
      </c>
      <c r="D22">
        <v>4</v>
      </c>
      <c r="E22">
        <v>10</v>
      </c>
      <c r="F22">
        <v>38366</v>
      </c>
      <c r="G22">
        <v>973</v>
      </c>
      <c r="H22">
        <v>0</v>
      </c>
      <c r="I22">
        <v>0</v>
      </c>
      <c r="J22">
        <v>14</v>
      </c>
      <c r="K22">
        <v>44000</v>
      </c>
      <c r="L22">
        <v>4500</v>
      </c>
      <c r="M22">
        <v>0</v>
      </c>
      <c r="N22">
        <v>0</v>
      </c>
      <c r="O22">
        <v>14</v>
      </c>
      <c r="P22">
        <v>43589</v>
      </c>
      <c r="Q22">
        <v>4307</v>
      </c>
    </row>
    <row r="23" spans="1:17" x14ac:dyDescent="0.4">
      <c r="A23">
        <v>20191201</v>
      </c>
      <c r="B23" t="s">
        <v>818</v>
      </c>
      <c r="C23">
        <v>0</v>
      </c>
      <c r="D23">
        <v>5</v>
      </c>
      <c r="E23">
        <v>10</v>
      </c>
      <c r="F23">
        <v>40338</v>
      </c>
      <c r="G23">
        <v>2316</v>
      </c>
      <c r="H23">
        <v>0</v>
      </c>
      <c r="I23">
        <v>2</v>
      </c>
      <c r="J23">
        <v>9</v>
      </c>
      <c r="K23">
        <v>40400</v>
      </c>
      <c r="L23">
        <v>2400</v>
      </c>
      <c r="M23">
        <v>0</v>
      </c>
      <c r="N23">
        <v>2</v>
      </c>
      <c r="O23">
        <v>9</v>
      </c>
      <c r="P23">
        <v>41762</v>
      </c>
      <c r="Q23">
        <v>247</v>
      </c>
    </row>
    <row r="24" spans="1:17" x14ac:dyDescent="0.4">
      <c r="A24">
        <v>20191201</v>
      </c>
      <c r="B24" t="s">
        <v>819</v>
      </c>
      <c r="C24">
        <v>0</v>
      </c>
      <c r="D24">
        <v>8</v>
      </c>
      <c r="E24">
        <v>14</v>
      </c>
      <c r="F24">
        <v>78056</v>
      </c>
      <c r="G24">
        <v>12015</v>
      </c>
      <c r="H24">
        <v>0</v>
      </c>
      <c r="I24">
        <v>2</v>
      </c>
      <c r="J24">
        <v>18</v>
      </c>
      <c r="K24">
        <v>78100</v>
      </c>
      <c r="L24">
        <v>12100</v>
      </c>
      <c r="M24">
        <v>0</v>
      </c>
      <c r="N24">
        <v>1</v>
      </c>
      <c r="O24">
        <v>19</v>
      </c>
      <c r="P24">
        <v>78401</v>
      </c>
      <c r="Q24">
        <v>11710</v>
      </c>
    </row>
    <row r="25" spans="1:17" x14ac:dyDescent="0.4">
      <c r="A25">
        <v>20191201</v>
      </c>
      <c r="B25" t="s">
        <v>820</v>
      </c>
      <c r="C25">
        <v>0</v>
      </c>
      <c r="D25">
        <v>11</v>
      </c>
      <c r="E25">
        <v>11</v>
      </c>
      <c r="F25">
        <v>54984</v>
      </c>
      <c r="G25">
        <v>6730</v>
      </c>
      <c r="H25">
        <v>0</v>
      </c>
      <c r="I25">
        <v>2</v>
      </c>
      <c r="J25">
        <v>14</v>
      </c>
      <c r="K25">
        <v>70000</v>
      </c>
      <c r="L25">
        <v>9600</v>
      </c>
      <c r="M25">
        <v>0</v>
      </c>
      <c r="N25">
        <v>3</v>
      </c>
      <c r="O25">
        <v>13</v>
      </c>
      <c r="P25">
        <v>74017</v>
      </c>
      <c r="Q25">
        <v>14694</v>
      </c>
    </row>
    <row r="26" spans="1:17" x14ac:dyDescent="0.4">
      <c r="A26">
        <v>20191201</v>
      </c>
      <c r="B26" t="s">
        <v>821</v>
      </c>
      <c r="C26">
        <v>0</v>
      </c>
      <c r="D26">
        <v>6</v>
      </c>
      <c r="E26">
        <v>2</v>
      </c>
      <c r="F26">
        <v>33336</v>
      </c>
      <c r="G26">
        <v>3236</v>
      </c>
      <c r="H26">
        <v>0</v>
      </c>
      <c r="I26">
        <v>1</v>
      </c>
      <c r="J26">
        <v>8</v>
      </c>
      <c r="K26">
        <v>36300</v>
      </c>
      <c r="L26">
        <v>9950</v>
      </c>
      <c r="M26">
        <v>0</v>
      </c>
      <c r="N26">
        <v>1</v>
      </c>
      <c r="O26">
        <v>8</v>
      </c>
      <c r="P26">
        <v>38474</v>
      </c>
      <c r="Q26">
        <v>11516</v>
      </c>
    </row>
    <row r="27" spans="1:17" x14ac:dyDescent="0.4">
      <c r="A27">
        <v>20191201</v>
      </c>
      <c r="B27" t="s">
        <v>823</v>
      </c>
      <c r="C27">
        <v>0</v>
      </c>
      <c r="D27">
        <v>8</v>
      </c>
      <c r="E27">
        <v>7</v>
      </c>
      <c r="F27">
        <v>55471</v>
      </c>
      <c r="G27">
        <v>1751</v>
      </c>
      <c r="H27">
        <v>0</v>
      </c>
      <c r="I27">
        <v>2</v>
      </c>
      <c r="J27">
        <v>16</v>
      </c>
      <c r="K27">
        <v>57000</v>
      </c>
      <c r="L27">
        <v>4000</v>
      </c>
      <c r="M27">
        <v>0</v>
      </c>
      <c r="N27">
        <v>2</v>
      </c>
      <c r="O27">
        <v>17</v>
      </c>
      <c r="P27">
        <v>58549</v>
      </c>
      <c r="Q27">
        <v>10167</v>
      </c>
    </row>
    <row r="28" spans="1:17" x14ac:dyDescent="0.4">
      <c r="A28">
        <v>20191201</v>
      </c>
      <c r="B28" t="s">
        <v>822</v>
      </c>
      <c r="C28">
        <v>0</v>
      </c>
      <c r="D28">
        <v>5</v>
      </c>
      <c r="E28">
        <v>10</v>
      </c>
      <c r="F28">
        <v>42058</v>
      </c>
      <c r="G28">
        <v>-561</v>
      </c>
      <c r="H28">
        <v>0</v>
      </c>
      <c r="I28">
        <v>4</v>
      </c>
      <c r="J28">
        <v>10</v>
      </c>
      <c r="K28">
        <v>43000</v>
      </c>
      <c r="L28">
        <v>1200</v>
      </c>
      <c r="M28">
        <v>0</v>
      </c>
      <c r="N28">
        <v>4</v>
      </c>
      <c r="O28">
        <v>9</v>
      </c>
      <c r="P28">
        <v>45656</v>
      </c>
      <c r="Q28">
        <v>7484</v>
      </c>
    </row>
    <row r="29" spans="1:17" x14ac:dyDescent="0.4">
      <c r="A29">
        <v>20200101</v>
      </c>
      <c r="B29" t="s">
        <v>818</v>
      </c>
      <c r="C29">
        <v>0</v>
      </c>
      <c r="D29">
        <v>5</v>
      </c>
      <c r="E29">
        <v>11</v>
      </c>
      <c r="F29">
        <v>40401</v>
      </c>
      <c r="G29">
        <v>2736</v>
      </c>
      <c r="H29">
        <v>0</v>
      </c>
      <c r="I29">
        <v>4</v>
      </c>
      <c r="J29">
        <v>9</v>
      </c>
      <c r="K29">
        <v>41000</v>
      </c>
      <c r="L29">
        <v>2900</v>
      </c>
      <c r="M29">
        <v>0</v>
      </c>
      <c r="N29">
        <v>3</v>
      </c>
      <c r="O29">
        <v>9</v>
      </c>
      <c r="P29">
        <v>33464</v>
      </c>
      <c r="Q29">
        <v>-491</v>
      </c>
    </row>
    <row r="30" spans="1:17" x14ac:dyDescent="0.4">
      <c r="A30">
        <v>20200101</v>
      </c>
      <c r="B30" t="s">
        <v>819</v>
      </c>
      <c r="C30">
        <v>0</v>
      </c>
      <c r="D30">
        <v>10</v>
      </c>
      <c r="E30">
        <v>14</v>
      </c>
      <c r="F30">
        <v>67140</v>
      </c>
      <c r="G30">
        <v>-191</v>
      </c>
      <c r="H30">
        <v>0</v>
      </c>
      <c r="I30">
        <v>1</v>
      </c>
      <c r="J30">
        <v>18</v>
      </c>
      <c r="K30">
        <v>67200</v>
      </c>
      <c r="L30">
        <v>300</v>
      </c>
      <c r="M30">
        <v>0</v>
      </c>
      <c r="N30">
        <v>2</v>
      </c>
      <c r="O30">
        <v>18</v>
      </c>
      <c r="P30">
        <v>69888</v>
      </c>
      <c r="Q30">
        <v>10434</v>
      </c>
    </row>
    <row r="31" spans="1:17" x14ac:dyDescent="0.4">
      <c r="A31">
        <v>20200101</v>
      </c>
      <c r="B31" t="s">
        <v>820</v>
      </c>
      <c r="C31">
        <v>0</v>
      </c>
      <c r="D31">
        <v>10</v>
      </c>
      <c r="E31">
        <v>13</v>
      </c>
      <c r="F31">
        <v>56625</v>
      </c>
      <c r="G31">
        <v>8561</v>
      </c>
      <c r="H31">
        <v>0</v>
      </c>
      <c r="I31">
        <v>3</v>
      </c>
      <c r="J31">
        <v>15</v>
      </c>
      <c r="K31">
        <v>66200</v>
      </c>
      <c r="L31">
        <v>10561</v>
      </c>
      <c r="M31">
        <v>0</v>
      </c>
      <c r="N31">
        <v>2</v>
      </c>
      <c r="O31">
        <v>15</v>
      </c>
      <c r="P31">
        <v>66452</v>
      </c>
      <c r="Q31">
        <v>10178</v>
      </c>
    </row>
    <row r="32" spans="1:17" x14ac:dyDescent="0.4">
      <c r="A32">
        <v>20200101</v>
      </c>
      <c r="B32" t="s">
        <v>821</v>
      </c>
      <c r="C32">
        <v>0</v>
      </c>
      <c r="D32">
        <v>6</v>
      </c>
      <c r="E32">
        <v>3</v>
      </c>
      <c r="F32">
        <v>34531</v>
      </c>
      <c r="G32">
        <v>3941</v>
      </c>
      <c r="H32">
        <v>0</v>
      </c>
      <c r="I32">
        <v>0</v>
      </c>
      <c r="J32">
        <v>9</v>
      </c>
      <c r="K32">
        <v>36500</v>
      </c>
      <c r="L32">
        <v>9300</v>
      </c>
      <c r="M32">
        <v>0</v>
      </c>
      <c r="N32">
        <v>0</v>
      </c>
      <c r="O32">
        <v>8</v>
      </c>
      <c r="P32">
        <v>37726</v>
      </c>
      <c r="Q32">
        <v>5803</v>
      </c>
    </row>
    <row r="33" spans="1:17" x14ac:dyDescent="0.4">
      <c r="A33">
        <v>20200101</v>
      </c>
      <c r="B33" t="s">
        <v>823</v>
      </c>
      <c r="C33">
        <v>0</v>
      </c>
      <c r="D33">
        <v>8</v>
      </c>
      <c r="E33">
        <v>10</v>
      </c>
      <c r="F33">
        <v>58833</v>
      </c>
      <c r="G33">
        <v>5134</v>
      </c>
      <c r="H33">
        <v>0</v>
      </c>
      <c r="I33">
        <v>1</v>
      </c>
      <c r="J33">
        <v>18</v>
      </c>
      <c r="K33">
        <v>61000</v>
      </c>
      <c r="L33">
        <v>6500</v>
      </c>
      <c r="M33">
        <v>0</v>
      </c>
      <c r="N33">
        <v>1</v>
      </c>
      <c r="O33">
        <v>18</v>
      </c>
      <c r="P33">
        <v>67048</v>
      </c>
      <c r="Q33">
        <v>20397</v>
      </c>
    </row>
    <row r="34" spans="1:17" x14ac:dyDescent="0.4">
      <c r="A34">
        <v>20200101</v>
      </c>
      <c r="B34" t="s">
        <v>822</v>
      </c>
      <c r="C34">
        <v>0</v>
      </c>
      <c r="D34">
        <v>6</v>
      </c>
      <c r="E34">
        <v>10</v>
      </c>
      <c r="F34">
        <v>42142</v>
      </c>
      <c r="G34">
        <v>301</v>
      </c>
      <c r="H34">
        <v>0</v>
      </c>
      <c r="I34">
        <v>4</v>
      </c>
      <c r="J34">
        <v>13</v>
      </c>
      <c r="K34">
        <v>47700</v>
      </c>
      <c r="L34">
        <v>4700</v>
      </c>
      <c r="M34">
        <v>0</v>
      </c>
      <c r="N34">
        <v>3</v>
      </c>
      <c r="O34">
        <v>13</v>
      </c>
      <c r="P34">
        <v>52122</v>
      </c>
      <c r="Q34">
        <v>9841</v>
      </c>
    </row>
    <row r="35" spans="1:17" x14ac:dyDescent="0.4">
      <c r="A35">
        <v>20200201</v>
      </c>
      <c r="B35" t="s">
        <v>818</v>
      </c>
      <c r="C35">
        <v>0</v>
      </c>
      <c r="D35">
        <v>5</v>
      </c>
      <c r="E35">
        <v>7</v>
      </c>
      <c r="F35">
        <v>36488</v>
      </c>
      <c r="G35">
        <v>-446</v>
      </c>
      <c r="H35">
        <v>0</v>
      </c>
      <c r="I35">
        <v>4</v>
      </c>
      <c r="J35">
        <v>6</v>
      </c>
      <c r="K35">
        <v>36900</v>
      </c>
      <c r="L35">
        <v>48</v>
      </c>
      <c r="M35">
        <v>0</v>
      </c>
      <c r="N35">
        <v>3</v>
      </c>
      <c r="O35">
        <v>6</v>
      </c>
      <c r="P35">
        <v>28580</v>
      </c>
      <c r="Q35">
        <v>-4021</v>
      </c>
    </row>
    <row r="36" spans="1:17" x14ac:dyDescent="0.4">
      <c r="A36">
        <v>20200201</v>
      </c>
      <c r="B36" t="s">
        <v>819</v>
      </c>
      <c r="C36">
        <v>0</v>
      </c>
      <c r="D36">
        <v>11</v>
      </c>
      <c r="E36">
        <v>20</v>
      </c>
      <c r="F36">
        <v>57568</v>
      </c>
      <c r="G36">
        <v>6699</v>
      </c>
      <c r="H36">
        <v>0</v>
      </c>
      <c r="I36">
        <v>3</v>
      </c>
      <c r="J36">
        <v>17</v>
      </c>
      <c r="K36">
        <v>67000</v>
      </c>
      <c r="L36">
        <v>8000</v>
      </c>
      <c r="M36">
        <v>0</v>
      </c>
      <c r="N36">
        <v>3</v>
      </c>
      <c r="O36">
        <v>17</v>
      </c>
      <c r="P36">
        <v>69989</v>
      </c>
      <c r="Q36">
        <v>13949</v>
      </c>
    </row>
    <row r="37" spans="1:17" x14ac:dyDescent="0.4">
      <c r="A37">
        <v>20200201</v>
      </c>
      <c r="B37" t="s">
        <v>820</v>
      </c>
      <c r="C37">
        <v>0</v>
      </c>
      <c r="D37">
        <v>10</v>
      </c>
      <c r="E37">
        <v>12</v>
      </c>
      <c r="F37">
        <v>55096</v>
      </c>
      <c r="G37">
        <v>7233</v>
      </c>
      <c r="H37">
        <v>0</v>
      </c>
      <c r="I37">
        <v>5</v>
      </c>
      <c r="J37">
        <v>0</v>
      </c>
      <c r="K37">
        <v>65520</v>
      </c>
      <c r="L37">
        <v>10970</v>
      </c>
      <c r="M37">
        <v>0</v>
      </c>
      <c r="N37">
        <v>5</v>
      </c>
      <c r="O37">
        <v>10</v>
      </c>
      <c r="P37">
        <v>64859</v>
      </c>
      <c r="Q37">
        <v>13079</v>
      </c>
    </row>
    <row r="38" spans="1:17" x14ac:dyDescent="0.4">
      <c r="A38">
        <v>20200201</v>
      </c>
      <c r="B38" t="s">
        <v>821</v>
      </c>
      <c r="C38">
        <v>0</v>
      </c>
      <c r="D38">
        <v>6</v>
      </c>
      <c r="E38">
        <v>5</v>
      </c>
      <c r="F38">
        <v>24648</v>
      </c>
      <c r="G38">
        <v>-7849</v>
      </c>
      <c r="H38">
        <v>0</v>
      </c>
      <c r="I38">
        <v>3</v>
      </c>
      <c r="J38">
        <v>7</v>
      </c>
      <c r="K38">
        <v>36000</v>
      </c>
      <c r="L38">
        <v>-1000</v>
      </c>
      <c r="M38">
        <v>0</v>
      </c>
      <c r="N38">
        <v>2</v>
      </c>
      <c r="O38">
        <v>7</v>
      </c>
      <c r="P38">
        <v>33341</v>
      </c>
      <c r="Q38">
        <v>1358</v>
      </c>
    </row>
    <row r="39" spans="1:17" x14ac:dyDescent="0.4">
      <c r="A39">
        <v>20200201</v>
      </c>
      <c r="B39" t="s">
        <v>823</v>
      </c>
      <c r="C39">
        <v>0</v>
      </c>
      <c r="D39">
        <v>13</v>
      </c>
      <c r="E39">
        <v>15</v>
      </c>
      <c r="F39">
        <v>45884</v>
      </c>
      <c r="G39">
        <v>6080</v>
      </c>
      <c r="H39">
        <v>0</v>
      </c>
      <c r="I39">
        <v>5</v>
      </c>
      <c r="J39">
        <v>17</v>
      </c>
      <c r="K39">
        <v>57000</v>
      </c>
      <c r="L39">
        <v>6500</v>
      </c>
      <c r="M39">
        <v>0</v>
      </c>
      <c r="N39">
        <v>4</v>
      </c>
      <c r="O39">
        <v>17</v>
      </c>
      <c r="P39">
        <v>58143</v>
      </c>
      <c r="Q39">
        <v>15393</v>
      </c>
    </row>
    <row r="40" spans="1:17" x14ac:dyDescent="0.4">
      <c r="A40">
        <v>20200201</v>
      </c>
      <c r="B40" t="s">
        <v>822</v>
      </c>
      <c r="C40">
        <v>0</v>
      </c>
      <c r="D40">
        <v>10</v>
      </c>
      <c r="E40">
        <v>12</v>
      </c>
      <c r="F40">
        <v>34087</v>
      </c>
      <c r="G40">
        <v>372</v>
      </c>
      <c r="H40">
        <v>0</v>
      </c>
      <c r="I40">
        <v>6</v>
      </c>
      <c r="J40">
        <v>11</v>
      </c>
      <c r="K40">
        <v>46000</v>
      </c>
      <c r="L40">
        <v>2000</v>
      </c>
      <c r="M40">
        <v>0</v>
      </c>
      <c r="N40">
        <v>6</v>
      </c>
      <c r="O40">
        <v>11</v>
      </c>
      <c r="P40">
        <v>46356</v>
      </c>
      <c r="Q40">
        <v>8704</v>
      </c>
    </row>
    <row r="41" spans="1:17" x14ac:dyDescent="0.4">
      <c r="A41">
        <v>20200301</v>
      </c>
      <c r="B41" t="s">
        <v>818</v>
      </c>
      <c r="C41">
        <v>0</v>
      </c>
      <c r="D41">
        <v>6</v>
      </c>
      <c r="E41">
        <v>15</v>
      </c>
      <c r="F41">
        <v>36231</v>
      </c>
      <c r="G41">
        <v>1100</v>
      </c>
      <c r="H41">
        <v>0</v>
      </c>
      <c r="I41">
        <v>4</v>
      </c>
      <c r="J41">
        <v>14</v>
      </c>
      <c r="K41">
        <v>3700</v>
      </c>
      <c r="L41">
        <v>2030</v>
      </c>
      <c r="M41">
        <v>0</v>
      </c>
      <c r="N41">
        <v>2</v>
      </c>
      <c r="O41">
        <v>14</v>
      </c>
      <c r="P41">
        <v>36941</v>
      </c>
      <c r="Q41">
        <v>1289</v>
      </c>
    </row>
    <row r="42" spans="1:17" x14ac:dyDescent="0.4">
      <c r="A42">
        <v>20200301</v>
      </c>
      <c r="B42" t="s">
        <v>819</v>
      </c>
      <c r="C42">
        <v>0</v>
      </c>
      <c r="D42">
        <v>14</v>
      </c>
      <c r="E42">
        <v>19</v>
      </c>
      <c r="F42">
        <v>56632</v>
      </c>
      <c r="G42">
        <v>5694</v>
      </c>
      <c r="H42">
        <v>0</v>
      </c>
      <c r="I42">
        <v>8</v>
      </c>
      <c r="J42">
        <v>11</v>
      </c>
      <c r="K42">
        <v>70300</v>
      </c>
      <c r="L42">
        <v>8000</v>
      </c>
      <c r="M42">
        <v>0</v>
      </c>
      <c r="N42">
        <v>9</v>
      </c>
      <c r="O42">
        <v>11</v>
      </c>
      <c r="P42">
        <v>75350</v>
      </c>
      <c r="Q42">
        <v>15528</v>
      </c>
    </row>
    <row r="43" spans="1:17" x14ac:dyDescent="0.4">
      <c r="A43">
        <v>20200301</v>
      </c>
      <c r="B43" t="s">
        <v>820</v>
      </c>
      <c r="C43">
        <v>0</v>
      </c>
      <c r="D43">
        <v>11</v>
      </c>
      <c r="E43">
        <v>11</v>
      </c>
      <c r="F43">
        <v>40442</v>
      </c>
      <c r="G43">
        <v>984</v>
      </c>
      <c r="H43">
        <v>0</v>
      </c>
      <c r="I43">
        <v>5</v>
      </c>
      <c r="J43">
        <v>8</v>
      </c>
      <c r="K43">
        <v>51890</v>
      </c>
      <c r="L43">
        <v>1650</v>
      </c>
      <c r="M43">
        <v>0</v>
      </c>
      <c r="N43">
        <v>5</v>
      </c>
      <c r="O43">
        <v>8</v>
      </c>
      <c r="P43">
        <v>49367</v>
      </c>
      <c r="Q43">
        <v>3878</v>
      </c>
    </row>
    <row r="44" spans="1:17" x14ac:dyDescent="0.4">
      <c r="A44">
        <v>20200301</v>
      </c>
      <c r="B44" t="s">
        <v>821</v>
      </c>
      <c r="C44">
        <v>0</v>
      </c>
      <c r="D44">
        <v>6</v>
      </c>
      <c r="E44">
        <v>6</v>
      </c>
      <c r="F44">
        <v>24890</v>
      </c>
      <c r="G44">
        <v>1497</v>
      </c>
      <c r="H44">
        <v>0</v>
      </c>
      <c r="I44">
        <v>5</v>
      </c>
      <c r="J44">
        <v>4</v>
      </c>
      <c r="K44">
        <v>32500</v>
      </c>
      <c r="L44">
        <v>4800</v>
      </c>
      <c r="M44">
        <v>0</v>
      </c>
      <c r="N44">
        <v>5</v>
      </c>
      <c r="O44">
        <v>4</v>
      </c>
      <c r="P44">
        <v>32684</v>
      </c>
      <c r="Q44">
        <v>6098</v>
      </c>
    </row>
    <row r="45" spans="1:17" x14ac:dyDescent="0.4">
      <c r="A45">
        <v>20200301</v>
      </c>
      <c r="B45" t="s">
        <v>823</v>
      </c>
      <c r="C45">
        <v>0</v>
      </c>
      <c r="D45">
        <v>13</v>
      </c>
      <c r="E45">
        <v>14</v>
      </c>
      <c r="F45">
        <v>45863</v>
      </c>
      <c r="G45">
        <v>3791</v>
      </c>
      <c r="H45">
        <v>0</v>
      </c>
      <c r="I45">
        <v>6</v>
      </c>
      <c r="J45">
        <v>10</v>
      </c>
      <c r="K45">
        <v>44000</v>
      </c>
      <c r="L45">
        <v>1300</v>
      </c>
      <c r="M45">
        <v>0</v>
      </c>
      <c r="N45">
        <v>5</v>
      </c>
      <c r="O45">
        <v>10</v>
      </c>
      <c r="P45">
        <v>44302</v>
      </c>
      <c r="Q45">
        <v>4024</v>
      </c>
    </row>
    <row r="46" spans="1:17" x14ac:dyDescent="0.4">
      <c r="A46">
        <v>20200301</v>
      </c>
      <c r="B46" t="s">
        <v>822</v>
      </c>
      <c r="C46">
        <v>0</v>
      </c>
      <c r="D46">
        <v>10</v>
      </c>
      <c r="E46">
        <v>12</v>
      </c>
      <c r="F46">
        <v>35238</v>
      </c>
      <c r="G46">
        <v>-1367</v>
      </c>
      <c r="H46">
        <v>0</v>
      </c>
      <c r="I46">
        <v>6</v>
      </c>
      <c r="J46">
        <v>10</v>
      </c>
      <c r="K46">
        <v>46000</v>
      </c>
      <c r="L46">
        <v>2700</v>
      </c>
      <c r="M46">
        <v>0</v>
      </c>
      <c r="N46">
        <v>6</v>
      </c>
      <c r="O46">
        <v>10</v>
      </c>
      <c r="P46">
        <v>45061</v>
      </c>
      <c r="Q46">
        <v>7469</v>
      </c>
    </row>
    <row r="47" spans="1:17" x14ac:dyDescent="0.4">
      <c r="A47">
        <v>20200401</v>
      </c>
      <c r="B47" t="s">
        <v>818</v>
      </c>
      <c r="C47">
        <v>0</v>
      </c>
      <c r="D47">
        <v>6</v>
      </c>
      <c r="E47">
        <v>12</v>
      </c>
      <c r="F47">
        <v>31611</v>
      </c>
      <c r="G47">
        <v>289</v>
      </c>
      <c r="H47">
        <v>0</v>
      </c>
      <c r="I47">
        <v>3</v>
      </c>
      <c r="J47">
        <v>14</v>
      </c>
      <c r="K47">
        <v>32000</v>
      </c>
      <c r="L47">
        <v>680</v>
      </c>
      <c r="M47">
        <v>0</v>
      </c>
      <c r="N47">
        <v>0</v>
      </c>
      <c r="O47">
        <v>14</v>
      </c>
      <c r="P47">
        <v>31715</v>
      </c>
      <c r="Q47">
        <v>-184</v>
      </c>
    </row>
    <row r="48" spans="1:17" x14ac:dyDescent="0.4">
      <c r="A48">
        <v>20200401</v>
      </c>
      <c r="B48" t="s">
        <v>819</v>
      </c>
      <c r="C48">
        <v>0</v>
      </c>
      <c r="D48">
        <v>12</v>
      </c>
      <c r="E48">
        <v>19</v>
      </c>
      <c r="F48">
        <v>54935</v>
      </c>
      <c r="G48">
        <v>7879</v>
      </c>
      <c r="H48">
        <v>0</v>
      </c>
      <c r="I48">
        <v>6</v>
      </c>
      <c r="J48">
        <v>14</v>
      </c>
      <c r="K48">
        <v>59000</v>
      </c>
      <c r="L48">
        <v>6000</v>
      </c>
      <c r="M48">
        <v>0</v>
      </c>
      <c r="N48">
        <v>6</v>
      </c>
      <c r="O48">
        <v>14</v>
      </c>
      <c r="P48">
        <v>58043</v>
      </c>
      <c r="Q48">
        <v>7537</v>
      </c>
    </row>
    <row r="49" spans="1:17" x14ac:dyDescent="0.4">
      <c r="A49">
        <v>20200401</v>
      </c>
      <c r="B49" t="s">
        <v>820</v>
      </c>
      <c r="C49">
        <v>0</v>
      </c>
      <c r="D49">
        <v>10</v>
      </c>
      <c r="E49">
        <v>12</v>
      </c>
      <c r="F49">
        <v>40931</v>
      </c>
      <c r="G49">
        <v>3483</v>
      </c>
      <c r="H49">
        <v>0</v>
      </c>
      <c r="I49">
        <v>4</v>
      </c>
      <c r="J49">
        <v>8</v>
      </c>
      <c r="K49">
        <v>48024</v>
      </c>
      <c r="L49">
        <v>3500</v>
      </c>
      <c r="M49">
        <v>0</v>
      </c>
      <c r="N49">
        <v>4</v>
      </c>
      <c r="O49">
        <v>8</v>
      </c>
      <c r="P49">
        <v>47444</v>
      </c>
      <c r="Q49">
        <v>5039</v>
      </c>
    </row>
    <row r="50" spans="1:17" x14ac:dyDescent="0.4">
      <c r="A50">
        <v>20200401</v>
      </c>
      <c r="B50" t="s">
        <v>821</v>
      </c>
      <c r="C50">
        <v>0</v>
      </c>
      <c r="D50">
        <v>6</v>
      </c>
      <c r="E50">
        <v>4</v>
      </c>
      <c r="F50">
        <v>23449</v>
      </c>
      <c r="G50">
        <v>1237</v>
      </c>
      <c r="H50">
        <v>0</v>
      </c>
      <c r="I50">
        <v>2</v>
      </c>
      <c r="J50">
        <v>4</v>
      </c>
      <c r="K50">
        <v>25250</v>
      </c>
      <c r="L50">
        <v>400</v>
      </c>
      <c r="M50">
        <v>0</v>
      </c>
      <c r="N50">
        <v>2</v>
      </c>
      <c r="O50">
        <v>4</v>
      </c>
      <c r="P50">
        <v>24783</v>
      </c>
      <c r="Q50">
        <v>3704</v>
      </c>
    </row>
    <row r="51" spans="1:17" x14ac:dyDescent="0.4">
      <c r="A51">
        <v>20200401</v>
      </c>
      <c r="B51" t="s">
        <v>823</v>
      </c>
      <c r="C51">
        <v>0</v>
      </c>
      <c r="D51">
        <v>13</v>
      </c>
      <c r="E51">
        <v>15</v>
      </c>
      <c r="F51">
        <v>47016</v>
      </c>
      <c r="G51">
        <v>-5981</v>
      </c>
      <c r="H51">
        <v>0</v>
      </c>
      <c r="I51">
        <v>3</v>
      </c>
      <c r="J51">
        <v>20</v>
      </c>
      <c r="K51">
        <v>52000</v>
      </c>
      <c r="L51">
        <v>2900</v>
      </c>
      <c r="M51">
        <v>0</v>
      </c>
      <c r="N51">
        <v>1</v>
      </c>
      <c r="O51">
        <v>20</v>
      </c>
      <c r="P51">
        <v>47310</v>
      </c>
      <c r="Q51">
        <v>8636</v>
      </c>
    </row>
    <row r="52" spans="1:17" x14ac:dyDescent="0.4">
      <c r="A52">
        <v>20200401</v>
      </c>
      <c r="B52" t="s">
        <v>822</v>
      </c>
      <c r="C52">
        <v>0</v>
      </c>
      <c r="D52">
        <v>8</v>
      </c>
      <c r="E52">
        <v>12</v>
      </c>
      <c r="F52">
        <v>33196</v>
      </c>
      <c r="G52">
        <v>1492</v>
      </c>
      <c r="H52">
        <v>0</v>
      </c>
      <c r="I52">
        <v>7</v>
      </c>
      <c r="J52">
        <v>4</v>
      </c>
      <c r="K52">
        <v>33800</v>
      </c>
      <c r="L52">
        <v>-2000</v>
      </c>
      <c r="M52">
        <v>0</v>
      </c>
      <c r="N52">
        <v>7</v>
      </c>
      <c r="O52">
        <v>4</v>
      </c>
      <c r="P52">
        <v>33192</v>
      </c>
      <c r="Q52">
        <v>-75</v>
      </c>
    </row>
    <row r="53" spans="1:17" x14ac:dyDescent="0.4">
      <c r="A53">
        <v>20200501</v>
      </c>
      <c r="B53" t="s">
        <v>818</v>
      </c>
      <c r="C53">
        <v>0</v>
      </c>
      <c r="D53">
        <v>5</v>
      </c>
      <c r="E53">
        <v>6</v>
      </c>
      <c r="F53">
        <v>24887</v>
      </c>
      <c r="G53">
        <v>-5029</v>
      </c>
      <c r="H53">
        <v>0</v>
      </c>
      <c r="I53">
        <v>1</v>
      </c>
      <c r="J53">
        <v>8</v>
      </c>
      <c r="K53">
        <v>23560</v>
      </c>
      <c r="L53">
        <v>-5530</v>
      </c>
      <c r="M53">
        <v>0</v>
      </c>
      <c r="N53">
        <v>0</v>
      </c>
      <c r="O53">
        <v>8</v>
      </c>
      <c r="P53">
        <v>20725</v>
      </c>
      <c r="Q53">
        <v>-7424</v>
      </c>
    </row>
    <row r="54" spans="1:17" x14ac:dyDescent="0.4">
      <c r="A54">
        <v>20200501</v>
      </c>
      <c r="B54" t="s">
        <v>819</v>
      </c>
      <c r="C54">
        <v>0</v>
      </c>
      <c r="D54">
        <v>12</v>
      </c>
      <c r="E54">
        <v>19</v>
      </c>
      <c r="F54">
        <v>55064</v>
      </c>
      <c r="G54">
        <v>8970</v>
      </c>
      <c r="H54">
        <v>0</v>
      </c>
      <c r="I54">
        <v>5</v>
      </c>
      <c r="J54">
        <v>13</v>
      </c>
      <c r="K54">
        <v>50300</v>
      </c>
      <c r="L54">
        <v>300</v>
      </c>
      <c r="M54">
        <v>0</v>
      </c>
      <c r="N54">
        <v>5</v>
      </c>
      <c r="O54">
        <v>13</v>
      </c>
      <c r="P54">
        <v>50404</v>
      </c>
      <c r="Q54">
        <v>926</v>
      </c>
    </row>
    <row r="55" spans="1:17" x14ac:dyDescent="0.4">
      <c r="A55">
        <v>20200501</v>
      </c>
      <c r="B55" t="s">
        <v>820</v>
      </c>
      <c r="C55">
        <v>0</v>
      </c>
      <c r="D55">
        <v>10</v>
      </c>
      <c r="E55">
        <v>13</v>
      </c>
      <c r="F55">
        <v>41192</v>
      </c>
      <c r="G55">
        <v>4914</v>
      </c>
      <c r="H55">
        <v>0</v>
      </c>
      <c r="I55">
        <v>5</v>
      </c>
      <c r="J55">
        <v>6</v>
      </c>
      <c r="K55">
        <v>40100</v>
      </c>
      <c r="L55">
        <v>0</v>
      </c>
      <c r="M55">
        <v>0</v>
      </c>
      <c r="N55">
        <v>5</v>
      </c>
      <c r="O55">
        <v>6</v>
      </c>
      <c r="P55">
        <v>40363</v>
      </c>
      <c r="Q55">
        <v>914</v>
      </c>
    </row>
    <row r="56" spans="1:17" x14ac:dyDescent="0.4">
      <c r="A56">
        <v>20200501</v>
      </c>
      <c r="B56" t="s">
        <v>821</v>
      </c>
      <c r="C56">
        <v>0</v>
      </c>
      <c r="D56">
        <v>7</v>
      </c>
      <c r="E56">
        <v>6</v>
      </c>
      <c r="F56">
        <v>27140</v>
      </c>
      <c r="G56">
        <v>4598</v>
      </c>
      <c r="H56">
        <v>0</v>
      </c>
      <c r="I56">
        <v>1</v>
      </c>
      <c r="J56">
        <v>8</v>
      </c>
      <c r="K56">
        <v>25000</v>
      </c>
      <c r="L56">
        <v>550</v>
      </c>
      <c r="M56">
        <v>0</v>
      </c>
      <c r="N56">
        <v>1</v>
      </c>
      <c r="O56">
        <v>8</v>
      </c>
      <c r="P56">
        <v>25113</v>
      </c>
      <c r="Q56">
        <v>2915</v>
      </c>
    </row>
    <row r="57" spans="1:17" x14ac:dyDescent="0.4">
      <c r="A57">
        <v>20200501</v>
      </c>
      <c r="B57" t="s">
        <v>823</v>
      </c>
      <c r="C57">
        <v>0</v>
      </c>
      <c r="D57">
        <v>13</v>
      </c>
      <c r="E57">
        <v>16</v>
      </c>
      <c r="F57">
        <v>47360</v>
      </c>
      <c r="G57">
        <v>8864</v>
      </c>
      <c r="H57">
        <v>0</v>
      </c>
      <c r="I57">
        <v>4</v>
      </c>
      <c r="J57">
        <v>10</v>
      </c>
      <c r="K57">
        <v>43000</v>
      </c>
      <c r="L57">
        <v>4000</v>
      </c>
      <c r="M57">
        <v>0</v>
      </c>
      <c r="N57">
        <v>4</v>
      </c>
      <c r="O57">
        <v>9</v>
      </c>
      <c r="P57">
        <v>39077</v>
      </c>
      <c r="Q57">
        <v>-507</v>
      </c>
    </row>
    <row r="58" spans="1:17" x14ac:dyDescent="0.4">
      <c r="A58">
        <v>20200501</v>
      </c>
      <c r="B58" t="s">
        <v>822</v>
      </c>
      <c r="C58">
        <v>0</v>
      </c>
      <c r="D58">
        <v>8</v>
      </c>
      <c r="E58">
        <v>12</v>
      </c>
      <c r="F58">
        <v>32438</v>
      </c>
      <c r="G58">
        <v>-12281</v>
      </c>
      <c r="H58">
        <v>0</v>
      </c>
      <c r="I58">
        <v>3</v>
      </c>
      <c r="J58">
        <v>6</v>
      </c>
      <c r="K58">
        <v>27000</v>
      </c>
      <c r="L58">
        <v>-12000</v>
      </c>
      <c r="M58">
        <v>0</v>
      </c>
      <c r="N58">
        <v>3</v>
      </c>
      <c r="O58">
        <v>6</v>
      </c>
      <c r="P58">
        <v>26505</v>
      </c>
      <c r="Q58">
        <v>-1936</v>
      </c>
    </row>
    <row r="59" spans="1:17" x14ac:dyDescent="0.4">
      <c r="A59">
        <v>20200601</v>
      </c>
      <c r="B59" t="s">
        <v>818</v>
      </c>
      <c r="C59">
        <v>0</v>
      </c>
      <c r="D59">
        <v>6</v>
      </c>
      <c r="E59">
        <v>10</v>
      </c>
      <c r="F59">
        <v>31003</v>
      </c>
      <c r="G59">
        <v>-527</v>
      </c>
      <c r="H59">
        <v>0</v>
      </c>
      <c r="I59">
        <v>1</v>
      </c>
      <c r="J59">
        <v>9</v>
      </c>
      <c r="K59">
        <v>24140</v>
      </c>
      <c r="L59">
        <v>-4960</v>
      </c>
      <c r="M59">
        <v>0</v>
      </c>
      <c r="N59">
        <v>0</v>
      </c>
      <c r="O59">
        <v>9</v>
      </c>
      <c r="P59">
        <v>21482</v>
      </c>
      <c r="Q59">
        <v>-12610</v>
      </c>
    </row>
    <row r="60" spans="1:17" x14ac:dyDescent="0.4">
      <c r="A60">
        <v>20200601</v>
      </c>
      <c r="B60" t="s">
        <v>819</v>
      </c>
      <c r="C60">
        <v>0</v>
      </c>
      <c r="D60">
        <v>14</v>
      </c>
      <c r="E60">
        <v>12</v>
      </c>
      <c r="F60">
        <v>50902</v>
      </c>
      <c r="G60">
        <v>886</v>
      </c>
      <c r="H60">
        <v>0</v>
      </c>
      <c r="I60">
        <v>4</v>
      </c>
      <c r="J60">
        <v>10</v>
      </c>
      <c r="K60">
        <v>47000</v>
      </c>
      <c r="L60">
        <v>-1700</v>
      </c>
      <c r="M60">
        <v>0</v>
      </c>
      <c r="N60">
        <v>4</v>
      </c>
      <c r="O60">
        <v>10</v>
      </c>
      <c r="P60">
        <v>44029</v>
      </c>
      <c r="Q60">
        <v>-13586</v>
      </c>
    </row>
    <row r="61" spans="1:17" x14ac:dyDescent="0.4">
      <c r="A61">
        <v>20200601</v>
      </c>
      <c r="B61" t="s">
        <v>820</v>
      </c>
      <c r="C61">
        <v>0</v>
      </c>
      <c r="D61">
        <v>10</v>
      </c>
      <c r="E61">
        <v>14</v>
      </c>
      <c r="F61">
        <v>43214</v>
      </c>
      <c r="G61">
        <v>5840</v>
      </c>
      <c r="H61">
        <v>0</v>
      </c>
      <c r="I61">
        <v>4</v>
      </c>
      <c r="J61">
        <v>8</v>
      </c>
      <c r="K61">
        <v>42700</v>
      </c>
      <c r="L61">
        <v>420</v>
      </c>
      <c r="M61">
        <v>0</v>
      </c>
      <c r="N61">
        <v>5</v>
      </c>
      <c r="O61">
        <v>8</v>
      </c>
      <c r="P61">
        <v>42903</v>
      </c>
      <c r="Q61">
        <v>-11551</v>
      </c>
    </row>
    <row r="62" spans="1:17" x14ac:dyDescent="0.4">
      <c r="A62">
        <v>20200601</v>
      </c>
      <c r="B62" t="s">
        <v>821</v>
      </c>
      <c r="C62">
        <v>0</v>
      </c>
      <c r="D62">
        <v>7</v>
      </c>
      <c r="E62">
        <v>7</v>
      </c>
      <c r="F62">
        <v>27606</v>
      </c>
      <c r="G62">
        <v>5003</v>
      </c>
      <c r="H62">
        <v>0</v>
      </c>
      <c r="I62">
        <v>2</v>
      </c>
      <c r="J62">
        <v>4</v>
      </c>
      <c r="K62">
        <v>25500</v>
      </c>
      <c r="L62">
        <v>1130</v>
      </c>
      <c r="M62">
        <v>0</v>
      </c>
      <c r="N62">
        <v>2</v>
      </c>
      <c r="O62">
        <v>4</v>
      </c>
      <c r="P62">
        <v>25380</v>
      </c>
      <c r="Q62">
        <v>-3045</v>
      </c>
    </row>
    <row r="63" spans="1:17" x14ac:dyDescent="0.4">
      <c r="A63">
        <v>20200601</v>
      </c>
      <c r="B63" t="s">
        <v>823</v>
      </c>
      <c r="C63">
        <v>0</v>
      </c>
      <c r="D63">
        <v>13</v>
      </c>
      <c r="E63">
        <v>15</v>
      </c>
      <c r="F63">
        <v>47024</v>
      </c>
      <c r="G63">
        <v>7523</v>
      </c>
      <c r="H63">
        <v>0</v>
      </c>
      <c r="I63">
        <v>4</v>
      </c>
      <c r="J63">
        <v>12</v>
      </c>
      <c r="K63">
        <v>43000</v>
      </c>
      <c r="L63">
        <v>3000</v>
      </c>
      <c r="M63">
        <v>0</v>
      </c>
      <c r="N63">
        <v>3</v>
      </c>
      <c r="O63">
        <v>13</v>
      </c>
      <c r="P63">
        <v>34869</v>
      </c>
      <c r="Q63">
        <v>-10301</v>
      </c>
    </row>
    <row r="64" spans="1:17" x14ac:dyDescent="0.4">
      <c r="A64">
        <v>20200601</v>
      </c>
      <c r="B64" t="s">
        <v>822</v>
      </c>
      <c r="C64">
        <v>0</v>
      </c>
      <c r="D64">
        <v>10</v>
      </c>
      <c r="E64">
        <v>12</v>
      </c>
      <c r="F64">
        <v>36657</v>
      </c>
      <c r="G64">
        <v>2287</v>
      </c>
      <c r="H64">
        <v>0</v>
      </c>
      <c r="I64">
        <v>3</v>
      </c>
      <c r="J64">
        <v>6</v>
      </c>
      <c r="K64">
        <v>29400</v>
      </c>
      <c r="L64">
        <v>-5000</v>
      </c>
      <c r="M64">
        <v>0</v>
      </c>
      <c r="N64">
        <v>3</v>
      </c>
      <c r="O64">
        <v>6</v>
      </c>
      <c r="P64">
        <v>28612</v>
      </c>
      <c r="Q64">
        <v>-11210</v>
      </c>
    </row>
    <row r="65" spans="1:17" x14ac:dyDescent="0.4">
      <c r="A65">
        <v>20200701</v>
      </c>
      <c r="B65" t="s">
        <v>818</v>
      </c>
      <c r="C65">
        <v>0</v>
      </c>
      <c r="D65">
        <v>6</v>
      </c>
      <c r="E65">
        <v>8</v>
      </c>
      <c r="F65">
        <v>29356</v>
      </c>
      <c r="G65">
        <v>-3328</v>
      </c>
      <c r="H65">
        <v>0</v>
      </c>
      <c r="I65">
        <v>3</v>
      </c>
      <c r="J65">
        <v>7</v>
      </c>
      <c r="K65">
        <v>27900</v>
      </c>
      <c r="L65">
        <v>-4763</v>
      </c>
      <c r="M65">
        <v>0</v>
      </c>
      <c r="N65">
        <v>2</v>
      </c>
      <c r="O65">
        <v>7</v>
      </c>
      <c r="P65">
        <v>25787</v>
      </c>
      <c r="Q65">
        <v>0</v>
      </c>
    </row>
    <row r="66" spans="1:17" x14ac:dyDescent="0.4">
      <c r="A66">
        <v>20200701</v>
      </c>
      <c r="B66" t="s">
        <v>819</v>
      </c>
      <c r="C66">
        <v>0</v>
      </c>
      <c r="D66">
        <v>14</v>
      </c>
      <c r="E66">
        <v>14</v>
      </c>
      <c r="F66">
        <v>52849</v>
      </c>
      <c r="G66">
        <v>1383</v>
      </c>
      <c r="H66">
        <v>0</v>
      </c>
      <c r="I66">
        <v>4</v>
      </c>
      <c r="J66">
        <v>14</v>
      </c>
      <c r="K66">
        <v>49500</v>
      </c>
      <c r="L66">
        <v>-500</v>
      </c>
      <c r="M66">
        <v>0</v>
      </c>
      <c r="N66">
        <v>4</v>
      </c>
      <c r="O66">
        <v>14</v>
      </c>
      <c r="P66">
        <v>50199</v>
      </c>
      <c r="Q66">
        <v>-2135</v>
      </c>
    </row>
    <row r="67" spans="1:17" x14ac:dyDescent="0.4">
      <c r="A67">
        <v>20200701</v>
      </c>
      <c r="B67" t="s">
        <v>820</v>
      </c>
      <c r="C67">
        <v>0</v>
      </c>
      <c r="D67">
        <v>11</v>
      </c>
      <c r="E67">
        <v>11</v>
      </c>
      <c r="F67">
        <v>41329</v>
      </c>
      <c r="G67">
        <v>3605</v>
      </c>
      <c r="H67">
        <v>0</v>
      </c>
      <c r="I67">
        <v>4</v>
      </c>
      <c r="J67">
        <v>9</v>
      </c>
      <c r="K67">
        <v>53220</v>
      </c>
      <c r="L67">
        <v>5007</v>
      </c>
      <c r="M67">
        <v>0</v>
      </c>
      <c r="N67">
        <v>4</v>
      </c>
      <c r="O67">
        <v>9</v>
      </c>
      <c r="P67">
        <v>53903</v>
      </c>
      <c r="Q67">
        <v>4102</v>
      </c>
    </row>
    <row r="68" spans="1:17" x14ac:dyDescent="0.4">
      <c r="A68">
        <v>20200701</v>
      </c>
      <c r="B68" t="s">
        <v>821</v>
      </c>
      <c r="C68">
        <v>0</v>
      </c>
      <c r="D68">
        <v>6</v>
      </c>
      <c r="E68">
        <v>7</v>
      </c>
      <c r="F68">
        <v>26925</v>
      </c>
      <c r="G68">
        <v>3384</v>
      </c>
      <c r="H68">
        <v>0</v>
      </c>
      <c r="I68">
        <v>1</v>
      </c>
      <c r="J68">
        <v>7</v>
      </c>
      <c r="K68">
        <v>24500</v>
      </c>
      <c r="L68">
        <v>-842</v>
      </c>
      <c r="M68">
        <v>0</v>
      </c>
      <c r="N68">
        <v>0</v>
      </c>
      <c r="O68">
        <v>7</v>
      </c>
      <c r="P68">
        <v>21584</v>
      </c>
      <c r="Q68">
        <v>-1632</v>
      </c>
    </row>
    <row r="69" spans="1:17" x14ac:dyDescent="0.4">
      <c r="A69">
        <v>20200701</v>
      </c>
      <c r="B69" t="s">
        <v>823</v>
      </c>
      <c r="C69">
        <v>0</v>
      </c>
      <c r="D69">
        <v>13</v>
      </c>
      <c r="E69">
        <v>15</v>
      </c>
      <c r="F69">
        <v>46943</v>
      </c>
      <c r="G69">
        <v>7317</v>
      </c>
      <c r="H69">
        <v>0</v>
      </c>
      <c r="I69">
        <v>6</v>
      </c>
      <c r="J69">
        <v>11</v>
      </c>
      <c r="K69">
        <v>47000</v>
      </c>
      <c r="L69">
        <v>6000</v>
      </c>
      <c r="M69">
        <v>0</v>
      </c>
      <c r="N69">
        <v>5</v>
      </c>
      <c r="O69">
        <v>11</v>
      </c>
      <c r="P69">
        <v>38109</v>
      </c>
      <c r="Q69">
        <v>-2549</v>
      </c>
    </row>
    <row r="70" spans="1:17" x14ac:dyDescent="0.4">
      <c r="A70">
        <v>20200701</v>
      </c>
      <c r="B70" t="s">
        <v>822</v>
      </c>
      <c r="C70">
        <v>0</v>
      </c>
      <c r="D70">
        <v>10</v>
      </c>
      <c r="E70">
        <v>13</v>
      </c>
      <c r="F70">
        <v>37712</v>
      </c>
      <c r="G70">
        <v>818</v>
      </c>
      <c r="H70">
        <v>0</v>
      </c>
      <c r="I70">
        <v>4</v>
      </c>
      <c r="J70">
        <v>15</v>
      </c>
      <c r="K70">
        <v>38000</v>
      </c>
      <c r="L70">
        <v>2000</v>
      </c>
      <c r="M70">
        <v>0</v>
      </c>
      <c r="N70">
        <v>2</v>
      </c>
      <c r="O70">
        <v>15</v>
      </c>
      <c r="P70">
        <v>34876</v>
      </c>
      <c r="Q70">
        <v>-2158</v>
      </c>
    </row>
    <row r="71" spans="1:17" x14ac:dyDescent="0.4">
      <c r="A71">
        <v>20200801</v>
      </c>
      <c r="B71" t="s">
        <v>818</v>
      </c>
      <c r="C71">
        <v>0</v>
      </c>
      <c r="D71">
        <v>1</v>
      </c>
      <c r="E71">
        <v>6</v>
      </c>
      <c r="F71">
        <v>20400</v>
      </c>
      <c r="G71">
        <v>-8988</v>
      </c>
      <c r="H71">
        <v>0</v>
      </c>
      <c r="I71">
        <v>3</v>
      </c>
      <c r="J71">
        <v>6</v>
      </c>
      <c r="K71">
        <v>26253</v>
      </c>
      <c r="L71">
        <v>-3248</v>
      </c>
      <c r="M71">
        <v>0</v>
      </c>
      <c r="N71">
        <v>1</v>
      </c>
      <c r="O71">
        <v>7</v>
      </c>
      <c r="P71">
        <v>23021</v>
      </c>
      <c r="Q71">
        <v>-4389</v>
      </c>
    </row>
    <row r="72" spans="1:17" x14ac:dyDescent="0.4">
      <c r="A72">
        <v>20200801</v>
      </c>
      <c r="B72" t="s">
        <v>819</v>
      </c>
      <c r="C72">
        <v>0</v>
      </c>
      <c r="D72">
        <v>5</v>
      </c>
      <c r="E72">
        <v>11</v>
      </c>
      <c r="F72">
        <v>43235</v>
      </c>
      <c r="G72">
        <v>-1349</v>
      </c>
      <c r="H72">
        <v>0</v>
      </c>
      <c r="I72">
        <v>5</v>
      </c>
      <c r="J72">
        <v>11</v>
      </c>
      <c r="K72">
        <v>45620</v>
      </c>
      <c r="L72">
        <v>-1300</v>
      </c>
      <c r="M72">
        <v>0</v>
      </c>
      <c r="N72">
        <v>4</v>
      </c>
      <c r="O72">
        <v>11</v>
      </c>
      <c r="P72">
        <v>44487</v>
      </c>
      <c r="Q72">
        <v>1236</v>
      </c>
    </row>
    <row r="73" spans="1:17" x14ac:dyDescent="0.4">
      <c r="A73">
        <v>20200801</v>
      </c>
      <c r="B73" t="s">
        <v>820</v>
      </c>
      <c r="C73">
        <v>0</v>
      </c>
      <c r="D73">
        <v>4</v>
      </c>
      <c r="E73">
        <v>12</v>
      </c>
      <c r="F73">
        <v>40021</v>
      </c>
      <c r="G73">
        <v>576</v>
      </c>
      <c r="H73">
        <v>0</v>
      </c>
      <c r="I73">
        <v>4</v>
      </c>
      <c r="J73">
        <v>14</v>
      </c>
      <c r="K73">
        <v>48015</v>
      </c>
      <c r="L73">
        <v>40471</v>
      </c>
      <c r="M73">
        <v>0</v>
      </c>
      <c r="N73">
        <v>3</v>
      </c>
      <c r="O73">
        <v>14</v>
      </c>
      <c r="P73">
        <v>46101</v>
      </c>
      <c r="Q73">
        <v>5989</v>
      </c>
    </row>
    <row r="74" spans="1:17" x14ac:dyDescent="0.4">
      <c r="A74">
        <v>20200801</v>
      </c>
      <c r="B74" t="s">
        <v>821</v>
      </c>
      <c r="C74">
        <v>0</v>
      </c>
      <c r="D74">
        <v>2</v>
      </c>
      <c r="E74">
        <v>7</v>
      </c>
      <c r="F74">
        <v>23750</v>
      </c>
      <c r="G74">
        <v>2984</v>
      </c>
      <c r="H74">
        <v>0</v>
      </c>
      <c r="I74">
        <v>1</v>
      </c>
      <c r="J74">
        <v>8</v>
      </c>
      <c r="K74">
        <v>25000</v>
      </c>
      <c r="L74">
        <v>3000</v>
      </c>
      <c r="M74">
        <v>0</v>
      </c>
      <c r="N74">
        <v>1</v>
      </c>
      <c r="O74">
        <v>8</v>
      </c>
      <c r="P74">
        <v>25496</v>
      </c>
      <c r="Q74">
        <v>2945</v>
      </c>
    </row>
    <row r="75" spans="1:17" x14ac:dyDescent="0.4">
      <c r="A75">
        <v>20200801</v>
      </c>
      <c r="B75" t="s">
        <v>823</v>
      </c>
      <c r="C75">
        <v>0</v>
      </c>
      <c r="D75">
        <v>4</v>
      </c>
      <c r="E75">
        <v>8</v>
      </c>
      <c r="F75">
        <v>30803</v>
      </c>
      <c r="G75">
        <v>-3589</v>
      </c>
      <c r="H75">
        <v>0</v>
      </c>
      <c r="I75">
        <v>8</v>
      </c>
      <c r="J75">
        <v>0</v>
      </c>
      <c r="K75">
        <v>32500</v>
      </c>
      <c r="L75">
        <v>-3900</v>
      </c>
      <c r="M75">
        <v>0</v>
      </c>
      <c r="N75">
        <v>7</v>
      </c>
      <c r="O75">
        <v>4</v>
      </c>
      <c r="P75">
        <v>30183</v>
      </c>
      <c r="Q75">
        <v>-3589</v>
      </c>
    </row>
    <row r="76" spans="1:17" x14ac:dyDescent="0.4">
      <c r="A76">
        <v>20200801</v>
      </c>
      <c r="B76" t="s">
        <v>822</v>
      </c>
      <c r="C76">
        <v>0</v>
      </c>
      <c r="D76">
        <v>7</v>
      </c>
      <c r="E76">
        <v>4</v>
      </c>
      <c r="F76">
        <v>33940</v>
      </c>
      <c r="G76">
        <v>-4711</v>
      </c>
      <c r="H76">
        <v>0</v>
      </c>
      <c r="I76">
        <v>4</v>
      </c>
      <c r="J76">
        <v>7</v>
      </c>
      <c r="K76">
        <v>29000</v>
      </c>
      <c r="L76">
        <v>-6000</v>
      </c>
      <c r="M76">
        <v>0</v>
      </c>
      <c r="N76">
        <v>3</v>
      </c>
      <c r="O76">
        <v>7</v>
      </c>
      <c r="P76">
        <v>28420</v>
      </c>
      <c r="Q76">
        <v>-3163</v>
      </c>
    </row>
    <row r="77" spans="1:17" x14ac:dyDescent="0.4">
      <c r="A77">
        <v>20200901</v>
      </c>
      <c r="B77" t="s">
        <v>818</v>
      </c>
      <c r="C77">
        <v>0</v>
      </c>
      <c r="D77">
        <v>1</v>
      </c>
      <c r="E77">
        <v>4</v>
      </c>
      <c r="F77">
        <v>20459</v>
      </c>
      <c r="G77">
        <v>-9848</v>
      </c>
      <c r="H77">
        <v>0</v>
      </c>
      <c r="I77">
        <v>1</v>
      </c>
      <c r="J77">
        <v>5</v>
      </c>
      <c r="K77">
        <v>20500</v>
      </c>
      <c r="L77">
        <v>-2481</v>
      </c>
      <c r="M77">
        <v>0</v>
      </c>
      <c r="N77">
        <v>1</v>
      </c>
      <c r="O77">
        <v>6</v>
      </c>
      <c r="P77">
        <v>21468</v>
      </c>
      <c r="Q77">
        <v>-8263</v>
      </c>
    </row>
    <row r="78" spans="1:17" x14ac:dyDescent="0.4">
      <c r="A78">
        <v>20200901</v>
      </c>
      <c r="B78" t="s">
        <v>819</v>
      </c>
      <c r="C78">
        <v>0</v>
      </c>
      <c r="D78">
        <v>5</v>
      </c>
      <c r="E78">
        <v>10</v>
      </c>
      <c r="F78">
        <v>47849</v>
      </c>
      <c r="G78">
        <v>1602</v>
      </c>
      <c r="H78">
        <v>0</v>
      </c>
      <c r="I78">
        <v>4</v>
      </c>
      <c r="J78">
        <v>12</v>
      </c>
      <c r="K78">
        <v>52000</v>
      </c>
      <c r="L78">
        <v>2287</v>
      </c>
      <c r="M78">
        <v>0</v>
      </c>
      <c r="N78">
        <v>4</v>
      </c>
      <c r="O78">
        <v>12</v>
      </c>
      <c r="P78">
        <v>52823</v>
      </c>
      <c r="Q78">
        <v>3665</v>
      </c>
    </row>
    <row r="79" spans="1:17" x14ac:dyDescent="0.4">
      <c r="A79">
        <v>20200901</v>
      </c>
      <c r="B79" t="s">
        <v>820</v>
      </c>
      <c r="C79">
        <v>0</v>
      </c>
      <c r="D79">
        <v>4</v>
      </c>
      <c r="E79">
        <v>11</v>
      </c>
      <c r="F79">
        <v>39168</v>
      </c>
      <c r="G79">
        <v>-1650</v>
      </c>
      <c r="H79">
        <v>0</v>
      </c>
      <c r="I79">
        <v>4</v>
      </c>
      <c r="J79">
        <v>13</v>
      </c>
      <c r="K79">
        <v>43000</v>
      </c>
      <c r="L79">
        <v>2300</v>
      </c>
      <c r="M79">
        <v>0</v>
      </c>
      <c r="N79">
        <v>3</v>
      </c>
      <c r="O79">
        <v>13</v>
      </c>
      <c r="P79">
        <v>42583</v>
      </c>
      <c r="Q79">
        <v>3920</v>
      </c>
    </row>
    <row r="80" spans="1:17" x14ac:dyDescent="0.4">
      <c r="A80">
        <v>20200901</v>
      </c>
      <c r="B80" t="s">
        <v>821</v>
      </c>
      <c r="C80">
        <v>0</v>
      </c>
      <c r="D80">
        <v>3</v>
      </c>
      <c r="E80">
        <v>6</v>
      </c>
      <c r="F80">
        <v>24099</v>
      </c>
      <c r="G80">
        <v>2851</v>
      </c>
      <c r="H80">
        <v>0</v>
      </c>
      <c r="I80">
        <v>1</v>
      </c>
      <c r="J80">
        <v>9</v>
      </c>
      <c r="K80">
        <v>24000</v>
      </c>
      <c r="L80">
        <v>2000</v>
      </c>
      <c r="M80">
        <v>0</v>
      </c>
      <c r="N80">
        <v>0</v>
      </c>
      <c r="O80">
        <v>9</v>
      </c>
      <c r="P80">
        <v>23121</v>
      </c>
      <c r="Q80">
        <v>1967</v>
      </c>
    </row>
    <row r="81" spans="1:17" x14ac:dyDescent="0.4">
      <c r="A81">
        <v>20200901</v>
      </c>
      <c r="B81" t="s">
        <v>823</v>
      </c>
      <c r="C81">
        <v>0</v>
      </c>
      <c r="D81">
        <v>6</v>
      </c>
      <c r="E81">
        <v>8</v>
      </c>
      <c r="F81">
        <v>33036</v>
      </c>
      <c r="G81">
        <v>-3409</v>
      </c>
      <c r="H81">
        <v>0</v>
      </c>
      <c r="I81">
        <v>4</v>
      </c>
      <c r="J81">
        <v>8</v>
      </c>
      <c r="K81">
        <v>34000</v>
      </c>
      <c r="L81">
        <v>-3000</v>
      </c>
      <c r="M81">
        <v>0</v>
      </c>
      <c r="N81">
        <v>3</v>
      </c>
      <c r="O81">
        <v>8</v>
      </c>
      <c r="P81">
        <v>33629</v>
      </c>
      <c r="Q81">
        <v>-3365</v>
      </c>
    </row>
    <row r="82" spans="1:17" x14ac:dyDescent="0.4">
      <c r="A82">
        <v>20200901</v>
      </c>
      <c r="B82" t="s">
        <v>822</v>
      </c>
      <c r="C82">
        <v>0</v>
      </c>
      <c r="D82">
        <v>7</v>
      </c>
      <c r="E82">
        <v>5</v>
      </c>
      <c r="F82">
        <v>31119</v>
      </c>
      <c r="G82">
        <v>-4244</v>
      </c>
      <c r="H82">
        <v>0</v>
      </c>
      <c r="I82">
        <v>7</v>
      </c>
      <c r="J82">
        <v>4</v>
      </c>
      <c r="K82">
        <v>32000</v>
      </c>
      <c r="L82">
        <v>-5000</v>
      </c>
      <c r="M82">
        <v>0</v>
      </c>
      <c r="N82">
        <v>4</v>
      </c>
      <c r="O82">
        <v>6</v>
      </c>
      <c r="P82">
        <v>32763</v>
      </c>
      <c r="Q82">
        <v>-1313</v>
      </c>
    </row>
    <row r="83" spans="1:17" x14ac:dyDescent="0.4">
      <c r="A83">
        <v>20201001</v>
      </c>
      <c r="B83" t="s">
        <v>818</v>
      </c>
      <c r="C83">
        <v>0</v>
      </c>
      <c r="D83">
        <v>2</v>
      </c>
      <c r="E83">
        <v>8</v>
      </c>
      <c r="F83">
        <v>27002</v>
      </c>
      <c r="G83">
        <v>-7250</v>
      </c>
      <c r="H83">
        <v>0</v>
      </c>
      <c r="I83">
        <v>2</v>
      </c>
      <c r="J83">
        <v>9</v>
      </c>
      <c r="K83">
        <v>30700</v>
      </c>
      <c r="L83">
        <v>-6000</v>
      </c>
      <c r="M83">
        <v>0</v>
      </c>
      <c r="N83">
        <v>2</v>
      </c>
      <c r="O83">
        <v>9</v>
      </c>
      <c r="P83">
        <v>32795</v>
      </c>
      <c r="Q83">
        <v>10</v>
      </c>
    </row>
    <row r="84" spans="1:17" x14ac:dyDescent="0.4">
      <c r="A84">
        <v>20201001</v>
      </c>
      <c r="B84" t="s">
        <v>819</v>
      </c>
      <c r="C84">
        <v>0</v>
      </c>
      <c r="D84">
        <v>5</v>
      </c>
      <c r="E84">
        <v>13</v>
      </c>
      <c r="F84">
        <v>46254</v>
      </c>
      <c r="G84">
        <v>721</v>
      </c>
      <c r="H84">
        <v>0</v>
      </c>
      <c r="I84">
        <v>2</v>
      </c>
      <c r="J84">
        <v>17</v>
      </c>
      <c r="K84">
        <v>50100</v>
      </c>
      <c r="L84">
        <v>840</v>
      </c>
      <c r="M84">
        <v>0</v>
      </c>
      <c r="N84">
        <v>2</v>
      </c>
      <c r="O84">
        <v>17</v>
      </c>
      <c r="P84">
        <v>50324</v>
      </c>
      <c r="Q84">
        <v>3682</v>
      </c>
    </row>
    <row r="85" spans="1:17" x14ac:dyDescent="0.4">
      <c r="A85">
        <v>20201001</v>
      </c>
      <c r="B85" t="s">
        <v>820</v>
      </c>
      <c r="C85">
        <v>0</v>
      </c>
      <c r="D85">
        <v>4</v>
      </c>
      <c r="E85">
        <v>8</v>
      </c>
      <c r="F85">
        <v>35472</v>
      </c>
      <c r="G85">
        <v>-3516</v>
      </c>
      <c r="H85">
        <v>0</v>
      </c>
      <c r="I85">
        <v>4</v>
      </c>
      <c r="J85">
        <v>11</v>
      </c>
      <c r="K85">
        <v>44700</v>
      </c>
      <c r="L85">
        <v>2700</v>
      </c>
      <c r="M85">
        <v>0</v>
      </c>
      <c r="N85">
        <v>3</v>
      </c>
      <c r="O85">
        <v>11</v>
      </c>
      <c r="P85">
        <v>42626</v>
      </c>
      <c r="Q85">
        <v>4072</v>
      </c>
    </row>
    <row r="86" spans="1:17" x14ac:dyDescent="0.4">
      <c r="A86">
        <v>20201001</v>
      </c>
      <c r="B86" t="s">
        <v>821</v>
      </c>
      <c r="C86">
        <v>0</v>
      </c>
      <c r="D86">
        <v>3</v>
      </c>
      <c r="E86">
        <v>6</v>
      </c>
      <c r="F86">
        <v>24582</v>
      </c>
      <c r="G86">
        <v>1800</v>
      </c>
      <c r="H86">
        <v>0</v>
      </c>
      <c r="I86">
        <v>1</v>
      </c>
      <c r="J86">
        <v>4</v>
      </c>
      <c r="K86">
        <v>24600</v>
      </c>
      <c r="L86">
        <v>1800</v>
      </c>
      <c r="M86">
        <v>0</v>
      </c>
      <c r="N86">
        <v>1</v>
      </c>
      <c r="O86">
        <v>4</v>
      </c>
      <c r="P86">
        <v>25354</v>
      </c>
      <c r="Q86">
        <v>920</v>
      </c>
    </row>
    <row r="87" spans="1:17" x14ac:dyDescent="0.4">
      <c r="A87">
        <v>20201001</v>
      </c>
      <c r="B87" t="s">
        <v>823</v>
      </c>
      <c r="C87">
        <v>0</v>
      </c>
      <c r="D87">
        <v>6</v>
      </c>
      <c r="E87">
        <v>10</v>
      </c>
      <c r="F87">
        <v>37133</v>
      </c>
      <c r="G87">
        <v>716</v>
      </c>
      <c r="H87">
        <v>0</v>
      </c>
      <c r="I87">
        <v>3</v>
      </c>
      <c r="J87">
        <v>13</v>
      </c>
      <c r="K87">
        <v>38000</v>
      </c>
      <c r="L87">
        <v>1000</v>
      </c>
      <c r="M87">
        <v>0</v>
      </c>
      <c r="N87">
        <v>1</v>
      </c>
      <c r="O87">
        <v>13</v>
      </c>
      <c r="P87">
        <v>35933</v>
      </c>
      <c r="Q87">
        <v>526</v>
      </c>
    </row>
    <row r="88" spans="1:17" x14ac:dyDescent="0.4">
      <c r="A88">
        <v>20201001</v>
      </c>
      <c r="B88" t="s">
        <v>822</v>
      </c>
      <c r="C88">
        <v>0</v>
      </c>
      <c r="D88">
        <v>7</v>
      </c>
      <c r="E88">
        <v>4</v>
      </c>
      <c r="F88">
        <v>31309</v>
      </c>
      <c r="G88">
        <v>-4035</v>
      </c>
      <c r="H88">
        <v>0</v>
      </c>
      <c r="I88">
        <v>3</v>
      </c>
      <c r="J88">
        <v>6</v>
      </c>
      <c r="K88">
        <v>31400</v>
      </c>
      <c r="L88">
        <v>-4000</v>
      </c>
      <c r="M88">
        <v>0</v>
      </c>
      <c r="N88">
        <v>1</v>
      </c>
      <c r="O88">
        <v>6</v>
      </c>
      <c r="P88">
        <v>33092</v>
      </c>
      <c r="Q88">
        <v>-994</v>
      </c>
    </row>
    <row r="89" spans="1:17" x14ac:dyDescent="0.4">
      <c r="A89">
        <v>20201101</v>
      </c>
      <c r="B89" t="s">
        <v>818</v>
      </c>
      <c r="C89">
        <v>0</v>
      </c>
      <c r="D89">
        <v>2</v>
      </c>
      <c r="E89">
        <v>8</v>
      </c>
      <c r="F89">
        <v>24658</v>
      </c>
      <c r="G89">
        <v>-3865</v>
      </c>
      <c r="H89">
        <v>0</v>
      </c>
      <c r="I89">
        <v>1</v>
      </c>
      <c r="J89">
        <v>5</v>
      </c>
      <c r="K89">
        <v>24700</v>
      </c>
      <c r="L89">
        <v>-5500</v>
      </c>
      <c r="M89">
        <v>0</v>
      </c>
      <c r="N89">
        <v>2</v>
      </c>
      <c r="O89">
        <v>5</v>
      </c>
      <c r="P89">
        <v>26134</v>
      </c>
      <c r="Q89">
        <v>-3358</v>
      </c>
    </row>
    <row r="90" spans="1:17" x14ac:dyDescent="0.4">
      <c r="A90">
        <v>20201101</v>
      </c>
      <c r="B90" t="s">
        <v>819</v>
      </c>
      <c r="C90">
        <v>0</v>
      </c>
      <c r="D90">
        <v>5</v>
      </c>
      <c r="E90">
        <v>13</v>
      </c>
      <c r="F90">
        <v>46121</v>
      </c>
      <c r="G90">
        <v>3800</v>
      </c>
      <c r="H90">
        <v>0</v>
      </c>
      <c r="I90">
        <v>3</v>
      </c>
      <c r="J90">
        <v>15</v>
      </c>
      <c r="K90">
        <v>52536</v>
      </c>
      <c r="L90">
        <v>5350</v>
      </c>
      <c r="M90">
        <v>0</v>
      </c>
      <c r="N90">
        <v>3</v>
      </c>
      <c r="O90">
        <v>15</v>
      </c>
      <c r="P90">
        <v>52228</v>
      </c>
      <c r="Q90">
        <v>4291</v>
      </c>
    </row>
    <row r="91" spans="1:17" x14ac:dyDescent="0.4">
      <c r="A91">
        <v>20201101</v>
      </c>
      <c r="B91" t="s">
        <v>820</v>
      </c>
      <c r="C91">
        <v>0</v>
      </c>
      <c r="D91">
        <v>4</v>
      </c>
      <c r="E91">
        <v>6</v>
      </c>
      <c r="F91">
        <v>35050</v>
      </c>
      <c r="G91">
        <v>-1284</v>
      </c>
      <c r="H91">
        <v>0</v>
      </c>
      <c r="I91">
        <v>3</v>
      </c>
      <c r="J91">
        <v>10</v>
      </c>
      <c r="K91">
        <v>40000</v>
      </c>
      <c r="L91">
        <v>2800</v>
      </c>
      <c r="M91">
        <v>0</v>
      </c>
      <c r="N91">
        <v>3</v>
      </c>
      <c r="O91">
        <v>10</v>
      </c>
      <c r="P91">
        <v>38814</v>
      </c>
      <c r="Q91">
        <v>1661</v>
      </c>
    </row>
    <row r="92" spans="1:17" x14ac:dyDescent="0.4">
      <c r="A92">
        <v>20201101</v>
      </c>
      <c r="B92" t="s">
        <v>821</v>
      </c>
      <c r="C92">
        <v>0</v>
      </c>
      <c r="D92">
        <v>3</v>
      </c>
      <c r="E92">
        <v>6</v>
      </c>
      <c r="F92">
        <v>23732</v>
      </c>
      <c r="G92">
        <v>2674</v>
      </c>
      <c r="H92">
        <v>0</v>
      </c>
      <c r="I92">
        <v>1</v>
      </c>
      <c r="J92">
        <v>6</v>
      </c>
      <c r="K92">
        <v>24000</v>
      </c>
      <c r="L92">
        <v>2700</v>
      </c>
      <c r="M92">
        <v>0</v>
      </c>
      <c r="N92">
        <v>1</v>
      </c>
      <c r="O92">
        <v>6</v>
      </c>
      <c r="P92">
        <v>24425</v>
      </c>
      <c r="Q92">
        <v>2133</v>
      </c>
    </row>
    <row r="93" spans="1:17" x14ac:dyDescent="0.4">
      <c r="A93">
        <v>20201101</v>
      </c>
      <c r="B93" t="s">
        <v>823</v>
      </c>
      <c r="C93">
        <v>0</v>
      </c>
      <c r="D93">
        <v>6</v>
      </c>
      <c r="E93">
        <v>10</v>
      </c>
      <c r="F93">
        <v>36441</v>
      </c>
      <c r="G93">
        <v>2548</v>
      </c>
      <c r="H93">
        <v>0</v>
      </c>
      <c r="I93">
        <v>5</v>
      </c>
      <c r="J93">
        <v>0</v>
      </c>
      <c r="K93">
        <v>45000</v>
      </c>
      <c r="L93">
        <v>4000</v>
      </c>
      <c r="M93">
        <v>0</v>
      </c>
      <c r="N93">
        <v>4</v>
      </c>
      <c r="O93">
        <v>10</v>
      </c>
      <c r="P93">
        <v>45767</v>
      </c>
      <c r="Q93">
        <v>5025</v>
      </c>
    </row>
    <row r="94" spans="1:17" x14ac:dyDescent="0.4">
      <c r="A94">
        <v>20201101</v>
      </c>
      <c r="B94" t="s">
        <v>822</v>
      </c>
      <c r="C94">
        <v>0</v>
      </c>
      <c r="D94">
        <v>7</v>
      </c>
      <c r="E94">
        <v>5</v>
      </c>
      <c r="F94">
        <v>31695</v>
      </c>
      <c r="G94">
        <v>-9491</v>
      </c>
      <c r="H94">
        <v>0</v>
      </c>
      <c r="I94">
        <v>3</v>
      </c>
      <c r="J94">
        <v>6</v>
      </c>
      <c r="K94">
        <v>31700</v>
      </c>
      <c r="L94">
        <v>-9400</v>
      </c>
      <c r="M94">
        <v>0</v>
      </c>
      <c r="N94">
        <v>4</v>
      </c>
      <c r="O94">
        <v>6</v>
      </c>
      <c r="P94">
        <v>31730</v>
      </c>
      <c r="Q94">
        <v>-727</v>
      </c>
    </row>
    <row r="95" spans="1:17" x14ac:dyDescent="0.4">
      <c r="A95">
        <v>20201201</v>
      </c>
      <c r="B95" t="s">
        <v>818</v>
      </c>
      <c r="C95">
        <v>0</v>
      </c>
      <c r="D95">
        <v>1</v>
      </c>
      <c r="E95">
        <v>7</v>
      </c>
      <c r="F95">
        <v>20137</v>
      </c>
      <c r="G95">
        <v>-5975</v>
      </c>
      <c r="H95">
        <v>0</v>
      </c>
      <c r="I95">
        <v>1</v>
      </c>
      <c r="J95">
        <v>7</v>
      </c>
      <c r="K95">
        <v>20441</v>
      </c>
      <c r="L95">
        <v>-7005</v>
      </c>
      <c r="M95">
        <v>0</v>
      </c>
      <c r="N95">
        <v>1</v>
      </c>
      <c r="O95">
        <v>7</v>
      </c>
      <c r="P95">
        <v>21030</v>
      </c>
      <c r="Q95">
        <v>-3229</v>
      </c>
    </row>
    <row r="96" spans="1:17" x14ac:dyDescent="0.4">
      <c r="A96">
        <v>20201201</v>
      </c>
      <c r="B96" t="s">
        <v>819</v>
      </c>
      <c r="C96">
        <v>0</v>
      </c>
      <c r="D96">
        <v>6</v>
      </c>
      <c r="E96">
        <v>11</v>
      </c>
      <c r="F96">
        <v>44667</v>
      </c>
      <c r="G96">
        <v>3823</v>
      </c>
      <c r="H96">
        <v>0</v>
      </c>
      <c r="I96">
        <v>2</v>
      </c>
      <c r="J96">
        <v>15</v>
      </c>
      <c r="K96">
        <v>49100</v>
      </c>
      <c r="L96">
        <v>3900</v>
      </c>
      <c r="M96">
        <v>0</v>
      </c>
      <c r="N96">
        <v>1</v>
      </c>
      <c r="O96">
        <v>15</v>
      </c>
      <c r="P96">
        <v>49565</v>
      </c>
      <c r="Q96">
        <v>3076</v>
      </c>
    </row>
    <row r="97" spans="1:17" x14ac:dyDescent="0.4">
      <c r="A97">
        <v>20201201</v>
      </c>
      <c r="B97" t="s">
        <v>820</v>
      </c>
      <c r="C97">
        <v>0</v>
      </c>
      <c r="D97">
        <v>4</v>
      </c>
      <c r="E97">
        <v>6</v>
      </c>
      <c r="F97">
        <v>35253</v>
      </c>
      <c r="G97">
        <v>-1207</v>
      </c>
      <c r="H97">
        <v>0</v>
      </c>
      <c r="I97">
        <v>3</v>
      </c>
      <c r="J97">
        <v>10</v>
      </c>
      <c r="K97">
        <v>40000</v>
      </c>
      <c r="L97">
        <v>2400</v>
      </c>
      <c r="M97">
        <v>0</v>
      </c>
      <c r="N97">
        <v>4</v>
      </c>
      <c r="O97">
        <v>10</v>
      </c>
      <c r="P97">
        <v>41772</v>
      </c>
      <c r="Q97">
        <v>2134</v>
      </c>
    </row>
    <row r="98" spans="1:17" x14ac:dyDescent="0.4">
      <c r="A98">
        <v>20201201</v>
      </c>
      <c r="B98" t="s">
        <v>821</v>
      </c>
      <c r="C98">
        <v>0</v>
      </c>
      <c r="D98">
        <v>3</v>
      </c>
      <c r="E98">
        <v>6</v>
      </c>
      <c r="F98">
        <v>24972</v>
      </c>
      <c r="G98">
        <v>-13971</v>
      </c>
      <c r="H98">
        <v>0</v>
      </c>
      <c r="I98">
        <v>1</v>
      </c>
      <c r="J98">
        <v>6</v>
      </c>
      <c r="K98">
        <v>26500</v>
      </c>
      <c r="L98">
        <v>1000</v>
      </c>
      <c r="M98">
        <v>0</v>
      </c>
      <c r="N98">
        <v>1</v>
      </c>
      <c r="O98">
        <v>6</v>
      </c>
      <c r="P98">
        <v>27333</v>
      </c>
      <c r="Q98">
        <v>3301</v>
      </c>
    </row>
    <row r="99" spans="1:17" x14ac:dyDescent="0.4">
      <c r="A99">
        <v>20201201</v>
      </c>
      <c r="B99" t="s">
        <v>823</v>
      </c>
      <c r="C99">
        <v>0</v>
      </c>
      <c r="D99">
        <v>7</v>
      </c>
      <c r="E99">
        <v>10</v>
      </c>
      <c r="F99">
        <v>39112</v>
      </c>
      <c r="G99">
        <v>4961</v>
      </c>
      <c r="H99">
        <v>0</v>
      </c>
      <c r="I99">
        <v>4</v>
      </c>
      <c r="J99">
        <v>8</v>
      </c>
      <c r="K99">
        <v>40000</v>
      </c>
      <c r="L99">
        <v>3000</v>
      </c>
      <c r="M99">
        <v>0</v>
      </c>
      <c r="N99">
        <v>3</v>
      </c>
      <c r="O99">
        <v>7</v>
      </c>
      <c r="P99">
        <v>40382</v>
      </c>
      <c r="Q99">
        <v>2548</v>
      </c>
    </row>
    <row r="100" spans="1:17" x14ac:dyDescent="0.4">
      <c r="A100">
        <v>20201201</v>
      </c>
      <c r="B100" t="s">
        <v>822</v>
      </c>
      <c r="C100">
        <v>0</v>
      </c>
      <c r="D100">
        <v>7</v>
      </c>
      <c r="E100">
        <v>5</v>
      </c>
      <c r="F100">
        <v>33139</v>
      </c>
      <c r="G100">
        <v>-298</v>
      </c>
      <c r="H100">
        <v>0</v>
      </c>
      <c r="I100">
        <v>5</v>
      </c>
      <c r="J100">
        <v>11</v>
      </c>
      <c r="K100">
        <v>34000</v>
      </c>
      <c r="L100">
        <v>-5500</v>
      </c>
      <c r="M100">
        <v>0</v>
      </c>
      <c r="N100">
        <v>3</v>
      </c>
      <c r="O100">
        <v>11</v>
      </c>
      <c r="P100">
        <v>35371</v>
      </c>
      <c r="Q100">
        <v>-5124</v>
      </c>
    </row>
    <row r="101" spans="1:17" x14ac:dyDescent="0.4">
      <c r="A101">
        <v>20210101</v>
      </c>
      <c r="B101" t="s">
        <v>818</v>
      </c>
      <c r="C101">
        <v>0</v>
      </c>
      <c r="D101">
        <v>2</v>
      </c>
      <c r="E101">
        <v>8</v>
      </c>
      <c r="F101">
        <v>23301</v>
      </c>
      <c r="G101">
        <v>-3494</v>
      </c>
      <c r="H101">
        <v>0</v>
      </c>
      <c r="I101">
        <v>1</v>
      </c>
      <c r="J101">
        <v>11</v>
      </c>
      <c r="K101">
        <v>25200</v>
      </c>
      <c r="L101">
        <v>-2500</v>
      </c>
      <c r="M101">
        <v>0</v>
      </c>
      <c r="N101">
        <v>1</v>
      </c>
      <c r="O101">
        <v>11</v>
      </c>
      <c r="P101">
        <v>26784</v>
      </c>
      <c r="Q101">
        <v>-385</v>
      </c>
    </row>
    <row r="102" spans="1:17" x14ac:dyDescent="0.4">
      <c r="A102">
        <v>20210101</v>
      </c>
      <c r="B102" t="s">
        <v>819</v>
      </c>
      <c r="C102">
        <v>0</v>
      </c>
      <c r="D102">
        <v>6</v>
      </c>
      <c r="E102">
        <v>12</v>
      </c>
      <c r="F102">
        <v>46802</v>
      </c>
      <c r="G102">
        <v>4724</v>
      </c>
      <c r="H102">
        <v>0</v>
      </c>
      <c r="I102">
        <v>3</v>
      </c>
      <c r="J102">
        <v>15</v>
      </c>
      <c r="K102">
        <v>46500</v>
      </c>
      <c r="L102">
        <v>3160</v>
      </c>
      <c r="M102">
        <v>0</v>
      </c>
      <c r="N102">
        <v>3</v>
      </c>
      <c r="O102">
        <v>13</v>
      </c>
      <c r="P102">
        <v>47820</v>
      </c>
      <c r="Q102">
        <v>3652</v>
      </c>
    </row>
    <row r="103" spans="1:17" x14ac:dyDescent="0.4">
      <c r="A103">
        <v>20210101</v>
      </c>
      <c r="B103" t="s">
        <v>820</v>
      </c>
      <c r="C103">
        <v>0</v>
      </c>
      <c r="D103">
        <v>4</v>
      </c>
      <c r="E103">
        <v>7</v>
      </c>
      <c r="F103">
        <v>35528</v>
      </c>
      <c r="G103">
        <v>-496</v>
      </c>
      <c r="H103">
        <v>0</v>
      </c>
      <c r="I103">
        <v>2</v>
      </c>
      <c r="J103">
        <v>10</v>
      </c>
      <c r="K103">
        <v>42600</v>
      </c>
      <c r="L103">
        <v>2200</v>
      </c>
      <c r="M103">
        <v>0</v>
      </c>
      <c r="N103">
        <v>1</v>
      </c>
      <c r="O103">
        <v>10</v>
      </c>
      <c r="P103">
        <v>41387</v>
      </c>
      <c r="Q103">
        <v>1680</v>
      </c>
    </row>
    <row r="104" spans="1:17" x14ac:dyDescent="0.4">
      <c r="A104">
        <v>20210101</v>
      </c>
      <c r="B104" t="s">
        <v>821</v>
      </c>
      <c r="C104">
        <v>0</v>
      </c>
      <c r="D104">
        <v>3</v>
      </c>
      <c r="E104">
        <v>6</v>
      </c>
      <c r="F104">
        <v>24185</v>
      </c>
      <c r="G104">
        <v>3635</v>
      </c>
      <c r="H104">
        <v>0</v>
      </c>
      <c r="I104">
        <v>1</v>
      </c>
      <c r="J104">
        <v>5</v>
      </c>
      <c r="K104">
        <v>24700</v>
      </c>
      <c r="L104">
        <v>3700</v>
      </c>
      <c r="M104">
        <v>0</v>
      </c>
      <c r="N104">
        <v>1</v>
      </c>
      <c r="O104">
        <v>5</v>
      </c>
      <c r="P104">
        <v>25145</v>
      </c>
      <c r="Q104">
        <v>1753</v>
      </c>
    </row>
    <row r="105" spans="1:17" x14ac:dyDescent="0.4">
      <c r="A105">
        <v>20210101</v>
      </c>
      <c r="B105" t="s">
        <v>823</v>
      </c>
      <c r="C105">
        <v>0</v>
      </c>
      <c r="D105">
        <v>7</v>
      </c>
      <c r="E105">
        <v>10</v>
      </c>
      <c r="F105">
        <v>38448</v>
      </c>
      <c r="G105">
        <v>-13173</v>
      </c>
      <c r="H105">
        <v>0</v>
      </c>
      <c r="I105">
        <v>6</v>
      </c>
      <c r="J105">
        <v>12</v>
      </c>
      <c r="K105">
        <v>40000</v>
      </c>
      <c r="L105">
        <v>-2000</v>
      </c>
      <c r="M105">
        <v>0</v>
      </c>
      <c r="N105">
        <v>4</v>
      </c>
      <c r="O105">
        <v>12</v>
      </c>
      <c r="P105">
        <v>40893</v>
      </c>
      <c r="Q105">
        <v>3840</v>
      </c>
    </row>
    <row r="106" spans="1:17" x14ac:dyDescent="0.4">
      <c r="A106">
        <v>20210101</v>
      </c>
      <c r="B106" t="s">
        <v>822</v>
      </c>
      <c r="C106">
        <v>0</v>
      </c>
      <c r="D106">
        <v>7</v>
      </c>
      <c r="E106">
        <v>5</v>
      </c>
      <c r="F106">
        <v>32421</v>
      </c>
      <c r="G106">
        <v>-3379</v>
      </c>
      <c r="H106">
        <v>0</v>
      </c>
      <c r="I106">
        <v>3</v>
      </c>
      <c r="J106">
        <v>7</v>
      </c>
      <c r="K106">
        <v>32430</v>
      </c>
      <c r="L106">
        <v>-5200</v>
      </c>
      <c r="M106">
        <v>0</v>
      </c>
      <c r="N106">
        <v>3</v>
      </c>
      <c r="O106">
        <v>7</v>
      </c>
      <c r="P106">
        <v>32321</v>
      </c>
      <c r="Q106">
        <v>-648</v>
      </c>
    </row>
    <row r="107" spans="1:17" x14ac:dyDescent="0.4">
      <c r="A107">
        <v>20210201</v>
      </c>
      <c r="B107" t="s">
        <v>818</v>
      </c>
      <c r="C107">
        <v>0</v>
      </c>
      <c r="D107">
        <v>2</v>
      </c>
      <c r="E107">
        <v>4</v>
      </c>
      <c r="F107">
        <v>19788</v>
      </c>
      <c r="G107">
        <v>-11248</v>
      </c>
      <c r="H107">
        <v>0</v>
      </c>
      <c r="I107">
        <v>2</v>
      </c>
      <c r="J107">
        <v>5</v>
      </c>
      <c r="K107">
        <v>20000</v>
      </c>
      <c r="L107">
        <v>-11100</v>
      </c>
      <c r="M107">
        <v>0</v>
      </c>
      <c r="N107">
        <v>3</v>
      </c>
      <c r="O107">
        <v>5</v>
      </c>
      <c r="P107">
        <v>25114</v>
      </c>
      <c r="Q107">
        <v>-4769</v>
      </c>
    </row>
    <row r="108" spans="1:17" x14ac:dyDescent="0.4">
      <c r="A108">
        <v>20210201</v>
      </c>
      <c r="B108" t="s">
        <v>819</v>
      </c>
      <c r="C108">
        <v>0</v>
      </c>
      <c r="D108">
        <v>5</v>
      </c>
      <c r="E108">
        <v>13</v>
      </c>
      <c r="F108">
        <v>46437</v>
      </c>
      <c r="G108">
        <v>-711</v>
      </c>
      <c r="H108">
        <v>0</v>
      </c>
      <c r="I108">
        <v>5</v>
      </c>
      <c r="J108">
        <v>9</v>
      </c>
      <c r="K108">
        <v>46600</v>
      </c>
      <c r="L108">
        <v>-3995</v>
      </c>
      <c r="M108">
        <v>0</v>
      </c>
      <c r="N108">
        <v>5</v>
      </c>
      <c r="O108">
        <v>9</v>
      </c>
      <c r="P108">
        <v>43339</v>
      </c>
      <c r="Q108">
        <v>-489</v>
      </c>
    </row>
    <row r="109" spans="1:17" x14ac:dyDescent="0.4">
      <c r="A109">
        <v>20210201</v>
      </c>
      <c r="B109" t="s">
        <v>820</v>
      </c>
      <c r="C109">
        <v>0</v>
      </c>
      <c r="D109">
        <v>4</v>
      </c>
      <c r="E109">
        <v>6</v>
      </c>
      <c r="F109">
        <v>35572</v>
      </c>
      <c r="G109">
        <v>-5968</v>
      </c>
      <c r="H109">
        <v>0</v>
      </c>
      <c r="I109">
        <v>6</v>
      </c>
      <c r="J109">
        <v>3</v>
      </c>
      <c r="K109">
        <v>40000</v>
      </c>
      <c r="L109">
        <v>-4000</v>
      </c>
      <c r="M109">
        <v>0</v>
      </c>
      <c r="N109">
        <v>5</v>
      </c>
      <c r="O109">
        <v>3</v>
      </c>
      <c r="P109">
        <v>37332</v>
      </c>
      <c r="Q109">
        <v>-189</v>
      </c>
    </row>
    <row r="110" spans="1:17" x14ac:dyDescent="0.4">
      <c r="A110">
        <v>20210201</v>
      </c>
      <c r="B110" t="s">
        <v>821</v>
      </c>
      <c r="C110">
        <v>0</v>
      </c>
      <c r="D110">
        <v>3</v>
      </c>
      <c r="E110">
        <v>6</v>
      </c>
      <c r="F110">
        <v>25474</v>
      </c>
      <c r="G110">
        <v>-6971</v>
      </c>
      <c r="H110">
        <v>0</v>
      </c>
      <c r="I110">
        <v>1</v>
      </c>
      <c r="J110">
        <v>7</v>
      </c>
      <c r="K110">
        <v>24500</v>
      </c>
      <c r="L110">
        <v>1500</v>
      </c>
      <c r="M110">
        <v>0</v>
      </c>
      <c r="N110">
        <v>1</v>
      </c>
      <c r="O110">
        <v>7</v>
      </c>
      <c r="P110">
        <v>24426</v>
      </c>
      <c r="Q110">
        <v>1140</v>
      </c>
    </row>
    <row r="111" spans="1:17" x14ac:dyDescent="0.4">
      <c r="A111">
        <v>20210201</v>
      </c>
      <c r="B111" t="s">
        <v>823</v>
      </c>
      <c r="C111">
        <v>0</v>
      </c>
      <c r="D111">
        <v>6</v>
      </c>
      <c r="E111">
        <v>10</v>
      </c>
      <c r="F111">
        <v>38094</v>
      </c>
      <c r="G111">
        <v>-159</v>
      </c>
      <c r="H111">
        <v>0</v>
      </c>
      <c r="I111">
        <v>6</v>
      </c>
      <c r="J111">
        <v>9</v>
      </c>
      <c r="K111">
        <v>41000</v>
      </c>
      <c r="L111">
        <v>1000</v>
      </c>
      <c r="M111">
        <v>0</v>
      </c>
      <c r="N111">
        <v>6</v>
      </c>
      <c r="O111">
        <v>9</v>
      </c>
      <c r="P111">
        <v>41599</v>
      </c>
      <c r="Q111">
        <v>3510</v>
      </c>
    </row>
    <row r="112" spans="1:17" x14ac:dyDescent="0.4">
      <c r="A112">
        <v>20210201</v>
      </c>
      <c r="B112" t="s">
        <v>822</v>
      </c>
      <c r="C112">
        <v>0</v>
      </c>
      <c r="D112">
        <v>9</v>
      </c>
      <c r="E112">
        <v>6</v>
      </c>
      <c r="F112">
        <v>37534</v>
      </c>
      <c r="G112">
        <v>-5107</v>
      </c>
      <c r="H112">
        <v>0</v>
      </c>
      <c r="I112">
        <v>2</v>
      </c>
      <c r="J112">
        <v>14</v>
      </c>
      <c r="K112">
        <v>37600</v>
      </c>
      <c r="L112">
        <v>-5000</v>
      </c>
      <c r="M112">
        <v>0</v>
      </c>
      <c r="N112">
        <v>1</v>
      </c>
      <c r="O112">
        <v>14</v>
      </c>
      <c r="P112">
        <v>38055</v>
      </c>
      <c r="Q112">
        <v>363</v>
      </c>
    </row>
    <row r="113" spans="1:17" x14ac:dyDescent="0.4">
      <c r="A113">
        <v>20210301</v>
      </c>
      <c r="B113" t="s">
        <v>818</v>
      </c>
      <c r="C113">
        <v>0</v>
      </c>
      <c r="D113">
        <v>2</v>
      </c>
      <c r="E113">
        <v>5</v>
      </c>
      <c r="F113">
        <v>20863</v>
      </c>
      <c r="G113">
        <v>-8777</v>
      </c>
      <c r="H113">
        <v>0</v>
      </c>
      <c r="I113">
        <v>2</v>
      </c>
      <c r="J113">
        <v>5</v>
      </c>
      <c r="K113">
        <v>21000</v>
      </c>
      <c r="L113">
        <v>-8700</v>
      </c>
      <c r="M113">
        <v>0</v>
      </c>
      <c r="N113">
        <v>2</v>
      </c>
      <c r="O113">
        <v>5</v>
      </c>
      <c r="P113">
        <v>22705</v>
      </c>
      <c r="Q113">
        <v>-7194</v>
      </c>
    </row>
    <row r="114" spans="1:17" x14ac:dyDescent="0.4">
      <c r="A114">
        <v>20210301</v>
      </c>
      <c r="B114" t="s">
        <v>819</v>
      </c>
      <c r="C114">
        <v>0</v>
      </c>
      <c r="D114">
        <v>6</v>
      </c>
      <c r="E114">
        <v>11</v>
      </c>
      <c r="F114">
        <v>46474</v>
      </c>
      <c r="G114">
        <v>-330</v>
      </c>
      <c r="H114">
        <v>0</v>
      </c>
      <c r="I114">
        <v>2</v>
      </c>
      <c r="J114">
        <v>16</v>
      </c>
      <c r="K114">
        <v>46500</v>
      </c>
      <c r="L114">
        <v>0</v>
      </c>
      <c r="M114">
        <v>0</v>
      </c>
      <c r="N114">
        <v>1</v>
      </c>
      <c r="O114">
        <v>16</v>
      </c>
      <c r="P114">
        <v>47145</v>
      </c>
      <c r="Q114">
        <v>2311</v>
      </c>
    </row>
    <row r="115" spans="1:17" x14ac:dyDescent="0.4">
      <c r="A115">
        <v>20210301</v>
      </c>
      <c r="B115" t="s">
        <v>820</v>
      </c>
      <c r="C115">
        <v>0</v>
      </c>
      <c r="D115">
        <v>4</v>
      </c>
      <c r="E115">
        <v>6</v>
      </c>
      <c r="F115">
        <v>35693</v>
      </c>
      <c r="G115">
        <v>-3481</v>
      </c>
      <c r="H115">
        <v>0</v>
      </c>
      <c r="I115">
        <v>5</v>
      </c>
      <c r="J115">
        <v>5</v>
      </c>
      <c r="K115">
        <v>48000</v>
      </c>
      <c r="L115">
        <v>3000</v>
      </c>
      <c r="M115">
        <v>0</v>
      </c>
      <c r="N115">
        <v>6</v>
      </c>
      <c r="O115">
        <v>5</v>
      </c>
      <c r="P115">
        <v>47212</v>
      </c>
      <c r="Q115">
        <v>4454</v>
      </c>
    </row>
    <row r="116" spans="1:17" x14ac:dyDescent="0.4">
      <c r="A116">
        <v>20210301</v>
      </c>
      <c r="B116" t="s">
        <v>821</v>
      </c>
      <c r="C116">
        <v>0</v>
      </c>
      <c r="D116">
        <v>3</v>
      </c>
      <c r="E116">
        <v>6</v>
      </c>
      <c r="F116">
        <v>25018</v>
      </c>
      <c r="G116">
        <v>1145</v>
      </c>
      <c r="H116">
        <v>0</v>
      </c>
      <c r="I116">
        <v>1</v>
      </c>
      <c r="J116">
        <v>6</v>
      </c>
      <c r="K116">
        <v>25100</v>
      </c>
      <c r="L116">
        <v>1200</v>
      </c>
      <c r="M116">
        <v>0</v>
      </c>
      <c r="N116">
        <v>2</v>
      </c>
      <c r="O116">
        <v>6</v>
      </c>
      <c r="P116">
        <v>28763</v>
      </c>
      <c r="Q116">
        <v>2873</v>
      </c>
    </row>
    <row r="117" spans="1:17" x14ac:dyDescent="0.4">
      <c r="A117">
        <v>20210301</v>
      </c>
      <c r="B117" t="s">
        <v>823</v>
      </c>
      <c r="C117">
        <v>0</v>
      </c>
      <c r="D117">
        <v>6</v>
      </c>
      <c r="E117">
        <v>10</v>
      </c>
      <c r="F117">
        <v>36965</v>
      </c>
      <c r="G117">
        <v>8000</v>
      </c>
      <c r="H117">
        <v>0</v>
      </c>
      <c r="I117">
        <v>6</v>
      </c>
      <c r="J117">
        <v>8</v>
      </c>
      <c r="K117">
        <v>38000</v>
      </c>
      <c r="L117">
        <v>10000</v>
      </c>
      <c r="M117">
        <v>0</v>
      </c>
      <c r="N117">
        <v>6</v>
      </c>
      <c r="O117">
        <v>8</v>
      </c>
      <c r="P117">
        <v>37500</v>
      </c>
      <c r="Q117">
        <v>1506</v>
      </c>
    </row>
    <row r="118" spans="1:17" x14ac:dyDescent="0.4">
      <c r="A118">
        <v>20210301</v>
      </c>
      <c r="B118" t="s">
        <v>822</v>
      </c>
      <c r="C118">
        <v>0</v>
      </c>
      <c r="D118">
        <v>10</v>
      </c>
      <c r="E118">
        <v>5</v>
      </c>
      <c r="F118">
        <v>38334</v>
      </c>
      <c r="G118">
        <v>1847</v>
      </c>
      <c r="H118">
        <v>0</v>
      </c>
      <c r="I118">
        <v>4</v>
      </c>
      <c r="J118">
        <v>11</v>
      </c>
      <c r="K118">
        <v>39000</v>
      </c>
      <c r="L118">
        <v>1900</v>
      </c>
      <c r="M118">
        <v>0</v>
      </c>
      <c r="N118">
        <v>4</v>
      </c>
      <c r="O118">
        <v>11</v>
      </c>
      <c r="P118">
        <v>38858</v>
      </c>
      <c r="Q118">
        <v>4554</v>
      </c>
    </row>
    <row r="119" spans="1:17" x14ac:dyDescent="0.4">
      <c r="A119">
        <v>20210401</v>
      </c>
      <c r="B119" t="s">
        <v>818</v>
      </c>
      <c r="C119">
        <v>0</v>
      </c>
      <c r="D119">
        <v>2</v>
      </c>
      <c r="E119">
        <v>5</v>
      </c>
      <c r="F119">
        <v>20093</v>
      </c>
      <c r="G119">
        <v>-8211</v>
      </c>
      <c r="H119">
        <v>0</v>
      </c>
      <c r="I119">
        <v>0</v>
      </c>
      <c r="J119">
        <v>9</v>
      </c>
      <c r="K119">
        <v>20100</v>
      </c>
      <c r="L119">
        <v>-8200</v>
      </c>
      <c r="M119">
        <v>0</v>
      </c>
      <c r="N119">
        <v>0</v>
      </c>
      <c r="O119">
        <v>9</v>
      </c>
      <c r="P119">
        <v>23757</v>
      </c>
      <c r="Q119">
        <v>-3819</v>
      </c>
    </row>
    <row r="120" spans="1:17" x14ac:dyDescent="0.4">
      <c r="A120">
        <v>20210401</v>
      </c>
      <c r="B120" t="s">
        <v>819</v>
      </c>
      <c r="C120">
        <v>0</v>
      </c>
      <c r="D120">
        <v>7</v>
      </c>
      <c r="E120">
        <v>10</v>
      </c>
      <c r="F120">
        <v>46654</v>
      </c>
      <c r="G120">
        <v>770</v>
      </c>
      <c r="H120">
        <v>0</v>
      </c>
      <c r="I120">
        <v>2</v>
      </c>
      <c r="J120">
        <v>19</v>
      </c>
      <c r="K120">
        <v>47000</v>
      </c>
      <c r="L120">
        <v>800</v>
      </c>
      <c r="M120">
        <v>0</v>
      </c>
      <c r="N120">
        <v>0</v>
      </c>
      <c r="O120">
        <v>19</v>
      </c>
      <c r="P120">
        <v>46793</v>
      </c>
      <c r="Q120">
        <v>892</v>
      </c>
    </row>
    <row r="121" spans="1:17" x14ac:dyDescent="0.4">
      <c r="A121">
        <v>20210401</v>
      </c>
      <c r="B121" t="s">
        <v>820</v>
      </c>
      <c r="C121">
        <v>0</v>
      </c>
      <c r="D121">
        <v>4</v>
      </c>
      <c r="E121">
        <v>6</v>
      </c>
      <c r="F121">
        <v>34947</v>
      </c>
      <c r="G121">
        <v>-3419</v>
      </c>
      <c r="H121">
        <v>0</v>
      </c>
      <c r="I121">
        <v>4</v>
      </c>
      <c r="J121">
        <v>6</v>
      </c>
      <c r="K121">
        <v>40000</v>
      </c>
      <c r="L121">
        <v>-950</v>
      </c>
      <c r="M121">
        <v>0</v>
      </c>
      <c r="N121">
        <v>4</v>
      </c>
      <c r="O121">
        <v>6</v>
      </c>
      <c r="P121">
        <v>40340</v>
      </c>
      <c r="Q121">
        <v>1692</v>
      </c>
    </row>
    <row r="122" spans="1:17" x14ac:dyDescent="0.4">
      <c r="A122">
        <v>20210401</v>
      </c>
      <c r="B122" t="s">
        <v>821</v>
      </c>
      <c r="C122">
        <v>0</v>
      </c>
      <c r="D122">
        <v>4</v>
      </c>
      <c r="E122">
        <v>6</v>
      </c>
      <c r="F122">
        <v>26083</v>
      </c>
      <c r="G122">
        <v>2259</v>
      </c>
      <c r="H122">
        <v>0</v>
      </c>
      <c r="I122">
        <v>1</v>
      </c>
      <c r="J122">
        <v>6</v>
      </c>
      <c r="K122">
        <v>26500</v>
      </c>
      <c r="L122">
        <v>2300</v>
      </c>
      <c r="M122">
        <v>0</v>
      </c>
      <c r="N122">
        <v>1</v>
      </c>
      <c r="O122">
        <v>6</v>
      </c>
      <c r="P122">
        <v>27510</v>
      </c>
      <c r="Q122">
        <v>1887</v>
      </c>
    </row>
    <row r="123" spans="1:17" x14ac:dyDescent="0.4">
      <c r="A123">
        <v>20210401</v>
      </c>
      <c r="B123" t="s">
        <v>823</v>
      </c>
      <c r="C123">
        <v>0</v>
      </c>
      <c r="D123">
        <v>6</v>
      </c>
      <c r="E123">
        <v>10</v>
      </c>
      <c r="F123">
        <v>38324</v>
      </c>
      <c r="G123">
        <v>-9744</v>
      </c>
      <c r="H123">
        <v>0</v>
      </c>
      <c r="I123">
        <v>5</v>
      </c>
      <c r="J123">
        <v>8</v>
      </c>
      <c r="K123">
        <v>40000</v>
      </c>
      <c r="L123">
        <v>-3000</v>
      </c>
      <c r="M123">
        <v>0</v>
      </c>
      <c r="N123">
        <v>5</v>
      </c>
      <c r="O123">
        <v>8</v>
      </c>
      <c r="P123">
        <v>42497</v>
      </c>
      <c r="Q123">
        <v>2086</v>
      </c>
    </row>
    <row r="124" spans="1:17" x14ac:dyDescent="0.4">
      <c r="A124">
        <v>20210401</v>
      </c>
      <c r="B124" t="s">
        <v>822</v>
      </c>
      <c r="C124">
        <v>0</v>
      </c>
      <c r="D124">
        <v>8</v>
      </c>
      <c r="E124">
        <v>5</v>
      </c>
      <c r="F124">
        <v>34473</v>
      </c>
      <c r="G124">
        <v>-3179</v>
      </c>
      <c r="H124">
        <v>0</v>
      </c>
      <c r="I124">
        <v>2</v>
      </c>
      <c r="J124">
        <v>13</v>
      </c>
      <c r="K124">
        <v>34500</v>
      </c>
      <c r="L124">
        <v>-3000</v>
      </c>
      <c r="M124">
        <v>0</v>
      </c>
      <c r="N124">
        <v>2</v>
      </c>
      <c r="O124">
        <v>13</v>
      </c>
      <c r="P124">
        <v>36001</v>
      </c>
      <c r="Q124">
        <v>1119</v>
      </c>
    </row>
    <row r="125" spans="1:17" x14ac:dyDescent="0.4">
      <c r="A125">
        <v>20210501</v>
      </c>
      <c r="B125" t="s">
        <v>818</v>
      </c>
      <c r="C125">
        <v>0</v>
      </c>
      <c r="D125">
        <v>2</v>
      </c>
      <c r="E125">
        <v>5</v>
      </c>
      <c r="F125">
        <v>19960</v>
      </c>
      <c r="G125">
        <v>-6924</v>
      </c>
      <c r="H125">
        <v>0</v>
      </c>
      <c r="I125">
        <v>2</v>
      </c>
      <c r="J125">
        <v>5</v>
      </c>
      <c r="K125">
        <v>20700</v>
      </c>
      <c r="L125">
        <v>-8400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4">
      <c r="A126">
        <v>20210501</v>
      </c>
      <c r="B126" t="s">
        <v>819</v>
      </c>
      <c r="C126">
        <v>0</v>
      </c>
      <c r="D126">
        <v>7</v>
      </c>
      <c r="E126">
        <v>11</v>
      </c>
      <c r="F126">
        <v>46606</v>
      </c>
      <c r="G126">
        <v>3861</v>
      </c>
      <c r="H126">
        <v>0</v>
      </c>
      <c r="I126">
        <v>4</v>
      </c>
      <c r="J126">
        <v>16</v>
      </c>
      <c r="K126">
        <v>49500</v>
      </c>
      <c r="L126">
        <v>4000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4">
      <c r="A127">
        <v>20210501</v>
      </c>
      <c r="B127" t="s">
        <v>820</v>
      </c>
      <c r="C127">
        <v>0</v>
      </c>
      <c r="D127">
        <v>4</v>
      </c>
      <c r="E127">
        <v>7</v>
      </c>
      <c r="F127">
        <v>37160</v>
      </c>
      <c r="G127">
        <v>-749</v>
      </c>
      <c r="H127">
        <v>0</v>
      </c>
      <c r="I127">
        <v>5</v>
      </c>
      <c r="J127">
        <v>7</v>
      </c>
      <c r="K127">
        <v>37800</v>
      </c>
      <c r="L127">
        <v>70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4">
      <c r="A128">
        <v>20210501</v>
      </c>
      <c r="B128" t="s">
        <v>821</v>
      </c>
      <c r="C128">
        <v>0</v>
      </c>
      <c r="D128">
        <v>3</v>
      </c>
      <c r="E128">
        <v>6</v>
      </c>
      <c r="F128">
        <v>24436</v>
      </c>
      <c r="G128">
        <v>2283</v>
      </c>
      <c r="H128">
        <v>0</v>
      </c>
      <c r="I128">
        <v>1</v>
      </c>
      <c r="J128">
        <v>6</v>
      </c>
      <c r="K128">
        <v>24500</v>
      </c>
      <c r="L128">
        <v>2300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4">
      <c r="A129">
        <v>20210501</v>
      </c>
      <c r="B129" t="s">
        <v>823</v>
      </c>
      <c r="C129">
        <v>0</v>
      </c>
      <c r="D129">
        <v>7</v>
      </c>
      <c r="E129">
        <v>11</v>
      </c>
      <c r="F129">
        <v>40342</v>
      </c>
      <c r="G129">
        <v>4613</v>
      </c>
      <c r="H129">
        <v>0</v>
      </c>
      <c r="I129">
        <v>5</v>
      </c>
      <c r="J129">
        <v>12</v>
      </c>
      <c r="K129">
        <v>40500</v>
      </c>
      <c r="L129">
        <v>-1000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4">
      <c r="A130">
        <v>20210501</v>
      </c>
      <c r="B130" t="s">
        <v>822</v>
      </c>
      <c r="C130">
        <v>0</v>
      </c>
      <c r="D130">
        <v>8</v>
      </c>
      <c r="E130">
        <v>4</v>
      </c>
      <c r="F130">
        <v>33257</v>
      </c>
      <c r="G130">
        <v>-11356</v>
      </c>
      <c r="H130">
        <v>0</v>
      </c>
      <c r="I130">
        <v>0</v>
      </c>
      <c r="J130">
        <v>13</v>
      </c>
      <c r="K130">
        <v>33300</v>
      </c>
      <c r="L130">
        <v>-7000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4">
      <c r="A131">
        <v>20210601</v>
      </c>
      <c r="B131" t="s">
        <v>818</v>
      </c>
      <c r="C131">
        <v>0</v>
      </c>
      <c r="D131">
        <v>1</v>
      </c>
      <c r="E131">
        <v>5</v>
      </c>
      <c r="F131">
        <v>18514</v>
      </c>
      <c r="G131">
        <v>-13673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4">
      <c r="A132">
        <v>20210601</v>
      </c>
      <c r="B132" t="s">
        <v>819</v>
      </c>
      <c r="C132">
        <v>0</v>
      </c>
      <c r="D132">
        <v>7</v>
      </c>
      <c r="E132">
        <v>10</v>
      </c>
      <c r="F132">
        <v>46757</v>
      </c>
      <c r="G132">
        <v>-5759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4">
      <c r="A133">
        <v>20210601</v>
      </c>
      <c r="B133" t="s">
        <v>820</v>
      </c>
      <c r="C133">
        <v>0</v>
      </c>
      <c r="D133">
        <v>4</v>
      </c>
      <c r="E133">
        <v>7</v>
      </c>
      <c r="F133">
        <v>37236</v>
      </c>
      <c r="G133">
        <v>-7998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4">
      <c r="A134">
        <v>20210601</v>
      </c>
      <c r="B134" t="s">
        <v>821</v>
      </c>
      <c r="C134">
        <v>0</v>
      </c>
      <c r="D134">
        <v>3</v>
      </c>
      <c r="E134">
        <v>6</v>
      </c>
      <c r="F134">
        <v>24552</v>
      </c>
      <c r="G134">
        <v>-2356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4">
      <c r="A135">
        <v>20210601</v>
      </c>
      <c r="B135" t="s">
        <v>823</v>
      </c>
      <c r="C135">
        <v>0</v>
      </c>
      <c r="D135">
        <v>7</v>
      </c>
      <c r="E135">
        <v>11</v>
      </c>
      <c r="F135">
        <v>41796</v>
      </c>
      <c r="G135">
        <v>-1209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4">
      <c r="A136">
        <v>20210601</v>
      </c>
      <c r="B136" t="s">
        <v>822</v>
      </c>
      <c r="C136">
        <v>0</v>
      </c>
      <c r="D136">
        <v>9</v>
      </c>
      <c r="E136">
        <v>5</v>
      </c>
      <c r="F136">
        <v>36561</v>
      </c>
      <c r="G136">
        <v>-4689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4">
      <c r="A137">
        <v>20210701</v>
      </c>
      <c r="B137" t="s">
        <v>818</v>
      </c>
      <c r="C137">
        <v>0</v>
      </c>
      <c r="D137">
        <v>2</v>
      </c>
      <c r="E137">
        <v>5</v>
      </c>
      <c r="F137">
        <v>20009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4">
      <c r="A138">
        <v>20210701</v>
      </c>
      <c r="B138" t="s">
        <v>819</v>
      </c>
      <c r="C138">
        <v>0</v>
      </c>
      <c r="D138">
        <v>6</v>
      </c>
      <c r="E138">
        <v>12</v>
      </c>
      <c r="F138">
        <v>48244</v>
      </c>
      <c r="G138">
        <v>1064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4">
      <c r="A139">
        <v>20210701</v>
      </c>
      <c r="B139" t="s">
        <v>820</v>
      </c>
      <c r="C139">
        <v>0</v>
      </c>
      <c r="D139">
        <v>4</v>
      </c>
      <c r="E139">
        <v>7</v>
      </c>
      <c r="F139">
        <v>36252</v>
      </c>
      <c r="G139">
        <v>-2365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4">
      <c r="A140">
        <v>20210701</v>
      </c>
      <c r="B140" t="s">
        <v>821</v>
      </c>
      <c r="C140">
        <v>0</v>
      </c>
      <c r="D140">
        <v>3</v>
      </c>
      <c r="E140">
        <v>6</v>
      </c>
      <c r="F140">
        <v>25437</v>
      </c>
      <c r="G140">
        <v>997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4">
      <c r="A141">
        <v>20210701</v>
      </c>
      <c r="B141" t="s">
        <v>823</v>
      </c>
      <c r="C141">
        <v>0</v>
      </c>
      <c r="D141">
        <v>7</v>
      </c>
      <c r="E141">
        <v>11</v>
      </c>
      <c r="F141">
        <v>40356</v>
      </c>
      <c r="G141">
        <v>3398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4">
      <c r="A142">
        <v>20210701</v>
      </c>
      <c r="B142" t="s">
        <v>822</v>
      </c>
      <c r="C142">
        <v>0</v>
      </c>
      <c r="D142">
        <v>10</v>
      </c>
      <c r="E142">
        <v>4</v>
      </c>
      <c r="F142">
        <v>37074</v>
      </c>
      <c r="G142">
        <v>311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4">
      <c r="A143">
        <v>20210801</v>
      </c>
      <c r="B143" t="s">
        <v>818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4">
      <c r="A144">
        <v>20210801</v>
      </c>
      <c r="B144" t="s">
        <v>819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4">
      <c r="A145">
        <v>20210801</v>
      </c>
      <c r="B145" t="s">
        <v>820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4">
      <c r="A146">
        <v>20210801</v>
      </c>
      <c r="B146" t="s">
        <v>821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4">
      <c r="A147">
        <v>20210801</v>
      </c>
      <c r="B147" t="s">
        <v>823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4">
      <c r="A148">
        <v>20210801</v>
      </c>
      <c r="B148" t="s">
        <v>822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22AA-EDE1-429F-AC15-8E1DAA770504}">
  <dimension ref="A1:L1915"/>
  <sheetViews>
    <sheetView workbookViewId="0"/>
  </sheetViews>
  <sheetFormatPr defaultRowHeight="18.75" x14ac:dyDescent="0.4"/>
  <cols>
    <col min="1" max="1" width="11.25" bestFit="1" customWidth="1"/>
    <col min="2" max="2" width="13" bestFit="1" customWidth="1"/>
    <col min="3" max="3" width="11.25" bestFit="1" customWidth="1"/>
    <col min="5" max="5" width="9.5" bestFit="1" customWidth="1"/>
    <col min="6" max="6" width="48.375" bestFit="1" customWidth="1"/>
    <col min="7" max="7" width="9.25" bestFit="1" customWidth="1"/>
    <col min="8" max="9" width="15.875" bestFit="1" customWidth="1"/>
    <col min="10" max="10" width="11.375" bestFit="1" customWidth="1"/>
    <col min="11" max="11" width="9.25" bestFit="1" customWidth="1"/>
    <col min="12" max="12" width="8.375" bestFit="1" customWidth="1"/>
  </cols>
  <sheetData>
    <row r="1" spans="1:12" x14ac:dyDescent="0.4">
      <c r="A1" s="1" t="s">
        <v>143</v>
      </c>
      <c r="B1" s="1" t="s">
        <v>170</v>
      </c>
      <c r="C1" s="1" t="s">
        <v>171</v>
      </c>
      <c r="D1" s="1" t="s">
        <v>172</v>
      </c>
      <c r="E1" s="1" t="s">
        <v>173</v>
      </c>
      <c r="F1" s="1" t="s">
        <v>174</v>
      </c>
      <c r="G1" s="1" t="s">
        <v>175</v>
      </c>
      <c r="H1" s="1" t="s">
        <v>176</v>
      </c>
      <c r="I1" s="1" t="s">
        <v>177</v>
      </c>
      <c r="J1" s="1" t="s">
        <v>178</v>
      </c>
      <c r="K1" s="1" t="s">
        <v>179</v>
      </c>
      <c r="L1" s="1" t="s">
        <v>180</v>
      </c>
    </row>
    <row r="2" spans="1:12" x14ac:dyDescent="0.4">
      <c r="A2" t="s">
        <v>155</v>
      </c>
      <c r="B2" t="s">
        <v>1</v>
      </c>
      <c r="C2" t="s">
        <v>181</v>
      </c>
      <c r="D2" t="s">
        <v>182</v>
      </c>
      <c r="E2">
        <v>10000245</v>
      </c>
      <c r="F2" t="s">
        <v>183</v>
      </c>
      <c r="G2">
        <v>590798</v>
      </c>
      <c r="H2" s="184">
        <v>43857</v>
      </c>
      <c r="I2" s="184">
        <v>43858</v>
      </c>
      <c r="J2" t="s">
        <v>184</v>
      </c>
      <c r="K2">
        <v>60000</v>
      </c>
      <c r="L2" t="s">
        <v>185</v>
      </c>
    </row>
    <row r="3" spans="1:12" x14ac:dyDescent="0.4">
      <c r="A3" t="s">
        <v>155</v>
      </c>
      <c r="B3" t="s">
        <v>1</v>
      </c>
      <c r="C3" t="s">
        <v>181</v>
      </c>
      <c r="D3" t="s">
        <v>182</v>
      </c>
      <c r="E3">
        <v>10000245</v>
      </c>
      <c r="F3" t="s">
        <v>183</v>
      </c>
      <c r="G3">
        <v>590798</v>
      </c>
      <c r="H3" s="184">
        <v>43857</v>
      </c>
      <c r="I3" s="184">
        <v>43858</v>
      </c>
      <c r="J3" t="s">
        <v>184</v>
      </c>
      <c r="K3">
        <v>60000</v>
      </c>
      <c r="L3" t="s">
        <v>186</v>
      </c>
    </row>
    <row r="4" spans="1:12" x14ac:dyDescent="0.4">
      <c r="A4" t="s">
        <v>155</v>
      </c>
      <c r="B4" t="s">
        <v>1</v>
      </c>
      <c r="C4" t="s">
        <v>181</v>
      </c>
      <c r="D4" t="s">
        <v>182</v>
      </c>
      <c r="E4">
        <v>10000245</v>
      </c>
      <c r="F4" t="s">
        <v>183</v>
      </c>
      <c r="G4">
        <v>590798</v>
      </c>
      <c r="H4" s="184">
        <v>43857</v>
      </c>
      <c r="I4" s="184">
        <v>43858</v>
      </c>
      <c r="J4" t="s">
        <v>184</v>
      </c>
      <c r="K4">
        <v>60000</v>
      </c>
      <c r="L4" t="s">
        <v>187</v>
      </c>
    </row>
    <row r="5" spans="1:12" x14ac:dyDescent="0.4">
      <c r="A5" t="s">
        <v>155</v>
      </c>
      <c r="B5" t="s">
        <v>1</v>
      </c>
      <c r="C5" t="s">
        <v>181</v>
      </c>
      <c r="D5" t="s">
        <v>182</v>
      </c>
      <c r="E5">
        <v>10000245</v>
      </c>
      <c r="F5" t="s">
        <v>183</v>
      </c>
      <c r="G5">
        <v>590798</v>
      </c>
      <c r="H5" s="184">
        <v>43857</v>
      </c>
      <c r="I5" s="184">
        <v>43858</v>
      </c>
      <c r="J5" t="s">
        <v>184</v>
      </c>
      <c r="K5">
        <v>60000</v>
      </c>
      <c r="L5" t="s">
        <v>188</v>
      </c>
    </row>
    <row r="6" spans="1:12" x14ac:dyDescent="0.4">
      <c r="A6" t="s">
        <v>155</v>
      </c>
      <c r="B6" t="s">
        <v>1</v>
      </c>
      <c r="C6" t="s">
        <v>181</v>
      </c>
      <c r="D6" t="s">
        <v>182</v>
      </c>
      <c r="E6">
        <v>10000245</v>
      </c>
      <c r="F6" t="s">
        <v>183</v>
      </c>
      <c r="G6">
        <v>590798</v>
      </c>
      <c r="H6" s="184">
        <v>43857</v>
      </c>
      <c r="I6" s="184">
        <v>43858</v>
      </c>
      <c r="J6" t="s">
        <v>184</v>
      </c>
      <c r="K6">
        <v>60000</v>
      </c>
      <c r="L6" t="s">
        <v>189</v>
      </c>
    </row>
    <row r="7" spans="1:12" x14ac:dyDescent="0.4">
      <c r="A7" t="s">
        <v>155</v>
      </c>
      <c r="B7" t="s">
        <v>1</v>
      </c>
      <c r="C7" t="s">
        <v>181</v>
      </c>
      <c r="D7" t="s">
        <v>182</v>
      </c>
      <c r="E7">
        <v>10000245</v>
      </c>
      <c r="F7" t="s">
        <v>183</v>
      </c>
      <c r="G7">
        <v>590798</v>
      </c>
      <c r="H7" s="184">
        <v>43857</v>
      </c>
      <c r="I7" s="184">
        <v>43858</v>
      </c>
      <c r="J7" t="s">
        <v>184</v>
      </c>
      <c r="K7">
        <v>60000</v>
      </c>
      <c r="L7" t="s">
        <v>190</v>
      </c>
    </row>
    <row r="8" spans="1:12" x14ac:dyDescent="0.4">
      <c r="A8" t="s">
        <v>155</v>
      </c>
      <c r="B8" t="s">
        <v>1</v>
      </c>
      <c r="C8" t="s">
        <v>191</v>
      </c>
      <c r="D8" t="s">
        <v>192</v>
      </c>
      <c r="E8">
        <v>10004806</v>
      </c>
      <c r="F8" t="s">
        <v>193</v>
      </c>
      <c r="G8">
        <v>589918</v>
      </c>
      <c r="H8" s="184">
        <v>43825</v>
      </c>
      <c r="I8" s="184">
        <v>43826</v>
      </c>
      <c r="J8" t="s">
        <v>194</v>
      </c>
      <c r="K8">
        <v>60000</v>
      </c>
      <c r="L8" t="s">
        <v>195</v>
      </c>
    </row>
    <row r="9" spans="1:12" x14ac:dyDescent="0.4">
      <c r="A9" t="s">
        <v>155</v>
      </c>
      <c r="B9" t="s">
        <v>1</v>
      </c>
      <c r="C9" t="s">
        <v>191</v>
      </c>
      <c r="D9" t="s">
        <v>192</v>
      </c>
      <c r="E9">
        <v>10004806</v>
      </c>
      <c r="F9" t="s">
        <v>193</v>
      </c>
      <c r="G9">
        <v>589918</v>
      </c>
      <c r="H9" s="184">
        <v>43825</v>
      </c>
      <c r="I9" s="184">
        <v>43826</v>
      </c>
      <c r="J9" t="s">
        <v>194</v>
      </c>
      <c r="K9">
        <v>60000</v>
      </c>
      <c r="L9" t="s">
        <v>196</v>
      </c>
    </row>
    <row r="10" spans="1:12" x14ac:dyDescent="0.4">
      <c r="A10" t="s">
        <v>155</v>
      </c>
      <c r="B10" t="s">
        <v>1</v>
      </c>
      <c r="C10" t="s">
        <v>191</v>
      </c>
      <c r="D10" t="s">
        <v>192</v>
      </c>
      <c r="E10">
        <v>10004806</v>
      </c>
      <c r="F10" t="s">
        <v>193</v>
      </c>
      <c r="G10">
        <v>589918</v>
      </c>
      <c r="H10" s="184">
        <v>43825</v>
      </c>
      <c r="I10" s="184">
        <v>43826</v>
      </c>
      <c r="J10" t="s">
        <v>194</v>
      </c>
      <c r="K10">
        <v>60000</v>
      </c>
      <c r="L10" t="s">
        <v>197</v>
      </c>
    </row>
    <row r="11" spans="1:12" x14ac:dyDescent="0.4">
      <c r="A11" t="s">
        <v>155</v>
      </c>
      <c r="B11" t="s">
        <v>1</v>
      </c>
      <c r="C11" t="s">
        <v>191</v>
      </c>
      <c r="D11" t="s">
        <v>192</v>
      </c>
      <c r="E11">
        <v>10004806</v>
      </c>
      <c r="F11" t="s">
        <v>193</v>
      </c>
      <c r="G11">
        <v>589918</v>
      </c>
      <c r="H11" s="184">
        <v>43825</v>
      </c>
      <c r="I11" s="184">
        <v>43826</v>
      </c>
      <c r="J11" t="s">
        <v>194</v>
      </c>
      <c r="K11">
        <v>60000</v>
      </c>
      <c r="L11" t="s">
        <v>198</v>
      </c>
    </row>
    <row r="12" spans="1:12" x14ac:dyDescent="0.4">
      <c r="A12" t="s">
        <v>155</v>
      </c>
      <c r="B12" t="s">
        <v>1</v>
      </c>
      <c r="C12" t="s">
        <v>191</v>
      </c>
      <c r="D12" t="s">
        <v>192</v>
      </c>
      <c r="E12">
        <v>10004806</v>
      </c>
      <c r="F12" t="s">
        <v>193</v>
      </c>
      <c r="G12">
        <v>589918</v>
      </c>
      <c r="H12" s="184">
        <v>43825</v>
      </c>
      <c r="I12" s="184">
        <v>43826</v>
      </c>
      <c r="J12" t="s">
        <v>194</v>
      </c>
      <c r="K12">
        <v>60000</v>
      </c>
      <c r="L12" t="s">
        <v>199</v>
      </c>
    </row>
    <row r="13" spans="1:12" x14ac:dyDescent="0.4">
      <c r="A13" t="s">
        <v>155</v>
      </c>
      <c r="B13" t="s">
        <v>1</v>
      </c>
      <c r="C13" t="s">
        <v>191</v>
      </c>
      <c r="D13" t="s">
        <v>192</v>
      </c>
      <c r="E13">
        <v>10004806</v>
      </c>
      <c r="F13" t="s">
        <v>193</v>
      </c>
      <c r="G13">
        <v>589918</v>
      </c>
      <c r="H13" s="184">
        <v>43825</v>
      </c>
      <c r="I13" s="184">
        <v>43826</v>
      </c>
      <c r="J13" t="s">
        <v>194</v>
      </c>
      <c r="K13">
        <v>60000</v>
      </c>
      <c r="L13" t="s">
        <v>200</v>
      </c>
    </row>
    <row r="14" spans="1:12" x14ac:dyDescent="0.4">
      <c r="A14" t="s">
        <v>155</v>
      </c>
      <c r="B14" t="s">
        <v>1</v>
      </c>
      <c r="C14" t="s">
        <v>181</v>
      </c>
      <c r="D14" t="s">
        <v>182</v>
      </c>
      <c r="E14">
        <v>10015076</v>
      </c>
      <c r="F14" t="s">
        <v>201</v>
      </c>
      <c r="G14">
        <v>594605</v>
      </c>
      <c r="H14" s="184">
        <v>44070</v>
      </c>
      <c r="I14" s="184">
        <v>44074</v>
      </c>
      <c r="J14" t="s">
        <v>202</v>
      </c>
      <c r="K14">
        <v>60000</v>
      </c>
      <c r="L14" t="s">
        <v>203</v>
      </c>
    </row>
    <row r="15" spans="1:12" x14ac:dyDescent="0.4">
      <c r="A15" t="s">
        <v>155</v>
      </c>
      <c r="B15" t="s">
        <v>1</v>
      </c>
      <c r="C15" t="s">
        <v>181</v>
      </c>
      <c r="D15" t="s">
        <v>182</v>
      </c>
      <c r="E15">
        <v>10015076</v>
      </c>
      <c r="F15" t="s">
        <v>201</v>
      </c>
      <c r="G15">
        <v>594605</v>
      </c>
      <c r="H15" s="184">
        <v>44070</v>
      </c>
      <c r="I15" s="184">
        <v>44074</v>
      </c>
      <c r="J15" t="s">
        <v>202</v>
      </c>
      <c r="K15">
        <v>60000</v>
      </c>
      <c r="L15" t="s">
        <v>204</v>
      </c>
    </row>
    <row r="16" spans="1:12" x14ac:dyDescent="0.4">
      <c r="A16" t="s">
        <v>155</v>
      </c>
      <c r="B16" t="s">
        <v>1</v>
      </c>
      <c r="C16" t="s">
        <v>181</v>
      </c>
      <c r="D16" t="s">
        <v>182</v>
      </c>
      <c r="E16">
        <v>10015076</v>
      </c>
      <c r="F16" t="s">
        <v>201</v>
      </c>
      <c r="G16">
        <v>594605</v>
      </c>
      <c r="H16" s="184">
        <v>44070</v>
      </c>
      <c r="I16" s="184">
        <v>44074</v>
      </c>
      <c r="J16" t="s">
        <v>202</v>
      </c>
      <c r="K16">
        <v>60000</v>
      </c>
      <c r="L16" t="s">
        <v>205</v>
      </c>
    </row>
    <row r="17" spans="1:12" x14ac:dyDescent="0.4">
      <c r="A17" t="s">
        <v>155</v>
      </c>
      <c r="B17" t="s">
        <v>1</v>
      </c>
      <c r="C17" t="s">
        <v>181</v>
      </c>
      <c r="D17" t="s">
        <v>182</v>
      </c>
      <c r="E17">
        <v>10015076</v>
      </c>
      <c r="F17" t="s">
        <v>201</v>
      </c>
      <c r="G17">
        <v>594605</v>
      </c>
      <c r="H17" s="184">
        <v>44070</v>
      </c>
      <c r="I17" s="184">
        <v>44074</v>
      </c>
      <c r="J17" t="s">
        <v>202</v>
      </c>
      <c r="K17">
        <v>60000</v>
      </c>
      <c r="L17" t="s">
        <v>206</v>
      </c>
    </row>
    <row r="18" spans="1:12" x14ac:dyDescent="0.4">
      <c r="A18" t="s">
        <v>155</v>
      </c>
      <c r="B18" t="s">
        <v>1</v>
      </c>
      <c r="C18" t="s">
        <v>181</v>
      </c>
      <c r="D18" t="s">
        <v>182</v>
      </c>
      <c r="E18">
        <v>10015076</v>
      </c>
      <c r="F18" t="s">
        <v>201</v>
      </c>
      <c r="G18">
        <v>594605</v>
      </c>
      <c r="H18" s="184">
        <v>44070</v>
      </c>
      <c r="I18" s="184">
        <v>44074</v>
      </c>
      <c r="J18" t="s">
        <v>202</v>
      </c>
      <c r="K18">
        <v>60000</v>
      </c>
      <c r="L18" t="s">
        <v>207</v>
      </c>
    </row>
    <row r="19" spans="1:12" x14ac:dyDescent="0.4">
      <c r="A19" t="s">
        <v>155</v>
      </c>
      <c r="B19" t="s">
        <v>1</v>
      </c>
      <c r="C19" t="s">
        <v>181</v>
      </c>
      <c r="D19" t="s">
        <v>182</v>
      </c>
      <c r="E19">
        <v>10015076</v>
      </c>
      <c r="F19" t="s">
        <v>201</v>
      </c>
      <c r="G19">
        <v>594605</v>
      </c>
      <c r="H19" s="184">
        <v>44070</v>
      </c>
      <c r="I19" s="184">
        <v>44074</v>
      </c>
      <c r="J19" t="s">
        <v>202</v>
      </c>
      <c r="K19">
        <v>60000</v>
      </c>
      <c r="L19" t="s">
        <v>208</v>
      </c>
    </row>
    <row r="20" spans="1:12" x14ac:dyDescent="0.4">
      <c r="A20" t="s">
        <v>155</v>
      </c>
      <c r="B20" t="s">
        <v>1</v>
      </c>
      <c r="C20" t="s">
        <v>181</v>
      </c>
      <c r="D20" t="s">
        <v>182</v>
      </c>
      <c r="E20">
        <v>10020304</v>
      </c>
      <c r="F20" t="s">
        <v>209</v>
      </c>
      <c r="G20">
        <v>596050</v>
      </c>
      <c r="H20" s="184">
        <v>44148</v>
      </c>
      <c r="I20" s="184">
        <v>44160</v>
      </c>
      <c r="J20" t="s">
        <v>210</v>
      </c>
      <c r="K20">
        <v>60000</v>
      </c>
      <c r="L20" t="s">
        <v>196</v>
      </c>
    </row>
    <row r="21" spans="1:12" x14ac:dyDescent="0.4">
      <c r="A21" t="s">
        <v>155</v>
      </c>
      <c r="B21" t="s">
        <v>1</v>
      </c>
      <c r="C21" t="s">
        <v>181</v>
      </c>
      <c r="D21" t="s">
        <v>182</v>
      </c>
      <c r="E21">
        <v>10020304</v>
      </c>
      <c r="F21" t="s">
        <v>209</v>
      </c>
      <c r="G21">
        <v>596050</v>
      </c>
      <c r="H21" s="184">
        <v>44148</v>
      </c>
      <c r="I21" s="184">
        <v>44160</v>
      </c>
      <c r="J21" t="s">
        <v>210</v>
      </c>
      <c r="K21">
        <v>60000</v>
      </c>
      <c r="L21" t="s">
        <v>211</v>
      </c>
    </row>
    <row r="22" spans="1:12" x14ac:dyDescent="0.4">
      <c r="A22" t="s">
        <v>155</v>
      </c>
      <c r="B22" t="s">
        <v>1</v>
      </c>
      <c r="C22" t="s">
        <v>181</v>
      </c>
      <c r="D22" t="s">
        <v>182</v>
      </c>
      <c r="E22">
        <v>10020304</v>
      </c>
      <c r="F22" t="s">
        <v>209</v>
      </c>
      <c r="G22">
        <v>596050</v>
      </c>
      <c r="H22" s="184">
        <v>44148</v>
      </c>
      <c r="I22" s="184">
        <v>44160</v>
      </c>
      <c r="J22" t="s">
        <v>210</v>
      </c>
      <c r="K22">
        <v>60000</v>
      </c>
      <c r="L22" t="s">
        <v>212</v>
      </c>
    </row>
    <row r="23" spans="1:12" x14ac:dyDescent="0.4">
      <c r="A23" t="s">
        <v>155</v>
      </c>
      <c r="B23" t="s">
        <v>1</v>
      </c>
      <c r="C23" t="s">
        <v>181</v>
      </c>
      <c r="D23" t="s">
        <v>182</v>
      </c>
      <c r="E23">
        <v>10020304</v>
      </c>
      <c r="F23" t="s">
        <v>209</v>
      </c>
      <c r="G23">
        <v>596050</v>
      </c>
      <c r="H23" s="184">
        <v>44148</v>
      </c>
      <c r="I23" s="184">
        <v>44160</v>
      </c>
      <c r="J23" t="s">
        <v>210</v>
      </c>
      <c r="K23">
        <v>60000</v>
      </c>
      <c r="L23" t="s">
        <v>213</v>
      </c>
    </row>
    <row r="24" spans="1:12" x14ac:dyDescent="0.4">
      <c r="A24" t="s">
        <v>155</v>
      </c>
      <c r="B24" t="s">
        <v>1</v>
      </c>
      <c r="C24" t="s">
        <v>181</v>
      </c>
      <c r="D24" t="s">
        <v>182</v>
      </c>
      <c r="E24">
        <v>10020304</v>
      </c>
      <c r="F24" t="s">
        <v>209</v>
      </c>
      <c r="G24">
        <v>596050</v>
      </c>
      <c r="H24" s="184">
        <v>44148</v>
      </c>
      <c r="I24" s="184">
        <v>44160</v>
      </c>
      <c r="J24" t="s">
        <v>210</v>
      </c>
      <c r="K24">
        <v>60000</v>
      </c>
      <c r="L24" t="s">
        <v>214</v>
      </c>
    </row>
    <row r="25" spans="1:12" x14ac:dyDescent="0.4">
      <c r="A25" t="s">
        <v>155</v>
      </c>
      <c r="B25" t="s">
        <v>1</v>
      </c>
      <c r="C25" t="s">
        <v>181</v>
      </c>
      <c r="D25" t="s">
        <v>182</v>
      </c>
      <c r="E25">
        <v>10020304</v>
      </c>
      <c r="F25" t="s">
        <v>209</v>
      </c>
      <c r="G25">
        <v>596050</v>
      </c>
      <c r="H25" s="184">
        <v>44148</v>
      </c>
      <c r="I25" s="184">
        <v>44160</v>
      </c>
      <c r="J25" t="s">
        <v>210</v>
      </c>
      <c r="K25">
        <v>60000</v>
      </c>
      <c r="L25" t="s">
        <v>215</v>
      </c>
    </row>
    <row r="26" spans="1:12" x14ac:dyDescent="0.4">
      <c r="A26" t="s">
        <v>155</v>
      </c>
      <c r="B26" t="s">
        <v>1</v>
      </c>
      <c r="C26" t="s">
        <v>181</v>
      </c>
      <c r="D26" t="s">
        <v>182</v>
      </c>
      <c r="E26">
        <v>10020518</v>
      </c>
      <c r="F26" t="s">
        <v>216</v>
      </c>
      <c r="G26">
        <v>596293</v>
      </c>
      <c r="H26" s="184">
        <v>44159</v>
      </c>
      <c r="I26" s="184">
        <v>44161</v>
      </c>
      <c r="J26" t="s">
        <v>217</v>
      </c>
      <c r="K26">
        <v>60000</v>
      </c>
      <c r="L26" t="s">
        <v>196</v>
      </c>
    </row>
    <row r="27" spans="1:12" x14ac:dyDescent="0.4">
      <c r="A27" t="s">
        <v>155</v>
      </c>
      <c r="B27" t="s">
        <v>1</v>
      </c>
      <c r="C27" t="s">
        <v>181</v>
      </c>
      <c r="D27" t="s">
        <v>182</v>
      </c>
      <c r="E27">
        <v>10020518</v>
      </c>
      <c r="F27" t="s">
        <v>216</v>
      </c>
      <c r="G27">
        <v>596293</v>
      </c>
      <c r="H27" s="184">
        <v>44159</v>
      </c>
      <c r="I27" s="184">
        <v>44161</v>
      </c>
      <c r="J27" t="s">
        <v>217</v>
      </c>
      <c r="K27">
        <v>60000</v>
      </c>
      <c r="L27" t="s">
        <v>211</v>
      </c>
    </row>
    <row r="28" spans="1:12" x14ac:dyDescent="0.4">
      <c r="A28" t="s">
        <v>155</v>
      </c>
      <c r="B28" t="s">
        <v>1</v>
      </c>
      <c r="C28" t="s">
        <v>181</v>
      </c>
      <c r="D28" t="s">
        <v>182</v>
      </c>
      <c r="E28">
        <v>10020518</v>
      </c>
      <c r="F28" t="s">
        <v>216</v>
      </c>
      <c r="G28">
        <v>596293</v>
      </c>
      <c r="H28" s="184">
        <v>44159</v>
      </c>
      <c r="I28" s="184">
        <v>44161</v>
      </c>
      <c r="J28" t="s">
        <v>217</v>
      </c>
      <c r="K28">
        <v>60000</v>
      </c>
      <c r="L28" t="s">
        <v>212</v>
      </c>
    </row>
    <row r="29" spans="1:12" x14ac:dyDescent="0.4">
      <c r="A29" t="s">
        <v>155</v>
      </c>
      <c r="B29" t="s">
        <v>1</v>
      </c>
      <c r="C29" t="s">
        <v>181</v>
      </c>
      <c r="D29" t="s">
        <v>182</v>
      </c>
      <c r="E29">
        <v>10020518</v>
      </c>
      <c r="F29" t="s">
        <v>216</v>
      </c>
      <c r="G29">
        <v>596293</v>
      </c>
      <c r="H29" s="184">
        <v>44159</v>
      </c>
      <c r="I29" s="184">
        <v>44161</v>
      </c>
      <c r="J29" t="s">
        <v>217</v>
      </c>
      <c r="K29">
        <v>60000</v>
      </c>
      <c r="L29" t="s">
        <v>213</v>
      </c>
    </row>
    <row r="30" spans="1:12" x14ac:dyDescent="0.4">
      <c r="A30" t="s">
        <v>155</v>
      </c>
      <c r="B30" t="s">
        <v>1</v>
      </c>
      <c r="C30" t="s">
        <v>181</v>
      </c>
      <c r="D30" t="s">
        <v>182</v>
      </c>
      <c r="E30">
        <v>10020518</v>
      </c>
      <c r="F30" t="s">
        <v>216</v>
      </c>
      <c r="G30">
        <v>596293</v>
      </c>
      <c r="H30" s="184">
        <v>44159</v>
      </c>
      <c r="I30" s="184">
        <v>44161</v>
      </c>
      <c r="J30" t="s">
        <v>217</v>
      </c>
      <c r="K30">
        <v>60000</v>
      </c>
      <c r="L30" t="s">
        <v>214</v>
      </c>
    </row>
    <row r="31" spans="1:12" x14ac:dyDescent="0.4">
      <c r="A31" t="s">
        <v>155</v>
      </c>
      <c r="B31" t="s">
        <v>1</v>
      </c>
      <c r="C31" t="s">
        <v>181</v>
      </c>
      <c r="D31" t="s">
        <v>182</v>
      </c>
      <c r="E31">
        <v>10020518</v>
      </c>
      <c r="F31" t="s">
        <v>216</v>
      </c>
      <c r="G31">
        <v>596293</v>
      </c>
      <c r="H31" s="184">
        <v>44159</v>
      </c>
      <c r="I31" s="184">
        <v>44161</v>
      </c>
      <c r="J31" t="s">
        <v>217</v>
      </c>
      <c r="K31">
        <v>60000</v>
      </c>
      <c r="L31" t="s">
        <v>215</v>
      </c>
    </row>
    <row r="32" spans="1:12" x14ac:dyDescent="0.4">
      <c r="A32" t="s">
        <v>155</v>
      </c>
      <c r="B32" t="s">
        <v>1</v>
      </c>
      <c r="C32" t="s">
        <v>181</v>
      </c>
      <c r="D32" t="s">
        <v>182</v>
      </c>
      <c r="E32">
        <v>10031183</v>
      </c>
      <c r="F32" t="s">
        <v>218</v>
      </c>
      <c r="G32">
        <v>594272</v>
      </c>
      <c r="H32" s="184">
        <v>44041</v>
      </c>
      <c r="I32" s="184">
        <v>44043</v>
      </c>
      <c r="J32" t="s">
        <v>219</v>
      </c>
      <c r="K32">
        <v>60000</v>
      </c>
      <c r="L32" t="s">
        <v>220</v>
      </c>
    </row>
    <row r="33" spans="1:12" x14ac:dyDescent="0.4">
      <c r="A33" t="s">
        <v>155</v>
      </c>
      <c r="B33" t="s">
        <v>1</v>
      </c>
      <c r="C33" t="s">
        <v>181</v>
      </c>
      <c r="D33" t="s">
        <v>182</v>
      </c>
      <c r="E33">
        <v>10031183</v>
      </c>
      <c r="F33" t="s">
        <v>218</v>
      </c>
      <c r="G33">
        <v>594272</v>
      </c>
      <c r="H33" s="184">
        <v>44041</v>
      </c>
      <c r="I33" s="184">
        <v>44043</v>
      </c>
      <c r="J33" t="s">
        <v>219</v>
      </c>
      <c r="K33">
        <v>60000</v>
      </c>
      <c r="L33" t="s">
        <v>221</v>
      </c>
    </row>
    <row r="34" spans="1:12" x14ac:dyDescent="0.4">
      <c r="A34" t="s">
        <v>155</v>
      </c>
      <c r="B34" t="s">
        <v>1</v>
      </c>
      <c r="C34" t="s">
        <v>181</v>
      </c>
      <c r="D34" t="s">
        <v>182</v>
      </c>
      <c r="E34">
        <v>10031183</v>
      </c>
      <c r="F34" t="s">
        <v>218</v>
      </c>
      <c r="G34">
        <v>594272</v>
      </c>
      <c r="H34" s="184">
        <v>44041</v>
      </c>
      <c r="I34" s="184">
        <v>44043</v>
      </c>
      <c r="J34" t="s">
        <v>219</v>
      </c>
      <c r="K34">
        <v>60000</v>
      </c>
      <c r="L34" t="s">
        <v>222</v>
      </c>
    </row>
    <row r="35" spans="1:12" x14ac:dyDescent="0.4">
      <c r="A35" t="s">
        <v>155</v>
      </c>
      <c r="B35" t="s">
        <v>1</v>
      </c>
      <c r="C35" t="s">
        <v>181</v>
      </c>
      <c r="D35" t="s">
        <v>182</v>
      </c>
      <c r="E35">
        <v>10031183</v>
      </c>
      <c r="F35" t="s">
        <v>218</v>
      </c>
      <c r="G35">
        <v>594272</v>
      </c>
      <c r="H35" s="184">
        <v>44041</v>
      </c>
      <c r="I35" s="184">
        <v>44043</v>
      </c>
      <c r="J35" t="s">
        <v>219</v>
      </c>
      <c r="K35">
        <v>60000</v>
      </c>
      <c r="L35" t="s">
        <v>223</v>
      </c>
    </row>
    <row r="36" spans="1:12" x14ac:dyDescent="0.4">
      <c r="A36" t="s">
        <v>155</v>
      </c>
      <c r="B36" t="s">
        <v>1</v>
      </c>
      <c r="C36" t="s">
        <v>181</v>
      </c>
      <c r="D36" t="s">
        <v>182</v>
      </c>
      <c r="E36">
        <v>10031183</v>
      </c>
      <c r="F36" t="s">
        <v>218</v>
      </c>
      <c r="G36">
        <v>594272</v>
      </c>
      <c r="H36" s="184">
        <v>44041</v>
      </c>
      <c r="I36" s="184">
        <v>44043</v>
      </c>
      <c r="J36" t="s">
        <v>219</v>
      </c>
      <c r="K36">
        <v>60000</v>
      </c>
      <c r="L36" t="s">
        <v>224</v>
      </c>
    </row>
    <row r="37" spans="1:12" x14ac:dyDescent="0.4">
      <c r="A37" t="s">
        <v>155</v>
      </c>
      <c r="B37" t="s">
        <v>1</v>
      </c>
      <c r="C37" t="s">
        <v>181</v>
      </c>
      <c r="D37" t="s">
        <v>182</v>
      </c>
      <c r="E37">
        <v>10031183</v>
      </c>
      <c r="F37" t="s">
        <v>218</v>
      </c>
      <c r="G37">
        <v>594272</v>
      </c>
      <c r="H37" s="184">
        <v>44041</v>
      </c>
      <c r="I37" s="184">
        <v>44043</v>
      </c>
      <c r="J37" t="s">
        <v>219</v>
      </c>
      <c r="K37">
        <v>60000</v>
      </c>
      <c r="L37" t="s">
        <v>225</v>
      </c>
    </row>
    <row r="38" spans="1:12" x14ac:dyDescent="0.4">
      <c r="A38" t="s">
        <v>155</v>
      </c>
      <c r="B38" t="s">
        <v>1</v>
      </c>
      <c r="C38" t="s">
        <v>191</v>
      </c>
      <c r="D38" t="s">
        <v>192</v>
      </c>
      <c r="E38">
        <v>10037691</v>
      </c>
      <c r="F38" t="s">
        <v>226</v>
      </c>
      <c r="G38">
        <v>589359</v>
      </c>
      <c r="H38" s="184">
        <v>43802</v>
      </c>
      <c r="I38" s="184">
        <v>43808</v>
      </c>
      <c r="J38" t="s">
        <v>227</v>
      </c>
      <c r="K38">
        <v>60000</v>
      </c>
      <c r="L38" t="s">
        <v>195</v>
      </c>
    </row>
    <row r="39" spans="1:12" x14ac:dyDescent="0.4">
      <c r="A39" t="s">
        <v>155</v>
      </c>
      <c r="B39" t="s">
        <v>1</v>
      </c>
      <c r="C39" t="s">
        <v>191</v>
      </c>
      <c r="D39" t="s">
        <v>192</v>
      </c>
      <c r="E39">
        <v>10037691</v>
      </c>
      <c r="F39" t="s">
        <v>226</v>
      </c>
      <c r="G39">
        <v>589359</v>
      </c>
      <c r="H39" s="184">
        <v>43802</v>
      </c>
      <c r="I39" s="184">
        <v>43808</v>
      </c>
      <c r="J39" t="s">
        <v>227</v>
      </c>
      <c r="K39">
        <v>60000</v>
      </c>
      <c r="L39" t="s">
        <v>196</v>
      </c>
    </row>
    <row r="40" spans="1:12" x14ac:dyDescent="0.4">
      <c r="A40" t="s">
        <v>155</v>
      </c>
      <c r="B40" t="s">
        <v>1</v>
      </c>
      <c r="C40" t="s">
        <v>191</v>
      </c>
      <c r="D40" t="s">
        <v>192</v>
      </c>
      <c r="E40">
        <v>10037691</v>
      </c>
      <c r="F40" t="s">
        <v>226</v>
      </c>
      <c r="G40">
        <v>589359</v>
      </c>
      <c r="H40" s="184">
        <v>43802</v>
      </c>
      <c r="I40" s="184">
        <v>43808</v>
      </c>
      <c r="J40" t="s">
        <v>227</v>
      </c>
      <c r="K40">
        <v>60000</v>
      </c>
      <c r="L40" t="s">
        <v>197</v>
      </c>
    </row>
    <row r="41" spans="1:12" x14ac:dyDescent="0.4">
      <c r="A41" t="s">
        <v>155</v>
      </c>
      <c r="B41" t="s">
        <v>1</v>
      </c>
      <c r="C41" t="s">
        <v>191</v>
      </c>
      <c r="D41" t="s">
        <v>192</v>
      </c>
      <c r="E41">
        <v>10037691</v>
      </c>
      <c r="F41" t="s">
        <v>226</v>
      </c>
      <c r="G41">
        <v>589359</v>
      </c>
      <c r="H41" s="184">
        <v>43802</v>
      </c>
      <c r="I41" s="184">
        <v>43808</v>
      </c>
      <c r="J41" t="s">
        <v>227</v>
      </c>
      <c r="K41">
        <v>60000</v>
      </c>
      <c r="L41" t="s">
        <v>198</v>
      </c>
    </row>
    <row r="42" spans="1:12" x14ac:dyDescent="0.4">
      <c r="A42" t="s">
        <v>155</v>
      </c>
      <c r="B42" t="s">
        <v>1</v>
      </c>
      <c r="C42" t="s">
        <v>191</v>
      </c>
      <c r="D42" t="s">
        <v>192</v>
      </c>
      <c r="E42">
        <v>10037691</v>
      </c>
      <c r="F42" t="s">
        <v>226</v>
      </c>
      <c r="G42">
        <v>589359</v>
      </c>
      <c r="H42" s="184">
        <v>43802</v>
      </c>
      <c r="I42" s="184">
        <v>43808</v>
      </c>
      <c r="J42" t="s">
        <v>227</v>
      </c>
      <c r="K42">
        <v>60000</v>
      </c>
      <c r="L42" t="s">
        <v>199</v>
      </c>
    </row>
    <row r="43" spans="1:12" x14ac:dyDescent="0.4">
      <c r="A43" t="s">
        <v>155</v>
      </c>
      <c r="B43" t="s">
        <v>1</v>
      </c>
      <c r="C43" t="s">
        <v>191</v>
      </c>
      <c r="D43" t="s">
        <v>192</v>
      </c>
      <c r="E43">
        <v>10037691</v>
      </c>
      <c r="F43" t="s">
        <v>226</v>
      </c>
      <c r="G43">
        <v>589359</v>
      </c>
      <c r="H43" s="184">
        <v>43802</v>
      </c>
      <c r="I43" s="184">
        <v>43808</v>
      </c>
      <c r="J43" t="s">
        <v>227</v>
      </c>
      <c r="K43">
        <v>60000</v>
      </c>
      <c r="L43" t="s">
        <v>200</v>
      </c>
    </row>
    <row r="44" spans="1:12" x14ac:dyDescent="0.4">
      <c r="A44" t="s">
        <v>155</v>
      </c>
      <c r="B44" t="s">
        <v>1</v>
      </c>
      <c r="C44" t="s">
        <v>181</v>
      </c>
      <c r="D44" t="s">
        <v>182</v>
      </c>
      <c r="E44">
        <v>10040967</v>
      </c>
      <c r="F44" t="s">
        <v>228</v>
      </c>
      <c r="G44">
        <v>597875</v>
      </c>
      <c r="H44" s="184">
        <v>44252</v>
      </c>
      <c r="I44" s="184">
        <v>44253</v>
      </c>
      <c r="J44" t="s">
        <v>229</v>
      </c>
      <c r="K44">
        <v>60000</v>
      </c>
      <c r="L44" t="s">
        <v>230</v>
      </c>
    </row>
    <row r="45" spans="1:12" x14ac:dyDescent="0.4">
      <c r="A45" t="s">
        <v>155</v>
      </c>
      <c r="B45" t="s">
        <v>1</v>
      </c>
      <c r="C45" t="s">
        <v>181</v>
      </c>
      <c r="D45" t="s">
        <v>182</v>
      </c>
      <c r="E45">
        <v>10040967</v>
      </c>
      <c r="F45" t="s">
        <v>228</v>
      </c>
      <c r="G45">
        <v>597875</v>
      </c>
      <c r="H45" s="184">
        <v>44252</v>
      </c>
      <c r="I45" s="184">
        <v>44253</v>
      </c>
      <c r="J45" t="s">
        <v>229</v>
      </c>
      <c r="K45">
        <v>60000</v>
      </c>
      <c r="L45" t="s">
        <v>231</v>
      </c>
    </row>
    <row r="46" spans="1:12" x14ac:dyDescent="0.4">
      <c r="A46" t="s">
        <v>155</v>
      </c>
      <c r="B46" t="s">
        <v>1</v>
      </c>
      <c r="C46" t="s">
        <v>181</v>
      </c>
      <c r="D46" t="s">
        <v>182</v>
      </c>
      <c r="E46">
        <v>10040967</v>
      </c>
      <c r="F46" t="s">
        <v>228</v>
      </c>
      <c r="G46">
        <v>597875</v>
      </c>
      <c r="H46" s="184">
        <v>44252</v>
      </c>
      <c r="I46" s="184">
        <v>44253</v>
      </c>
      <c r="J46" t="s">
        <v>229</v>
      </c>
      <c r="K46">
        <v>60000</v>
      </c>
      <c r="L46" t="s">
        <v>232</v>
      </c>
    </row>
    <row r="47" spans="1:12" x14ac:dyDescent="0.4">
      <c r="A47" t="s">
        <v>155</v>
      </c>
      <c r="B47" t="s">
        <v>1</v>
      </c>
      <c r="C47" t="s">
        <v>181</v>
      </c>
      <c r="D47" t="s">
        <v>182</v>
      </c>
      <c r="E47">
        <v>10040967</v>
      </c>
      <c r="F47" t="s">
        <v>228</v>
      </c>
      <c r="G47">
        <v>597875</v>
      </c>
      <c r="H47" s="184">
        <v>44252</v>
      </c>
      <c r="I47" s="184">
        <v>44253</v>
      </c>
      <c r="J47" t="s">
        <v>229</v>
      </c>
      <c r="K47">
        <v>60000</v>
      </c>
      <c r="L47" t="s">
        <v>233</v>
      </c>
    </row>
    <row r="48" spans="1:12" x14ac:dyDescent="0.4">
      <c r="A48" t="s">
        <v>155</v>
      </c>
      <c r="B48" t="s">
        <v>1</v>
      </c>
      <c r="C48" t="s">
        <v>181</v>
      </c>
      <c r="D48" t="s">
        <v>182</v>
      </c>
      <c r="E48">
        <v>10040967</v>
      </c>
      <c r="F48" t="s">
        <v>228</v>
      </c>
      <c r="G48">
        <v>597875</v>
      </c>
      <c r="H48" s="184">
        <v>44252</v>
      </c>
      <c r="I48" s="184">
        <v>44253</v>
      </c>
      <c r="J48" t="s">
        <v>229</v>
      </c>
      <c r="K48">
        <v>60000</v>
      </c>
      <c r="L48" t="s">
        <v>234</v>
      </c>
    </row>
    <row r="49" spans="1:12" x14ac:dyDescent="0.4">
      <c r="A49" t="s">
        <v>155</v>
      </c>
      <c r="B49" t="s">
        <v>1</v>
      </c>
      <c r="C49" t="s">
        <v>181</v>
      </c>
      <c r="D49" t="s">
        <v>182</v>
      </c>
      <c r="E49">
        <v>10040967</v>
      </c>
      <c r="F49" t="s">
        <v>228</v>
      </c>
      <c r="G49">
        <v>597875</v>
      </c>
      <c r="H49" s="184">
        <v>44252</v>
      </c>
      <c r="I49" s="184">
        <v>44253</v>
      </c>
      <c r="J49" t="s">
        <v>229</v>
      </c>
      <c r="K49">
        <v>60000</v>
      </c>
      <c r="L49" t="s">
        <v>235</v>
      </c>
    </row>
    <row r="50" spans="1:12" x14ac:dyDescent="0.4">
      <c r="A50" t="s">
        <v>155</v>
      </c>
      <c r="B50" t="s">
        <v>1</v>
      </c>
      <c r="C50" t="s">
        <v>181</v>
      </c>
      <c r="D50" t="s">
        <v>182</v>
      </c>
      <c r="E50">
        <v>10056455</v>
      </c>
      <c r="F50" t="s">
        <v>236</v>
      </c>
      <c r="G50">
        <v>597039</v>
      </c>
      <c r="H50" s="184">
        <v>44210</v>
      </c>
      <c r="I50" s="184">
        <v>44214</v>
      </c>
      <c r="J50" t="s">
        <v>237</v>
      </c>
      <c r="K50">
        <v>60000</v>
      </c>
      <c r="L50" t="s">
        <v>238</v>
      </c>
    </row>
    <row r="51" spans="1:12" x14ac:dyDescent="0.4">
      <c r="A51" t="s">
        <v>155</v>
      </c>
      <c r="B51" t="s">
        <v>1</v>
      </c>
      <c r="C51" t="s">
        <v>181</v>
      </c>
      <c r="D51" t="s">
        <v>182</v>
      </c>
      <c r="E51">
        <v>10056455</v>
      </c>
      <c r="F51" t="s">
        <v>236</v>
      </c>
      <c r="G51">
        <v>597039</v>
      </c>
      <c r="H51" s="184">
        <v>44210</v>
      </c>
      <c r="I51" s="184">
        <v>44214</v>
      </c>
      <c r="J51" t="s">
        <v>237</v>
      </c>
      <c r="K51">
        <v>60000</v>
      </c>
      <c r="L51" t="s">
        <v>187</v>
      </c>
    </row>
    <row r="52" spans="1:12" x14ac:dyDescent="0.4">
      <c r="A52" t="s">
        <v>155</v>
      </c>
      <c r="B52" t="s">
        <v>1</v>
      </c>
      <c r="C52" t="s">
        <v>181</v>
      </c>
      <c r="D52" t="s">
        <v>182</v>
      </c>
      <c r="E52">
        <v>10056455</v>
      </c>
      <c r="F52" t="s">
        <v>236</v>
      </c>
      <c r="G52">
        <v>597039</v>
      </c>
      <c r="H52" s="184">
        <v>44210</v>
      </c>
      <c r="I52" s="184">
        <v>44214</v>
      </c>
      <c r="J52" t="s">
        <v>237</v>
      </c>
      <c r="K52">
        <v>60000</v>
      </c>
      <c r="L52" t="s">
        <v>188</v>
      </c>
    </row>
    <row r="53" spans="1:12" x14ac:dyDescent="0.4">
      <c r="A53" t="s">
        <v>155</v>
      </c>
      <c r="B53" t="s">
        <v>1</v>
      </c>
      <c r="C53" t="s">
        <v>181</v>
      </c>
      <c r="D53" t="s">
        <v>182</v>
      </c>
      <c r="E53">
        <v>10056455</v>
      </c>
      <c r="F53" t="s">
        <v>236</v>
      </c>
      <c r="G53">
        <v>597039</v>
      </c>
      <c r="H53" s="184">
        <v>44210</v>
      </c>
      <c r="I53" s="184">
        <v>44214</v>
      </c>
      <c r="J53" t="s">
        <v>237</v>
      </c>
      <c r="K53">
        <v>60000</v>
      </c>
      <c r="L53" t="s">
        <v>189</v>
      </c>
    </row>
    <row r="54" spans="1:12" x14ac:dyDescent="0.4">
      <c r="A54" t="s">
        <v>155</v>
      </c>
      <c r="B54" t="s">
        <v>1</v>
      </c>
      <c r="C54" t="s">
        <v>181</v>
      </c>
      <c r="D54" t="s">
        <v>182</v>
      </c>
      <c r="E54">
        <v>10056455</v>
      </c>
      <c r="F54" t="s">
        <v>236</v>
      </c>
      <c r="G54">
        <v>597039</v>
      </c>
      <c r="H54" s="184">
        <v>44210</v>
      </c>
      <c r="I54" s="184">
        <v>44214</v>
      </c>
      <c r="J54" t="s">
        <v>237</v>
      </c>
      <c r="K54">
        <v>60000</v>
      </c>
      <c r="L54" t="s">
        <v>190</v>
      </c>
    </row>
    <row r="55" spans="1:12" x14ac:dyDescent="0.4">
      <c r="A55" t="s">
        <v>155</v>
      </c>
      <c r="B55" t="s">
        <v>1</v>
      </c>
      <c r="C55" t="s">
        <v>181</v>
      </c>
      <c r="D55" t="s">
        <v>182</v>
      </c>
      <c r="E55">
        <v>10056455</v>
      </c>
      <c r="F55" t="s">
        <v>236</v>
      </c>
      <c r="G55">
        <v>597039</v>
      </c>
      <c r="H55" s="184">
        <v>44210</v>
      </c>
      <c r="I55" s="184">
        <v>44214</v>
      </c>
      <c r="J55" t="s">
        <v>237</v>
      </c>
      <c r="K55">
        <v>60000</v>
      </c>
      <c r="L55" t="s">
        <v>239</v>
      </c>
    </row>
    <row r="56" spans="1:12" x14ac:dyDescent="0.4">
      <c r="A56" t="s">
        <v>155</v>
      </c>
      <c r="B56" t="s">
        <v>1</v>
      </c>
      <c r="C56" t="s">
        <v>181</v>
      </c>
      <c r="D56" t="s">
        <v>182</v>
      </c>
      <c r="E56">
        <v>10065393</v>
      </c>
      <c r="F56" t="s">
        <v>240</v>
      </c>
      <c r="G56">
        <v>598238</v>
      </c>
      <c r="H56" s="184">
        <v>44279</v>
      </c>
      <c r="I56" s="184">
        <v>44286</v>
      </c>
      <c r="J56" t="s">
        <v>241</v>
      </c>
      <c r="K56">
        <v>60000</v>
      </c>
      <c r="L56" t="s">
        <v>242</v>
      </c>
    </row>
    <row r="57" spans="1:12" x14ac:dyDescent="0.4">
      <c r="A57" t="s">
        <v>155</v>
      </c>
      <c r="B57" t="s">
        <v>1</v>
      </c>
      <c r="C57" t="s">
        <v>181</v>
      </c>
      <c r="D57" t="s">
        <v>182</v>
      </c>
      <c r="E57">
        <v>10065393</v>
      </c>
      <c r="F57" t="s">
        <v>240</v>
      </c>
      <c r="G57">
        <v>598238</v>
      </c>
      <c r="H57" s="184">
        <v>44279</v>
      </c>
      <c r="I57" s="184">
        <v>44286</v>
      </c>
      <c r="J57" t="s">
        <v>241</v>
      </c>
      <c r="K57">
        <v>60000</v>
      </c>
      <c r="L57" t="s">
        <v>243</v>
      </c>
    </row>
    <row r="58" spans="1:12" x14ac:dyDescent="0.4">
      <c r="A58" t="s">
        <v>155</v>
      </c>
      <c r="B58" t="s">
        <v>1</v>
      </c>
      <c r="C58" t="s">
        <v>181</v>
      </c>
      <c r="D58" t="s">
        <v>182</v>
      </c>
      <c r="E58">
        <v>10065393</v>
      </c>
      <c r="F58" t="s">
        <v>240</v>
      </c>
      <c r="G58">
        <v>598238</v>
      </c>
      <c r="H58" s="184">
        <v>44279</v>
      </c>
      <c r="I58" s="184">
        <v>44286</v>
      </c>
      <c r="J58" t="s">
        <v>241</v>
      </c>
      <c r="K58">
        <v>60000</v>
      </c>
      <c r="L58" t="s">
        <v>244</v>
      </c>
    </row>
    <row r="59" spans="1:12" x14ac:dyDescent="0.4">
      <c r="A59" t="s">
        <v>155</v>
      </c>
      <c r="B59" t="s">
        <v>1</v>
      </c>
      <c r="C59" t="s">
        <v>181</v>
      </c>
      <c r="D59" t="s">
        <v>182</v>
      </c>
      <c r="E59">
        <v>10065393</v>
      </c>
      <c r="F59" t="s">
        <v>240</v>
      </c>
      <c r="G59">
        <v>598238</v>
      </c>
      <c r="H59" s="184">
        <v>44279</v>
      </c>
      <c r="I59" s="184">
        <v>44286</v>
      </c>
      <c r="J59" t="s">
        <v>241</v>
      </c>
      <c r="K59">
        <v>60000</v>
      </c>
      <c r="L59" t="s">
        <v>245</v>
      </c>
    </row>
    <row r="60" spans="1:12" x14ac:dyDescent="0.4">
      <c r="A60" t="s">
        <v>155</v>
      </c>
      <c r="B60" t="s">
        <v>1</v>
      </c>
      <c r="C60" t="s">
        <v>181</v>
      </c>
      <c r="D60" t="s">
        <v>182</v>
      </c>
      <c r="E60">
        <v>10065393</v>
      </c>
      <c r="F60" t="s">
        <v>240</v>
      </c>
      <c r="G60">
        <v>598238</v>
      </c>
      <c r="H60" s="184">
        <v>44279</v>
      </c>
      <c r="I60" s="184">
        <v>44286</v>
      </c>
      <c r="J60" t="s">
        <v>241</v>
      </c>
      <c r="K60">
        <v>60000</v>
      </c>
      <c r="L60" t="s">
        <v>246</v>
      </c>
    </row>
    <row r="61" spans="1:12" x14ac:dyDescent="0.4">
      <c r="A61" t="s">
        <v>155</v>
      </c>
      <c r="B61" t="s">
        <v>1</v>
      </c>
      <c r="C61" t="s">
        <v>181</v>
      </c>
      <c r="D61" t="s">
        <v>182</v>
      </c>
      <c r="E61">
        <v>10065393</v>
      </c>
      <c r="F61" t="s">
        <v>240</v>
      </c>
      <c r="G61">
        <v>598238</v>
      </c>
      <c r="H61" s="184">
        <v>44279</v>
      </c>
      <c r="I61" s="184">
        <v>44286</v>
      </c>
      <c r="J61" t="s">
        <v>241</v>
      </c>
      <c r="K61">
        <v>60000</v>
      </c>
      <c r="L61" t="s">
        <v>247</v>
      </c>
    </row>
    <row r="62" spans="1:12" x14ac:dyDescent="0.4">
      <c r="A62" t="s">
        <v>155</v>
      </c>
      <c r="B62" t="s">
        <v>1</v>
      </c>
      <c r="C62" t="s">
        <v>181</v>
      </c>
      <c r="D62" t="s">
        <v>182</v>
      </c>
      <c r="E62">
        <v>10068909</v>
      </c>
      <c r="F62" t="s">
        <v>248</v>
      </c>
      <c r="G62">
        <v>595422</v>
      </c>
      <c r="H62" s="184">
        <v>44133</v>
      </c>
      <c r="I62" s="184">
        <v>44134</v>
      </c>
      <c r="J62" t="s">
        <v>249</v>
      </c>
      <c r="K62">
        <v>60000</v>
      </c>
      <c r="L62" t="s">
        <v>250</v>
      </c>
    </row>
    <row r="63" spans="1:12" x14ac:dyDescent="0.4">
      <c r="A63" t="s">
        <v>155</v>
      </c>
      <c r="B63" t="s">
        <v>1</v>
      </c>
      <c r="C63" t="s">
        <v>181</v>
      </c>
      <c r="D63" t="s">
        <v>182</v>
      </c>
      <c r="E63">
        <v>10068909</v>
      </c>
      <c r="F63" t="s">
        <v>248</v>
      </c>
      <c r="G63">
        <v>595422</v>
      </c>
      <c r="H63" s="184">
        <v>44133</v>
      </c>
      <c r="I63" s="184">
        <v>44134</v>
      </c>
      <c r="J63" t="s">
        <v>249</v>
      </c>
      <c r="K63">
        <v>60000</v>
      </c>
      <c r="L63" t="s">
        <v>251</v>
      </c>
    </row>
    <row r="64" spans="1:12" x14ac:dyDescent="0.4">
      <c r="A64" t="s">
        <v>155</v>
      </c>
      <c r="B64" t="s">
        <v>1</v>
      </c>
      <c r="C64" t="s">
        <v>181</v>
      </c>
      <c r="D64" t="s">
        <v>182</v>
      </c>
      <c r="E64">
        <v>10068909</v>
      </c>
      <c r="F64" t="s">
        <v>248</v>
      </c>
      <c r="G64">
        <v>595422</v>
      </c>
      <c r="H64" s="184">
        <v>44133</v>
      </c>
      <c r="I64" s="184">
        <v>44134</v>
      </c>
      <c r="J64" t="s">
        <v>249</v>
      </c>
      <c r="K64">
        <v>60000</v>
      </c>
      <c r="L64" t="s">
        <v>252</v>
      </c>
    </row>
    <row r="65" spans="1:12" x14ac:dyDescent="0.4">
      <c r="A65" t="s">
        <v>155</v>
      </c>
      <c r="B65" t="s">
        <v>1</v>
      </c>
      <c r="C65" t="s">
        <v>181</v>
      </c>
      <c r="D65" t="s">
        <v>182</v>
      </c>
      <c r="E65">
        <v>10068909</v>
      </c>
      <c r="F65" t="s">
        <v>248</v>
      </c>
      <c r="G65">
        <v>595422</v>
      </c>
      <c r="H65" s="184">
        <v>44133</v>
      </c>
      <c r="I65" s="184">
        <v>44134</v>
      </c>
      <c r="J65" t="s">
        <v>249</v>
      </c>
      <c r="K65">
        <v>60000</v>
      </c>
      <c r="L65" t="s">
        <v>253</v>
      </c>
    </row>
    <row r="66" spans="1:12" x14ac:dyDescent="0.4">
      <c r="A66" t="s">
        <v>155</v>
      </c>
      <c r="B66" t="s">
        <v>1</v>
      </c>
      <c r="C66" t="s">
        <v>181</v>
      </c>
      <c r="D66" t="s">
        <v>182</v>
      </c>
      <c r="E66">
        <v>10068909</v>
      </c>
      <c r="F66" t="s">
        <v>248</v>
      </c>
      <c r="G66">
        <v>595422</v>
      </c>
      <c r="H66" s="184">
        <v>44133</v>
      </c>
      <c r="I66" s="184">
        <v>44134</v>
      </c>
      <c r="J66" t="s">
        <v>249</v>
      </c>
      <c r="K66">
        <v>60000</v>
      </c>
      <c r="L66" t="s">
        <v>254</v>
      </c>
    </row>
    <row r="67" spans="1:12" x14ac:dyDescent="0.4">
      <c r="A67" t="s">
        <v>155</v>
      </c>
      <c r="B67" t="s">
        <v>1</v>
      </c>
      <c r="C67" t="s">
        <v>181</v>
      </c>
      <c r="D67" t="s">
        <v>182</v>
      </c>
      <c r="E67">
        <v>10068909</v>
      </c>
      <c r="F67" t="s">
        <v>248</v>
      </c>
      <c r="G67">
        <v>595422</v>
      </c>
      <c r="H67" s="184">
        <v>44133</v>
      </c>
      <c r="I67" s="184">
        <v>44134</v>
      </c>
      <c r="J67" t="s">
        <v>249</v>
      </c>
      <c r="K67">
        <v>60000</v>
      </c>
      <c r="L67" t="s">
        <v>255</v>
      </c>
    </row>
    <row r="68" spans="1:12" x14ac:dyDescent="0.4">
      <c r="A68" t="s">
        <v>155</v>
      </c>
      <c r="B68" t="s">
        <v>1</v>
      </c>
      <c r="C68" t="s">
        <v>181</v>
      </c>
      <c r="D68" t="s">
        <v>182</v>
      </c>
      <c r="E68">
        <v>10081243</v>
      </c>
      <c r="F68" t="s">
        <v>256</v>
      </c>
      <c r="G68">
        <v>599209</v>
      </c>
      <c r="H68" s="184">
        <v>44335</v>
      </c>
      <c r="I68" s="184"/>
      <c r="J68" t="s">
        <v>257</v>
      </c>
      <c r="K68">
        <v>60000</v>
      </c>
      <c r="L68" t="s">
        <v>258</v>
      </c>
    </row>
    <row r="69" spans="1:12" x14ac:dyDescent="0.4">
      <c r="A69" t="s">
        <v>155</v>
      </c>
      <c r="B69" t="s">
        <v>1</v>
      </c>
      <c r="C69" t="s">
        <v>181</v>
      </c>
      <c r="D69" t="s">
        <v>182</v>
      </c>
      <c r="E69">
        <v>10081243</v>
      </c>
      <c r="F69" t="s">
        <v>256</v>
      </c>
      <c r="G69">
        <v>599209</v>
      </c>
      <c r="H69" s="184">
        <v>44335</v>
      </c>
      <c r="I69" s="184"/>
      <c r="J69" t="s">
        <v>257</v>
      </c>
      <c r="K69">
        <v>60000</v>
      </c>
      <c r="L69" t="s">
        <v>259</v>
      </c>
    </row>
    <row r="70" spans="1:12" x14ac:dyDescent="0.4">
      <c r="A70" t="s">
        <v>155</v>
      </c>
      <c r="B70" t="s">
        <v>1</v>
      </c>
      <c r="C70" t="s">
        <v>181</v>
      </c>
      <c r="D70" t="s">
        <v>182</v>
      </c>
      <c r="E70">
        <v>10081243</v>
      </c>
      <c r="F70" t="s">
        <v>256</v>
      </c>
      <c r="G70">
        <v>599209</v>
      </c>
      <c r="H70" s="184">
        <v>44335</v>
      </c>
      <c r="I70" s="184"/>
      <c r="J70" t="s">
        <v>257</v>
      </c>
      <c r="K70">
        <v>60000</v>
      </c>
      <c r="L70" t="s">
        <v>260</v>
      </c>
    </row>
    <row r="71" spans="1:12" x14ac:dyDescent="0.4">
      <c r="A71" t="s">
        <v>155</v>
      </c>
      <c r="B71" t="s">
        <v>1</v>
      </c>
      <c r="C71" t="s">
        <v>181</v>
      </c>
      <c r="D71" t="s">
        <v>182</v>
      </c>
      <c r="E71">
        <v>10081243</v>
      </c>
      <c r="F71" t="s">
        <v>256</v>
      </c>
      <c r="G71">
        <v>599209</v>
      </c>
      <c r="H71" s="184">
        <v>44335</v>
      </c>
      <c r="I71" s="184"/>
      <c r="J71" t="s">
        <v>257</v>
      </c>
      <c r="K71">
        <v>60000</v>
      </c>
      <c r="L71" t="s">
        <v>261</v>
      </c>
    </row>
    <row r="72" spans="1:12" x14ac:dyDescent="0.4">
      <c r="A72" t="s">
        <v>155</v>
      </c>
      <c r="B72" t="s">
        <v>1</v>
      </c>
      <c r="C72" t="s">
        <v>181</v>
      </c>
      <c r="D72" t="s">
        <v>182</v>
      </c>
      <c r="E72">
        <v>10081243</v>
      </c>
      <c r="F72" t="s">
        <v>256</v>
      </c>
      <c r="G72">
        <v>599209</v>
      </c>
      <c r="H72" s="184">
        <v>44335</v>
      </c>
      <c r="I72" s="184"/>
      <c r="J72" t="s">
        <v>257</v>
      </c>
      <c r="K72">
        <v>60000</v>
      </c>
      <c r="L72" t="s">
        <v>262</v>
      </c>
    </row>
    <row r="73" spans="1:12" x14ac:dyDescent="0.4">
      <c r="A73" t="s">
        <v>155</v>
      </c>
      <c r="B73" t="s">
        <v>1</v>
      </c>
      <c r="C73" t="s">
        <v>181</v>
      </c>
      <c r="D73" t="s">
        <v>182</v>
      </c>
      <c r="E73">
        <v>10081243</v>
      </c>
      <c r="F73" t="s">
        <v>256</v>
      </c>
      <c r="G73">
        <v>599209</v>
      </c>
      <c r="H73" s="184">
        <v>44335</v>
      </c>
      <c r="I73" s="184"/>
      <c r="J73" t="s">
        <v>257</v>
      </c>
      <c r="K73">
        <v>60000</v>
      </c>
      <c r="L73" t="s">
        <v>263</v>
      </c>
    </row>
    <row r="74" spans="1:12" x14ac:dyDescent="0.4">
      <c r="A74" t="s">
        <v>155</v>
      </c>
      <c r="B74" t="s">
        <v>1</v>
      </c>
      <c r="C74" t="s">
        <v>181</v>
      </c>
      <c r="D74" t="s">
        <v>182</v>
      </c>
      <c r="E74">
        <v>10088423</v>
      </c>
      <c r="F74" t="s">
        <v>264</v>
      </c>
      <c r="G74">
        <v>590076</v>
      </c>
      <c r="H74" s="184">
        <v>43852</v>
      </c>
      <c r="I74" s="184">
        <v>43858</v>
      </c>
      <c r="J74" t="s">
        <v>265</v>
      </c>
      <c r="K74">
        <v>60000</v>
      </c>
      <c r="L74" t="s">
        <v>185</v>
      </c>
    </row>
    <row r="75" spans="1:12" x14ac:dyDescent="0.4">
      <c r="A75" t="s">
        <v>155</v>
      </c>
      <c r="B75" t="s">
        <v>1</v>
      </c>
      <c r="C75" t="s">
        <v>181</v>
      </c>
      <c r="D75" t="s">
        <v>182</v>
      </c>
      <c r="E75">
        <v>10088423</v>
      </c>
      <c r="F75" t="s">
        <v>264</v>
      </c>
      <c r="G75">
        <v>590076</v>
      </c>
      <c r="H75" s="184">
        <v>43852</v>
      </c>
      <c r="I75" s="184">
        <v>43858</v>
      </c>
      <c r="J75" t="s">
        <v>265</v>
      </c>
      <c r="K75">
        <v>60000</v>
      </c>
      <c r="L75" t="s">
        <v>186</v>
      </c>
    </row>
    <row r="76" spans="1:12" x14ac:dyDescent="0.4">
      <c r="A76" t="s">
        <v>155</v>
      </c>
      <c r="B76" t="s">
        <v>1</v>
      </c>
      <c r="C76" t="s">
        <v>181</v>
      </c>
      <c r="D76" t="s">
        <v>182</v>
      </c>
      <c r="E76">
        <v>10088423</v>
      </c>
      <c r="F76" t="s">
        <v>264</v>
      </c>
      <c r="G76">
        <v>590076</v>
      </c>
      <c r="H76" s="184">
        <v>43852</v>
      </c>
      <c r="I76" s="184">
        <v>43858</v>
      </c>
      <c r="J76" t="s">
        <v>265</v>
      </c>
      <c r="K76">
        <v>60000</v>
      </c>
      <c r="L76" t="s">
        <v>187</v>
      </c>
    </row>
    <row r="77" spans="1:12" x14ac:dyDescent="0.4">
      <c r="A77" t="s">
        <v>155</v>
      </c>
      <c r="B77" t="s">
        <v>1</v>
      </c>
      <c r="C77" t="s">
        <v>181</v>
      </c>
      <c r="D77" t="s">
        <v>182</v>
      </c>
      <c r="E77">
        <v>10088423</v>
      </c>
      <c r="F77" t="s">
        <v>264</v>
      </c>
      <c r="G77">
        <v>590076</v>
      </c>
      <c r="H77" s="184">
        <v>43852</v>
      </c>
      <c r="I77" s="184">
        <v>43858</v>
      </c>
      <c r="J77" t="s">
        <v>265</v>
      </c>
      <c r="K77">
        <v>60000</v>
      </c>
      <c r="L77" t="s">
        <v>188</v>
      </c>
    </row>
    <row r="78" spans="1:12" x14ac:dyDescent="0.4">
      <c r="A78" t="s">
        <v>155</v>
      </c>
      <c r="B78" t="s">
        <v>1</v>
      </c>
      <c r="C78" t="s">
        <v>181</v>
      </c>
      <c r="D78" t="s">
        <v>182</v>
      </c>
      <c r="E78">
        <v>10088423</v>
      </c>
      <c r="F78" t="s">
        <v>264</v>
      </c>
      <c r="G78">
        <v>590076</v>
      </c>
      <c r="H78" s="184">
        <v>43852</v>
      </c>
      <c r="I78" s="184">
        <v>43858</v>
      </c>
      <c r="J78" t="s">
        <v>265</v>
      </c>
      <c r="K78">
        <v>60000</v>
      </c>
      <c r="L78" t="s">
        <v>189</v>
      </c>
    </row>
    <row r="79" spans="1:12" x14ac:dyDescent="0.4">
      <c r="A79" t="s">
        <v>155</v>
      </c>
      <c r="B79" t="s">
        <v>1</v>
      </c>
      <c r="C79" t="s">
        <v>181</v>
      </c>
      <c r="D79" t="s">
        <v>182</v>
      </c>
      <c r="E79">
        <v>10088423</v>
      </c>
      <c r="F79" t="s">
        <v>264</v>
      </c>
      <c r="G79">
        <v>590076</v>
      </c>
      <c r="H79" s="184">
        <v>43852</v>
      </c>
      <c r="I79" s="184">
        <v>43858</v>
      </c>
      <c r="J79" t="s">
        <v>265</v>
      </c>
      <c r="K79">
        <v>60000</v>
      </c>
      <c r="L79" t="s">
        <v>190</v>
      </c>
    </row>
    <row r="80" spans="1:12" x14ac:dyDescent="0.4">
      <c r="A80" t="s">
        <v>155</v>
      </c>
      <c r="B80" t="s">
        <v>1</v>
      </c>
      <c r="C80" t="s">
        <v>191</v>
      </c>
      <c r="D80" t="s">
        <v>192</v>
      </c>
      <c r="E80">
        <v>20017854</v>
      </c>
      <c r="F80" t="s">
        <v>266</v>
      </c>
      <c r="G80">
        <v>588320</v>
      </c>
      <c r="H80" s="184">
        <v>43777</v>
      </c>
      <c r="I80" s="184">
        <v>43798</v>
      </c>
      <c r="J80" t="s">
        <v>267</v>
      </c>
      <c r="K80">
        <v>60000</v>
      </c>
      <c r="L80" t="s">
        <v>268</v>
      </c>
    </row>
    <row r="81" spans="1:12" x14ac:dyDescent="0.4">
      <c r="A81" t="s">
        <v>155</v>
      </c>
      <c r="B81" t="s">
        <v>1</v>
      </c>
      <c r="C81" t="s">
        <v>191</v>
      </c>
      <c r="D81" t="s">
        <v>192</v>
      </c>
      <c r="E81">
        <v>20017854</v>
      </c>
      <c r="F81" t="s">
        <v>266</v>
      </c>
      <c r="G81">
        <v>588320</v>
      </c>
      <c r="H81" s="184">
        <v>43777</v>
      </c>
      <c r="I81" s="184">
        <v>43798</v>
      </c>
      <c r="J81" t="s">
        <v>267</v>
      </c>
      <c r="K81">
        <v>60000</v>
      </c>
      <c r="L81" t="s">
        <v>250</v>
      </c>
    </row>
    <row r="82" spans="1:12" x14ac:dyDescent="0.4">
      <c r="A82" t="s">
        <v>155</v>
      </c>
      <c r="B82" t="s">
        <v>1</v>
      </c>
      <c r="C82" t="s">
        <v>191</v>
      </c>
      <c r="D82" t="s">
        <v>192</v>
      </c>
      <c r="E82">
        <v>20017854</v>
      </c>
      <c r="F82" t="s">
        <v>266</v>
      </c>
      <c r="G82">
        <v>588320</v>
      </c>
      <c r="H82" s="184">
        <v>43777</v>
      </c>
      <c r="I82" s="184">
        <v>43798</v>
      </c>
      <c r="J82" t="s">
        <v>267</v>
      </c>
      <c r="K82">
        <v>60000</v>
      </c>
      <c r="L82" t="s">
        <v>211</v>
      </c>
    </row>
    <row r="83" spans="1:12" x14ac:dyDescent="0.4">
      <c r="A83" t="s">
        <v>155</v>
      </c>
      <c r="B83" t="s">
        <v>1</v>
      </c>
      <c r="C83" t="s">
        <v>191</v>
      </c>
      <c r="D83" t="s">
        <v>192</v>
      </c>
      <c r="E83">
        <v>20017854</v>
      </c>
      <c r="F83" t="s">
        <v>266</v>
      </c>
      <c r="G83">
        <v>588320</v>
      </c>
      <c r="H83" s="184">
        <v>43777</v>
      </c>
      <c r="I83" s="184">
        <v>43798</v>
      </c>
      <c r="J83" t="s">
        <v>267</v>
      </c>
      <c r="K83">
        <v>60000</v>
      </c>
      <c r="L83" t="s">
        <v>212</v>
      </c>
    </row>
    <row r="84" spans="1:12" x14ac:dyDescent="0.4">
      <c r="A84" t="s">
        <v>155</v>
      </c>
      <c r="B84" t="s">
        <v>1</v>
      </c>
      <c r="C84" t="s">
        <v>191</v>
      </c>
      <c r="D84" t="s">
        <v>192</v>
      </c>
      <c r="E84">
        <v>20017854</v>
      </c>
      <c r="F84" t="s">
        <v>266</v>
      </c>
      <c r="G84">
        <v>588320</v>
      </c>
      <c r="H84" s="184">
        <v>43777</v>
      </c>
      <c r="I84" s="184">
        <v>43798</v>
      </c>
      <c r="J84" t="s">
        <v>267</v>
      </c>
      <c r="K84">
        <v>60000</v>
      </c>
      <c r="L84" t="s">
        <v>213</v>
      </c>
    </row>
    <row r="85" spans="1:12" x14ac:dyDescent="0.4">
      <c r="A85" t="s">
        <v>155</v>
      </c>
      <c r="B85" t="s">
        <v>1</v>
      </c>
      <c r="C85" t="s">
        <v>191</v>
      </c>
      <c r="D85" t="s">
        <v>192</v>
      </c>
      <c r="E85">
        <v>20017854</v>
      </c>
      <c r="F85" t="s">
        <v>266</v>
      </c>
      <c r="G85">
        <v>588320</v>
      </c>
      <c r="H85" s="184">
        <v>43777</v>
      </c>
      <c r="I85" s="184">
        <v>43798</v>
      </c>
      <c r="J85" t="s">
        <v>267</v>
      </c>
      <c r="K85">
        <v>60000</v>
      </c>
      <c r="L85" t="s">
        <v>214</v>
      </c>
    </row>
    <row r="86" spans="1:12" x14ac:dyDescent="0.4">
      <c r="A86" t="s">
        <v>155</v>
      </c>
      <c r="B86" t="s">
        <v>1</v>
      </c>
      <c r="C86" t="s">
        <v>181</v>
      </c>
      <c r="D86" t="s">
        <v>182</v>
      </c>
      <c r="E86">
        <v>20018106</v>
      </c>
      <c r="F86" t="s">
        <v>269</v>
      </c>
      <c r="G86">
        <v>589126</v>
      </c>
      <c r="H86" s="184">
        <v>43796</v>
      </c>
      <c r="I86" s="184">
        <v>43798</v>
      </c>
      <c r="J86" t="s">
        <v>270</v>
      </c>
      <c r="K86">
        <v>60000</v>
      </c>
      <c r="L86" t="s">
        <v>268</v>
      </c>
    </row>
    <row r="87" spans="1:12" x14ac:dyDescent="0.4">
      <c r="A87" t="s">
        <v>155</v>
      </c>
      <c r="B87" t="s">
        <v>1</v>
      </c>
      <c r="C87" t="s">
        <v>181</v>
      </c>
      <c r="D87" t="s">
        <v>182</v>
      </c>
      <c r="E87">
        <v>20018106</v>
      </c>
      <c r="F87" t="s">
        <v>269</v>
      </c>
      <c r="G87">
        <v>589126</v>
      </c>
      <c r="H87" s="184">
        <v>43796</v>
      </c>
      <c r="I87" s="184">
        <v>43798</v>
      </c>
      <c r="J87" t="s">
        <v>270</v>
      </c>
      <c r="K87">
        <v>60000</v>
      </c>
      <c r="L87" t="s">
        <v>250</v>
      </c>
    </row>
    <row r="88" spans="1:12" x14ac:dyDescent="0.4">
      <c r="A88" t="s">
        <v>155</v>
      </c>
      <c r="B88" t="s">
        <v>1</v>
      </c>
      <c r="C88" t="s">
        <v>181</v>
      </c>
      <c r="D88" t="s">
        <v>182</v>
      </c>
      <c r="E88">
        <v>20018106</v>
      </c>
      <c r="F88" t="s">
        <v>269</v>
      </c>
      <c r="G88">
        <v>589126</v>
      </c>
      <c r="H88" s="184">
        <v>43796</v>
      </c>
      <c r="I88" s="184">
        <v>43798</v>
      </c>
      <c r="J88" t="s">
        <v>270</v>
      </c>
      <c r="K88">
        <v>60000</v>
      </c>
      <c r="L88" t="s">
        <v>211</v>
      </c>
    </row>
    <row r="89" spans="1:12" x14ac:dyDescent="0.4">
      <c r="A89" t="s">
        <v>155</v>
      </c>
      <c r="B89" t="s">
        <v>1</v>
      </c>
      <c r="C89" t="s">
        <v>181</v>
      </c>
      <c r="D89" t="s">
        <v>182</v>
      </c>
      <c r="E89">
        <v>20018106</v>
      </c>
      <c r="F89" t="s">
        <v>269</v>
      </c>
      <c r="G89">
        <v>589126</v>
      </c>
      <c r="H89" s="184">
        <v>43796</v>
      </c>
      <c r="I89" s="184">
        <v>43798</v>
      </c>
      <c r="J89" t="s">
        <v>270</v>
      </c>
      <c r="K89">
        <v>60000</v>
      </c>
      <c r="L89" t="s">
        <v>212</v>
      </c>
    </row>
    <row r="90" spans="1:12" x14ac:dyDescent="0.4">
      <c r="A90" t="s">
        <v>155</v>
      </c>
      <c r="B90" t="s">
        <v>1</v>
      </c>
      <c r="C90" t="s">
        <v>181</v>
      </c>
      <c r="D90" t="s">
        <v>182</v>
      </c>
      <c r="E90">
        <v>20018106</v>
      </c>
      <c r="F90" t="s">
        <v>269</v>
      </c>
      <c r="G90">
        <v>589126</v>
      </c>
      <c r="H90" s="184">
        <v>43796</v>
      </c>
      <c r="I90" s="184">
        <v>43798</v>
      </c>
      <c r="J90" t="s">
        <v>270</v>
      </c>
      <c r="K90">
        <v>60000</v>
      </c>
      <c r="L90" t="s">
        <v>213</v>
      </c>
    </row>
    <row r="91" spans="1:12" x14ac:dyDescent="0.4">
      <c r="A91" t="s">
        <v>155</v>
      </c>
      <c r="B91" t="s">
        <v>1</v>
      </c>
      <c r="C91" t="s">
        <v>181</v>
      </c>
      <c r="D91" t="s">
        <v>182</v>
      </c>
      <c r="E91">
        <v>20018106</v>
      </c>
      <c r="F91" t="s">
        <v>269</v>
      </c>
      <c r="G91">
        <v>589126</v>
      </c>
      <c r="H91" s="184">
        <v>43796</v>
      </c>
      <c r="I91" s="184">
        <v>43798</v>
      </c>
      <c r="J91" t="s">
        <v>270</v>
      </c>
      <c r="K91">
        <v>60000</v>
      </c>
      <c r="L91" t="s">
        <v>214</v>
      </c>
    </row>
    <row r="92" spans="1:12" x14ac:dyDescent="0.4">
      <c r="A92" t="s">
        <v>155</v>
      </c>
      <c r="B92" t="s">
        <v>1</v>
      </c>
      <c r="C92" t="s">
        <v>181</v>
      </c>
      <c r="D92" t="s">
        <v>182</v>
      </c>
      <c r="E92">
        <v>20018216</v>
      </c>
      <c r="F92" t="s">
        <v>271</v>
      </c>
      <c r="G92">
        <v>590075</v>
      </c>
      <c r="H92" s="184">
        <v>43858</v>
      </c>
      <c r="I92" s="184">
        <v>43861</v>
      </c>
      <c r="J92" t="s">
        <v>272</v>
      </c>
      <c r="K92">
        <v>60000</v>
      </c>
      <c r="L92" t="s">
        <v>185</v>
      </c>
    </row>
    <row r="93" spans="1:12" x14ac:dyDescent="0.4">
      <c r="A93" t="s">
        <v>155</v>
      </c>
      <c r="B93" t="s">
        <v>1</v>
      </c>
      <c r="C93" t="s">
        <v>181</v>
      </c>
      <c r="D93" t="s">
        <v>182</v>
      </c>
      <c r="E93">
        <v>20018216</v>
      </c>
      <c r="F93" t="s">
        <v>271</v>
      </c>
      <c r="G93">
        <v>590075</v>
      </c>
      <c r="H93" s="184">
        <v>43858</v>
      </c>
      <c r="I93" s="184">
        <v>43861</v>
      </c>
      <c r="J93" t="s">
        <v>272</v>
      </c>
      <c r="K93">
        <v>60000</v>
      </c>
      <c r="L93" t="s">
        <v>186</v>
      </c>
    </row>
    <row r="94" spans="1:12" x14ac:dyDescent="0.4">
      <c r="A94" t="s">
        <v>155</v>
      </c>
      <c r="B94" t="s">
        <v>1</v>
      </c>
      <c r="C94" t="s">
        <v>181</v>
      </c>
      <c r="D94" t="s">
        <v>182</v>
      </c>
      <c r="E94">
        <v>20018216</v>
      </c>
      <c r="F94" t="s">
        <v>271</v>
      </c>
      <c r="G94">
        <v>590075</v>
      </c>
      <c r="H94" s="184">
        <v>43858</v>
      </c>
      <c r="I94" s="184">
        <v>43861</v>
      </c>
      <c r="J94" t="s">
        <v>272</v>
      </c>
      <c r="K94">
        <v>60000</v>
      </c>
      <c r="L94" t="s">
        <v>187</v>
      </c>
    </row>
    <row r="95" spans="1:12" x14ac:dyDescent="0.4">
      <c r="A95" t="s">
        <v>155</v>
      </c>
      <c r="B95" t="s">
        <v>1</v>
      </c>
      <c r="C95" t="s">
        <v>181</v>
      </c>
      <c r="D95" t="s">
        <v>182</v>
      </c>
      <c r="E95">
        <v>20018216</v>
      </c>
      <c r="F95" t="s">
        <v>271</v>
      </c>
      <c r="G95">
        <v>590075</v>
      </c>
      <c r="H95" s="184">
        <v>43858</v>
      </c>
      <c r="I95" s="184">
        <v>43861</v>
      </c>
      <c r="J95" t="s">
        <v>272</v>
      </c>
      <c r="K95">
        <v>60000</v>
      </c>
      <c r="L95" t="s">
        <v>188</v>
      </c>
    </row>
    <row r="96" spans="1:12" x14ac:dyDescent="0.4">
      <c r="A96" t="s">
        <v>155</v>
      </c>
      <c r="B96" t="s">
        <v>1</v>
      </c>
      <c r="C96" t="s">
        <v>181</v>
      </c>
      <c r="D96" t="s">
        <v>182</v>
      </c>
      <c r="E96">
        <v>20018216</v>
      </c>
      <c r="F96" t="s">
        <v>271</v>
      </c>
      <c r="G96">
        <v>590075</v>
      </c>
      <c r="H96" s="184">
        <v>43858</v>
      </c>
      <c r="I96" s="184">
        <v>43861</v>
      </c>
      <c r="J96" t="s">
        <v>272</v>
      </c>
      <c r="K96">
        <v>60000</v>
      </c>
      <c r="L96" t="s">
        <v>189</v>
      </c>
    </row>
    <row r="97" spans="1:12" x14ac:dyDescent="0.4">
      <c r="A97" t="s">
        <v>155</v>
      </c>
      <c r="B97" t="s">
        <v>1</v>
      </c>
      <c r="C97" t="s">
        <v>181</v>
      </c>
      <c r="D97" t="s">
        <v>182</v>
      </c>
      <c r="E97">
        <v>20018216</v>
      </c>
      <c r="F97" t="s">
        <v>271</v>
      </c>
      <c r="G97">
        <v>590075</v>
      </c>
      <c r="H97" s="184">
        <v>43858</v>
      </c>
      <c r="I97" s="184">
        <v>43861</v>
      </c>
      <c r="J97" t="s">
        <v>272</v>
      </c>
      <c r="K97">
        <v>60000</v>
      </c>
      <c r="L97" t="s">
        <v>190</v>
      </c>
    </row>
    <row r="98" spans="1:12" x14ac:dyDescent="0.4">
      <c r="A98" t="s">
        <v>155</v>
      </c>
      <c r="B98" t="s">
        <v>1</v>
      </c>
      <c r="C98" t="s">
        <v>191</v>
      </c>
      <c r="D98" t="s">
        <v>192</v>
      </c>
      <c r="E98">
        <v>20018311</v>
      </c>
      <c r="F98" t="s">
        <v>273</v>
      </c>
      <c r="G98">
        <v>591391</v>
      </c>
      <c r="H98" s="184">
        <v>43889</v>
      </c>
      <c r="I98" s="184">
        <v>43889</v>
      </c>
      <c r="J98" t="s">
        <v>274</v>
      </c>
      <c r="K98">
        <v>60000</v>
      </c>
      <c r="L98" t="s">
        <v>275</v>
      </c>
    </row>
    <row r="99" spans="1:12" x14ac:dyDescent="0.4">
      <c r="A99" t="s">
        <v>155</v>
      </c>
      <c r="B99" t="s">
        <v>1</v>
      </c>
      <c r="C99" t="s">
        <v>191</v>
      </c>
      <c r="D99" t="s">
        <v>192</v>
      </c>
      <c r="E99">
        <v>20018311</v>
      </c>
      <c r="F99" t="s">
        <v>273</v>
      </c>
      <c r="G99">
        <v>591391</v>
      </c>
      <c r="H99" s="184">
        <v>43889</v>
      </c>
      <c r="I99" s="184">
        <v>43889</v>
      </c>
      <c r="J99" t="s">
        <v>274</v>
      </c>
      <c r="K99">
        <v>60000</v>
      </c>
      <c r="L99" t="s">
        <v>238</v>
      </c>
    </row>
    <row r="100" spans="1:12" x14ac:dyDescent="0.4">
      <c r="A100" t="s">
        <v>155</v>
      </c>
      <c r="B100" t="s">
        <v>1</v>
      </c>
      <c r="C100" t="s">
        <v>191</v>
      </c>
      <c r="D100" t="s">
        <v>192</v>
      </c>
      <c r="E100">
        <v>20018311</v>
      </c>
      <c r="F100" t="s">
        <v>273</v>
      </c>
      <c r="G100">
        <v>591391</v>
      </c>
      <c r="H100" s="184">
        <v>43889</v>
      </c>
      <c r="I100" s="184">
        <v>43889</v>
      </c>
      <c r="J100" t="s">
        <v>274</v>
      </c>
      <c r="K100">
        <v>60000</v>
      </c>
      <c r="L100" t="s">
        <v>231</v>
      </c>
    </row>
    <row r="101" spans="1:12" x14ac:dyDescent="0.4">
      <c r="A101" t="s">
        <v>155</v>
      </c>
      <c r="B101" t="s">
        <v>1</v>
      </c>
      <c r="C101" t="s">
        <v>191</v>
      </c>
      <c r="D101" t="s">
        <v>192</v>
      </c>
      <c r="E101">
        <v>20018311</v>
      </c>
      <c r="F101" t="s">
        <v>273</v>
      </c>
      <c r="G101">
        <v>591391</v>
      </c>
      <c r="H101" s="184">
        <v>43889</v>
      </c>
      <c r="I101" s="184">
        <v>43889</v>
      </c>
      <c r="J101" t="s">
        <v>274</v>
      </c>
      <c r="K101">
        <v>60000</v>
      </c>
      <c r="L101" t="s">
        <v>232</v>
      </c>
    </row>
    <row r="102" spans="1:12" x14ac:dyDescent="0.4">
      <c r="A102" t="s">
        <v>155</v>
      </c>
      <c r="B102" t="s">
        <v>1</v>
      </c>
      <c r="C102" t="s">
        <v>191</v>
      </c>
      <c r="D102" t="s">
        <v>192</v>
      </c>
      <c r="E102">
        <v>20018311</v>
      </c>
      <c r="F102" t="s">
        <v>273</v>
      </c>
      <c r="G102">
        <v>591391</v>
      </c>
      <c r="H102" s="184">
        <v>43889</v>
      </c>
      <c r="I102" s="184">
        <v>43889</v>
      </c>
      <c r="J102" t="s">
        <v>274</v>
      </c>
      <c r="K102">
        <v>60000</v>
      </c>
      <c r="L102" t="s">
        <v>233</v>
      </c>
    </row>
    <row r="103" spans="1:12" x14ac:dyDescent="0.4">
      <c r="A103" t="s">
        <v>155</v>
      </c>
      <c r="B103" t="s">
        <v>1</v>
      </c>
      <c r="C103" t="s">
        <v>191</v>
      </c>
      <c r="D103" t="s">
        <v>192</v>
      </c>
      <c r="E103">
        <v>20018311</v>
      </c>
      <c r="F103" t="s">
        <v>273</v>
      </c>
      <c r="G103">
        <v>591391</v>
      </c>
      <c r="H103" s="184">
        <v>43889</v>
      </c>
      <c r="I103" s="184">
        <v>43889</v>
      </c>
      <c r="J103" t="s">
        <v>274</v>
      </c>
      <c r="K103">
        <v>60000</v>
      </c>
      <c r="L103" t="s">
        <v>234</v>
      </c>
    </row>
    <row r="104" spans="1:12" x14ac:dyDescent="0.4">
      <c r="A104" t="s">
        <v>155</v>
      </c>
      <c r="B104" t="s">
        <v>1</v>
      </c>
      <c r="C104" t="s">
        <v>181</v>
      </c>
      <c r="D104" t="s">
        <v>182</v>
      </c>
      <c r="E104">
        <v>20018336</v>
      </c>
      <c r="F104" t="s">
        <v>276</v>
      </c>
      <c r="G104">
        <v>591254</v>
      </c>
      <c r="H104" s="184">
        <v>43886</v>
      </c>
      <c r="I104" s="184">
        <v>43888</v>
      </c>
      <c r="J104" t="s">
        <v>277</v>
      </c>
      <c r="K104">
        <v>60000</v>
      </c>
      <c r="L104" t="s">
        <v>275</v>
      </c>
    </row>
    <row r="105" spans="1:12" x14ac:dyDescent="0.4">
      <c r="A105" t="s">
        <v>155</v>
      </c>
      <c r="B105" t="s">
        <v>1</v>
      </c>
      <c r="C105" t="s">
        <v>181</v>
      </c>
      <c r="D105" t="s">
        <v>182</v>
      </c>
      <c r="E105">
        <v>20018336</v>
      </c>
      <c r="F105" t="s">
        <v>276</v>
      </c>
      <c r="G105">
        <v>591254</v>
      </c>
      <c r="H105" s="184">
        <v>43886</v>
      </c>
      <c r="I105" s="184">
        <v>43888</v>
      </c>
      <c r="J105" t="s">
        <v>277</v>
      </c>
      <c r="K105">
        <v>60000</v>
      </c>
      <c r="L105" t="s">
        <v>238</v>
      </c>
    </row>
    <row r="106" spans="1:12" x14ac:dyDescent="0.4">
      <c r="A106" t="s">
        <v>155</v>
      </c>
      <c r="B106" t="s">
        <v>1</v>
      </c>
      <c r="C106" t="s">
        <v>181</v>
      </c>
      <c r="D106" t="s">
        <v>182</v>
      </c>
      <c r="E106">
        <v>20018336</v>
      </c>
      <c r="F106" t="s">
        <v>276</v>
      </c>
      <c r="G106">
        <v>591254</v>
      </c>
      <c r="H106" s="184">
        <v>43886</v>
      </c>
      <c r="I106" s="184">
        <v>43888</v>
      </c>
      <c r="J106" t="s">
        <v>277</v>
      </c>
      <c r="K106">
        <v>60000</v>
      </c>
      <c r="L106" t="s">
        <v>231</v>
      </c>
    </row>
    <row r="107" spans="1:12" x14ac:dyDescent="0.4">
      <c r="A107" t="s">
        <v>155</v>
      </c>
      <c r="B107" t="s">
        <v>1</v>
      </c>
      <c r="C107" t="s">
        <v>181</v>
      </c>
      <c r="D107" t="s">
        <v>182</v>
      </c>
      <c r="E107">
        <v>20018336</v>
      </c>
      <c r="F107" t="s">
        <v>276</v>
      </c>
      <c r="G107">
        <v>591254</v>
      </c>
      <c r="H107" s="184">
        <v>43886</v>
      </c>
      <c r="I107" s="184">
        <v>43888</v>
      </c>
      <c r="J107" t="s">
        <v>277</v>
      </c>
      <c r="K107">
        <v>60000</v>
      </c>
      <c r="L107" t="s">
        <v>232</v>
      </c>
    </row>
    <row r="108" spans="1:12" x14ac:dyDescent="0.4">
      <c r="A108" t="s">
        <v>155</v>
      </c>
      <c r="B108" t="s">
        <v>1</v>
      </c>
      <c r="C108" t="s">
        <v>181</v>
      </c>
      <c r="D108" t="s">
        <v>182</v>
      </c>
      <c r="E108">
        <v>20018336</v>
      </c>
      <c r="F108" t="s">
        <v>276</v>
      </c>
      <c r="G108">
        <v>591254</v>
      </c>
      <c r="H108" s="184">
        <v>43886</v>
      </c>
      <c r="I108" s="184">
        <v>43888</v>
      </c>
      <c r="J108" t="s">
        <v>277</v>
      </c>
      <c r="K108">
        <v>60000</v>
      </c>
      <c r="L108" t="s">
        <v>233</v>
      </c>
    </row>
    <row r="109" spans="1:12" x14ac:dyDescent="0.4">
      <c r="A109" t="s">
        <v>155</v>
      </c>
      <c r="B109" t="s">
        <v>1</v>
      </c>
      <c r="C109" t="s">
        <v>181</v>
      </c>
      <c r="D109" t="s">
        <v>182</v>
      </c>
      <c r="E109">
        <v>20018336</v>
      </c>
      <c r="F109" t="s">
        <v>276</v>
      </c>
      <c r="G109">
        <v>591254</v>
      </c>
      <c r="H109" s="184">
        <v>43886</v>
      </c>
      <c r="I109" s="184">
        <v>43888</v>
      </c>
      <c r="J109" t="s">
        <v>277</v>
      </c>
      <c r="K109">
        <v>60000</v>
      </c>
      <c r="L109" t="s">
        <v>234</v>
      </c>
    </row>
    <row r="110" spans="1:12" x14ac:dyDescent="0.4">
      <c r="A110" t="s">
        <v>155</v>
      </c>
      <c r="B110" t="s">
        <v>1</v>
      </c>
      <c r="C110" t="s">
        <v>181</v>
      </c>
      <c r="D110" t="s">
        <v>182</v>
      </c>
      <c r="E110">
        <v>20018393</v>
      </c>
      <c r="F110" t="s">
        <v>278</v>
      </c>
      <c r="G110">
        <v>591564</v>
      </c>
      <c r="H110" s="184">
        <v>43887</v>
      </c>
      <c r="I110" s="184">
        <v>43889</v>
      </c>
      <c r="J110" t="s">
        <v>274</v>
      </c>
      <c r="K110">
        <v>60000</v>
      </c>
      <c r="L110" t="s">
        <v>275</v>
      </c>
    </row>
    <row r="111" spans="1:12" x14ac:dyDescent="0.4">
      <c r="A111" t="s">
        <v>155</v>
      </c>
      <c r="B111" t="s">
        <v>1</v>
      </c>
      <c r="C111" t="s">
        <v>181</v>
      </c>
      <c r="D111" t="s">
        <v>182</v>
      </c>
      <c r="E111">
        <v>20018393</v>
      </c>
      <c r="F111" t="s">
        <v>278</v>
      </c>
      <c r="G111">
        <v>591564</v>
      </c>
      <c r="H111" s="184">
        <v>43887</v>
      </c>
      <c r="I111" s="184">
        <v>43889</v>
      </c>
      <c r="J111" t="s">
        <v>274</v>
      </c>
      <c r="K111">
        <v>60000</v>
      </c>
      <c r="L111" t="s">
        <v>238</v>
      </c>
    </row>
    <row r="112" spans="1:12" x14ac:dyDescent="0.4">
      <c r="A112" t="s">
        <v>155</v>
      </c>
      <c r="B112" t="s">
        <v>1</v>
      </c>
      <c r="C112" t="s">
        <v>181</v>
      </c>
      <c r="D112" t="s">
        <v>182</v>
      </c>
      <c r="E112">
        <v>20018393</v>
      </c>
      <c r="F112" t="s">
        <v>278</v>
      </c>
      <c r="G112">
        <v>591564</v>
      </c>
      <c r="H112" s="184">
        <v>43887</v>
      </c>
      <c r="I112" s="184">
        <v>43889</v>
      </c>
      <c r="J112" t="s">
        <v>274</v>
      </c>
      <c r="K112">
        <v>60000</v>
      </c>
      <c r="L112" t="s">
        <v>231</v>
      </c>
    </row>
    <row r="113" spans="1:12" x14ac:dyDescent="0.4">
      <c r="A113" t="s">
        <v>155</v>
      </c>
      <c r="B113" t="s">
        <v>1</v>
      </c>
      <c r="C113" t="s">
        <v>181</v>
      </c>
      <c r="D113" t="s">
        <v>182</v>
      </c>
      <c r="E113">
        <v>20018393</v>
      </c>
      <c r="F113" t="s">
        <v>278</v>
      </c>
      <c r="G113">
        <v>591564</v>
      </c>
      <c r="H113" s="184">
        <v>43887</v>
      </c>
      <c r="I113" s="184">
        <v>43889</v>
      </c>
      <c r="J113" t="s">
        <v>274</v>
      </c>
      <c r="K113">
        <v>60000</v>
      </c>
      <c r="L113" t="s">
        <v>232</v>
      </c>
    </row>
    <row r="114" spans="1:12" x14ac:dyDescent="0.4">
      <c r="A114" t="s">
        <v>155</v>
      </c>
      <c r="B114" t="s">
        <v>1</v>
      </c>
      <c r="C114" t="s">
        <v>181</v>
      </c>
      <c r="D114" t="s">
        <v>182</v>
      </c>
      <c r="E114">
        <v>20018393</v>
      </c>
      <c r="F114" t="s">
        <v>278</v>
      </c>
      <c r="G114">
        <v>591564</v>
      </c>
      <c r="H114" s="184">
        <v>43887</v>
      </c>
      <c r="I114" s="184">
        <v>43889</v>
      </c>
      <c r="J114" t="s">
        <v>274</v>
      </c>
      <c r="K114">
        <v>60000</v>
      </c>
      <c r="L114" t="s">
        <v>233</v>
      </c>
    </row>
    <row r="115" spans="1:12" x14ac:dyDescent="0.4">
      <c r="A115" t="s">
        <v>155</v>
      </c>
      <c r="B115" t="s">
        <v>1</v>
      </c>
      <c r="C115" t="s">
        <v>181</v>
      </c>
      <c r="D115" t="s">
        <v>182</v>
      </c>
      <c r="E115">
        <v>20018393</v>
      </c>
      <c r="F115" t="s">
        <v>278</v>
      </c>
      <c r="G115">
        <v>591564</v>
      </c>
      <c r="H115" s="184">
        <v>43887</v>
      </c>
      <c r="I115" s="184">
        <v>43889</v>
      </c>
      <c r="J115" t="s">
        <v>274</v>
      </c>
      <c r="K115">
        <v>60000</v>
      </c>
      <c r="L115" t="s">
        <v>234</v>
      </c>
    </row>
    <row r="116" spans="1:12" x14ac:dyDescent="0.4">
      <c r="A116" t="s">
        <v>155</v>
      </c>
      <c r="B116" t="s">
        <v>1</v>
      </c>
      <c r="C116" t="s">
        <v>181</v>
      </c>
      <c r="D116" t="s">
        <v>182</v>
      </c>
      <c r="E116">
        <v>20018424</v>
      </c>
      <c r="F116" t="s">
        <v>279</v>
      </c>
      <c r="G116">
        <v>591766</v>
      </c>
      <c r="H116" s="184">
        <v>43900</v>
      </c>
      <c r="I116" s="184">
        <v>43901</v>
      </c>
      <c r="J116" t="s">
        <v>280</v>
      </c>
      <c r="K116">
        <v>60000</v>
      </c>
      <c r="L116" t="s">
        <v>281</v>
      </c>
    </row>
    <row r="117" spans="1:12" x14ac:dyDescent="0.4">
      <c r="A117" t="s">
        <v>155</v>
      </c>
      <c r="B117" t="s">
        <v>1</v>
      </c>
      <c r="C117" t="s">
        <v>181</v>
      </c>
      <c r="D117" t="s">
        <v>182</v>
      </c>
      <c r="E117">
        <v>20018424</v>
      </c>
      <c r="F117" t="s">
        <v>279</v>
      </c>
      <c r="G117">
        <v>591766</v>
      </c>
      <c r="H117" s="184">
        <v>43900</v>
      </c>
      <c r="I117" s="184">
        <v>43901</v>
      </c>
      <c r="J117" t="s">
        <v>280</v>
      </c>
      <c r="K117">
        <v>60000</v>
      </c>
      <c r="L117" t="s">
        <v>230</v>
      </c>
    </row>
    <row r="118" spans="1:12" x14ac:dyDescent="0.4">
      <c r="A118" t="s">
        <v>155</v>
      </c>
      <c r="B118" t="s">
        <v>1</v>
      </c>
      <c r="C118" t="s">
        <v>181</v>
      </c>
      <c r="D118" t="s">
        <v>182</v>
      </c>
      <c r="E118">
        <v>20018424</v>
      </c>
      <c r="F118" t="s">
        <v>279</v>
      </c>
      <c r="G118">
        <v>591766</v>
      </c>
      <c r="H118" s="184">
        <v>43900</v>
      </c>
      <c r="I118" s="184">
        <v>43901</v>
      </c>
      <c r="J118" t="s">
        <v>280</v>
      </c>
      <c r="K118">
        <v>60000</v>
      </c>
      <c r="L118" t="s">
        <v>243</v>
      </c>
    </row>
    <row r="119" spans="1:12" x14ac:dyDescent="0.4">
      <c r="A119" t="s">
        <v>155</v>
      </c>
      <c r="B119" t="s">
        <v>1</v>
      </c>
      <c r="C119" t="s">
        <v>181</v>
      </c>
      <c r="D119" t="s">
        <v>182</v>
      </c>
      <c r="E119">
        <v>20018424</v>
      </c>
      <c r="F119" t="s">
        <v>279</v>
      </c>
      <c r="G119">
        <v>591766</v>
      </c>
      <c r="H119" s="184">
        <v>43900</v>
      </c>
      <c r="I119" s="184">
        <v>43901</v>
      </c>
      <c r="J119" t="s">
        <v>280</v>
      </c>
      <c r="K119">
        <v>60000</v>
      </c>
      <c r="L119" t="s">
        <v>244</v>
      </c>
    </row>
    <row r="120" spans="1:12" x14ac:dyDescent="0.4">
      <c r="A120" t="s">
        <v>155</v>
      </c>
      <c r="B120" t="s">
        <v>1</v>
      </c>
      <c r="C120" t="s">
        <v>181</v>
      </c>
      <c r="D120" t="s">
        <v>182</v>
      </c>
      <c r="E120">
        <v>20018424</v>
      </c>
      <c r="F120" t="s">
        <v>279</v>
      </c>
      <c r="G120">
        <v>591766</v>
      </c>
      <c r="H120" s="184">
        <v>43900</v>
      </c>
      <c r="I120" s="184">
        <v>43901</v>
      </c>
      <c r="J120" t="s">
        <v>280</v>
      </c>
      <c r="K120">
        <v>60000</v>
      </c>
      <c r="L120" t="s">
        <v>245</v>
      </c>
    </row>
    <row r="121" spans="1:12" x14ac:dyDescent="0.4">
      <c r="A121" t="s">
        <v>155</v>
      </c>
      <c r="B121" t="s">
        <v>1</v>
      </c>
      <c r="C121" t="s">
        <v>181</v>
      </c>
      <c r="D121" t="s">
        <v>182</v>
      </c>
      <c r="E121">
        <v>20018424</v>
      </c>
      <c r="F121" t="s">
        <v>279</v>
      </c>
      <c r="G121">
        <v>591766</v>
      </c>
      <c r="H121" s="184">
        <v>43900</v>
      </c>
      <c r="I121" s="184">
        <v>43901</v>
      </c>
      <c r="J121" t="s">
        <v>280</v>
      </c>
      <c r="K121">
        <v>60000</v>
      </c>
      <c r="L121" t="s">
        <v>246</v>
      </c>
    </row>
    <row r="122" spans="1:12" x14ac:dyDescent="0.4">
      <c r="A122" t="s">
        <v>155</v>
      </c>
      <c r="B122" t="s">
        <v>1</v>
      </c>
      <c r="C122" t="s">
        <v>181</v>
      </c>
      <c r="D122" t="s">
        <v>182</v>
      </c>
      <c r="E122">
        <v>20018517</v>
      </c>
      <c r="F122" t="s">
        <v>282</v>
      </c>
      <c r="G122">
        <v>592187</v>
      </c>
      <c r="H122" s="184">
        <v>43915</v>
      </c>
      <c r="I122" s="184">
        <v>43921</v>
      </c>
      <c r="J122" t="s">
        <v>283</v>
      </c>
      <c r="K122">
        <v>60000</v>
      </c>
      <c r="L122" t="s">
        <v>281</v>
      </c>
    </row>
    <row r="123" spans="1:12" x14ac:dyDescent="0.4">
      <c r="A123" t="s">
        <v>155</v>
      </c>
      <c r="B123" t="s">
        <v>1</v>
      </c>
      <c r="C123" t="s">
        <v>181</v>
      </c>
      <c r="D123" t="s">
        <v>182</v>
      </c>
      <c r="E123">
        <v>20018517</v>
      </c>
      <c r="F123" t="s">
        <v>282</v>
      </c>
      <c r="G123">
        <v>592187</v>
      </c>
      <c r="H123" s="184">
        <v>43915</v>
      </c>
      <c r="I123" s="184">
        <v>43921</v>
      </c>
      <c r="J123" t="s">
        <v>283</v>
      </c>
      <c r="K123">
        <v>60000</v>
      </c>
      <c r="L123" t="s">
        <v>230</v>
      </c>
    </row>
    <row r="124" spans="1:12" x14ac:dyDescent="0.4">
      <c r="A124" t="s">
        <v>155</v>
      </c>
      <c r="B124" t="s">
        <v>1</v>
      </c>
      <c r="C124" t="s">
        <v>181</v>
      </c>
      <c r="D124" t="s">
        <v>182</v>
      </c>
      <c r="E124">
        <v>20018517</v>
      </c>
      <c r="F124" t="s">
        <v>282</v>
      </c>
      <c r="G124">
        <v>592187</v>
      </c>
      <c r="H124" s="184">
        <v>43915</v>
      </c>
      <c r="I124" s="184">
        <v>43921</v>
      </c>
      <c r="J124" t="s">
        <v>283</v>
      </c>
      <c r="K124">
        <v>60000</v>
      </c>
      <c r="L124" t="s">
        <v>243</v>
      </c>
    </row>
    <row r="125" spans="1:12" x14ac:dyDescent="0.4">
      <c r="A125" t="s">
        <v>155</v>
      </c>
      <c r="B125" t="s">
        <v>1</v>
      </c>
      <c r="C125" t="s">
        <v>181</v>
      </c>
      <c r="D125" t="s">
        <v>182</v>
      </c>
      <c r="E125">
        <v>20018517</v>
      </c>
      <c r="F125" t="s">
        <v>282</v>
      </c>
      <c r="G125">
        <v>592187</v>
      </c>
      <c r="H125" s="184">
        <v>43915</v>
      </c>
      <c r="I125" s="184">
        <v>43921</v>
      </c>
      <c r="J125" t="s">
        <v>283</v>
      </c>
      <c r="K125">
        <v>60000</v>
      </c>
      <c r="L125" t="s">
        <v>244</v>
      </c>
    </row>
    <row r="126" spans="1:12" x14ac:dyDescent="0.4">
      <c r="A126" t="s">
        <v>155</v>
      </c>
      <c r="B126" t="s">
        <v>1</v>
      </c>
      <c r="C126" t="s">
        <v>181</v>
      </c>
      <c r="D126" t="s">
        <v>182</v>
      </c>
      <c r="E126">
        <v>20018517</v>
      </c>
      <c r="F126" t="s">
        <v>282</v>
      </c>
      <c r="G126">
        <v>592187</v>
      </c>
      <c r="H126" s="184">
        <v>43915</v>
      </c>
      <c r="I126" s="184">
        <v>43921</v>
      </c>
      <c r="J126" t="s">
        <v>283</v>
      </c>
      <c r="K126">
        <v>60000</v>
      </c>
      <c r="L126" t="s">
        <v>245</v>
      </c>
    </row>
    <row r="127" spans="1:12" x14ac:dyDescent="0.4">
      <c r="A127" t="s">
        <v>155</v>
      </c>
      <c r="B127" t="s">
        <v>1</v>
      </c>
      <c r="C127" t="s">
        <v>181</v>
      </c>
      <c r="D127" t="s">
        <v>182</v>
      </c>
      <c r="E127">
        <v>20018517</v>
      </c>
      <c r="F127" t="s">
        <v>282</v>
      </c>
      <c r="G127">
        <v>592187</v>
      </c>
      <c r="H127" s="184">
        <v>43915</v>
      </c>
      <c r="I127" s="184">
        <v>43921</v>
      </c>
      <c r="J127" t="s">
        <v>283</v>
      </c>
      <c r="K127">
        <v>60000</v>
      </c>
      <c r="L127" t="s">
        <v>246</v>
      </c>
    </row>
    <row r="128" spans="1:12" x14ac:dyDescent="0.4">
      <c r="A128" t="s">
        <v>155</v>
      </c>
      <c r="B128" t="s">
        <v>1</v>
      </c>
      <c r="C128" t="s">
        <v>181</v>
      </c>
      <c r="D128" t="s">
        <v>182</v>
      </c>
      <c r="E128">
        <v>20018888</v>
      </c>
      <c r="F128" t="s">
        <v>284</v>
      </c>
      <c r="G128">
        <v>597806</v>
      </c>
      <c r="H128" s="184">
        <v>44252</v>
      </c>
      <c r="I128" s="184">
        <v>44253</v>
      </c>
      <c r="J128" t="s">
        <v>285</v>
      </c>
      <c r="K128">
        <v>60000</v>
      </c>
      <c r="L128" t="s">
        <v>230</v>
      </c>
    </row>
    <row r="129" spans="1:12" x14ac:dyDescent="0.4">
      <c r="A129" t="s">
        <v>155</v>
      </c>
      <c r="B129" t="s">
        <v>1</v>
      </c>
      <c r="C129" t="s">
        <v>181</v>
      </c>
      <c r="D129" t="s">
        <v>182</v>
      </c>
      <c r="E129">
        <v>20018888</v>
      </c>
      <c r="F129" t="s">
        <v>284</v>
      </c>
      <c r="G129">
        <v>597806</v>
      </c>
      <c r="H129" s="184">
        <v>44252</v>
      </c>
      <c r="I129" s="184">
        <v>44253</v>
      </c>
      <c r="J129" t="s">
        <v>285</v>
      </c>
      <c r="K129">
        <v>60000</v>
      </c>
      <c r="L129" t="s">
        <v>231</v>
      </c>
    </row>
    <row r="130" spans="1:12" x14ac:dyDescent="0.4">
      <c r="A130" t="s">
        <v>155</v>
      </c>
      <c r="B130" t="s">
        <v>1</v>
      </c>
      <c r="C130" t="s">
        <v>181</v>
      </c>
      <c r="D130" t="s">
        <v>182</v>
      </c>
      <c r="E130">
        <v>20018888</v>
      </c>
      <c r="F130" t="s">
        <v>284</v>
      </c>
      <c r="G130">
        <v>597806</v>
      </c>
      <c r="H130" s="184">
        <v>44252</v>
      </c>
      <c r="I130" s="184">
        <v>44253</v>
      </c>
      <c r="J130" t="s">
        <v>285</v>
      </c>
      <c r="K130">
        <v>60000</v>
      </c>
      <c r="L130" t="s">
        <v>232</v>
      </c>
    </row>
    <row r="131" spans="1:12" x14ac:dyDescent="0.4">
      <c r="A131" t="s">
        <v>155</v>
      </c>
      <c r="B131" t="s">
        <v>1</v>
      </c>
      <c r="C131" t="s">
        <v>181</v>
      </c>
      <c r="D131" t="s">
        <v>182</v>
      </c>
      <c r="E131">
        <v>20018888</v>
      </c>
      <c r="F131" t="s">
        <v>284</v>
      </c>
      <c r="G131">
        <v>597806</v>
      </c>
      <c r="H131" s="184">
        <v>44252</v>
      </c>
      <c r="I131" s="184">
        <v>44253</v>
      </c>
      <c r="J131" t="s">
        <v>285</v>
      </c>
      <c r="K131">
        <v>60000</v>
      </c>
      <c r="L131" t="s">
        <v>233</v>
      </c>
    </row>
    <row r="132" spans="1:12" x14ac:dyDescent="0.4">
      <c r="A132" t="s">
        <v>155</v>
      </c>
      <c r="B132" t="s">
        <v>1</v>
      </c>
      <c r="C132" t="s">
        <v>181</v>
      </c>
      <c r="D132" t="s">
        <v>182</v>
      </c>
      <c r="E132">
        <v>20018888</v>
      </c>
      <c r="F132" t="s">
        <v>284</v>
      </c>
      <c r="G132">
        <v>597806</v>
      </c>
      <c r="H132" s="184">
        <v>44252</v>
      </c>
      <c r="I132" s="184">
        <v>44253</v>
      </c>
      <c r="J132" t="s">
        <v>285</v>
      </c>
      <c r="K132">
        <v>60000</v>
      </c>
      <c r="L132" t="s">
        <v>234</v>
      </c>
    </row>
    <row r="133" spans="1:12" x14ac:dyDescent="0.4">
      <c r="A133" t="s">
        <v>155</v>
      </c>
      <c r="B133" t="s">
        <v>1</v>
      </c>
      <c r="C133" t="s">
        <v>181</v>
      </c>
      <c r="D133" t="s">
        <v>182</v>
      </c>
      <c r="E133">
        <v>20018888</v>
      </c>
      <c r="F133" t="s">
        <v>284</v>
      </c>
      <c r="G133">
        <v>597806</v>
      </c>
      <c r="H133" s="184">
        <v>44252</v>
      </c>
      <c r="I133" s="184">
        <v>44253</v>
      </c>
      <c r="J133" t="s">
        <v>285</v>
      </c>
      <c r="K133">
        <v>60000</v>
      </c>
      <c r="L133" t="s">
        <v>235</v>
      </c>
    </row>
    <row r="134" spans="1:12" x14ac:dyDescent="0.4">
      <c r="A134" t="s">
        <v>155</v>
      </c>
      <c r="B134" t="s">
        <v>1</v>
      </c>
      <c r="C134" t="s">
        <v>181</v>
      </c>
      <c r="D134" t="s">
        <v>182</v>
      </c>
      <c r="E134">
        <v>20018892</v>
      </c>
      <c r="F134" t="s">
        <v>286</v>
      </c>
      <c r="G134">
        <v>594130</v>
      </c>
      <c r="H134" s="184">
        <v>44028</v>
      </c>
      <c r="I134" s="184">
        <v>44039</v>
      </c>
      <c r="J134" t="s">
        <v>287</v>
      </c>
      <c r="K134">
        <v>60000</v>
      </c>
      <c r="L134" t="s">
        <v>220</v>
      </c>
    </row>
    <row r="135" spans="1:12" x14ac:dyDescent="0.4">
      <c r="A135" t="s">
        <v>155</v>
      </c>
      <c r="B135" t="s">
        <v>1</v>
      </c>
      <c r="C135" t="s">
        <v>181</v>
      </c>
      <c r="D135" t="s">
        <v>182</v>
      </c>
      <c r="E135">
        <v>20018892</v>
      </c>
      <c r="F135" t="s">
        <v>286</v>
      </c>
      <c r="G135">
        <v>594130</v>
      </c>
      <c r="H135" s="184">
        <v>44028</v>
      </c>
      <c r="I135" s="184">
        <v>44039</v>
      </c>
      <c r="J135" t="s">
        <v>287</v>
      </c>
      <c r="K135">
        <v>60000</v>
      </c>
      <c r="L135" t="s">
        <v>221</v>
      </c>
    </row>
    <row r="136" spans="1:12" x14ac:dyDescent="0.4">
      <c r="A136" t="s">
        <v>155</v>
      </c>
      <c r="B136" t="s">
        <v>1</v>
      </c>
      <c r="C136" t="s">
        <v>181</v>
      </c>
      <c r="D136" t="s">
        <v>182</v>
      </c>
      <c r="E136">
        <v>20018892</v>
      </c>
      <c r="F136" t="s">
        <v>286</v>
      </c>
      <c r="G136">
        <v>594130</v>
      </c>
      <c r="H136" s="184">
        <v>44028</v>
      </c>
      <c r="I136" s="184">
        <v>44039</v>
      </c>
      <c r="J136" t="s">
        <v>287</v>
      </c>
      <c r="K136">
        <v>60000</v>
      </c>
      <c r="L136" t="s">
        <v>222</v>
      </c>
    </row>
    <row r="137" spans="1:12" x14ac:dyDescent="0.4">
      <c r="A137" t="s">
        <v>155</v>
      </c>
      <c r="B137" t="s">
        <v>1</v>
      </c>
      <c r="C137" t="s">
        <v>181</v>
      </c>
      <c r="D137" t="s">
        <v>182</v>
      </c>
      <c r="E137">
        <v>20018892</v>
      </c>
      <c r="F137" t="s">
        <v>286</v>
      </c>
      <c r="G137">
        <v>594130</v>
      </c>
      <c r="H137" s="184">
        <v>44028</v>
      </c>
      <c r="I137" s="184">
        <v>44039</v>
      </c>
      <c r="J137" t="s">
        <v>287</v>
      </c>
      <c r="K137">
        <v>60000</v>
      </c>
      <c r="L137" t="s">
        <v>223</v>
      </c>
    </row>
    <row r="138" spans="1:12" x14ac:dyDescent="0.4">
      <c r="A138" t="s">
        <v>155</v>
      </c>
      <c r="B138" t="s">
        <v>1</v>
      </c>
      <c r="C138" t="s">
        <v>181</v>
      </c>
      <c r="D138" t="s">
        <v>182</v>
      </c>
      <c r="E138">
        <v>20018892</v>
      </c>
      <c r="F138" t="s">
        <v>286</v>
      </c>
      <c r="G138">
        <v>594130</v>
      </c>
      <c r="H138" s="184">
        <v>44028</v>
      </c>
      <c r="I138" s="184">
        <v>44039</v>
      </c>
      <c r="J138" t="s">
        <v>287</v>
      </c>
      <c r="K138">
        <v>60000</v>
      </c>
      <c r="L138" t="s">
        <v>224</v>
      </c>
    </row>
    <row r="139" spans="1:12" x14ac:dyDescent="0.4">
      <c r="A139" t="s">
        <v>155</v>
      </c>
      <c r="B139" t="s">
        <v>1</v>
      </c>
      <c r="C139" t="s">
        <v>181</v>
      </c>
      <c r="D139" t="s">
        <v>182</v>
      </c>
      <c r="E139">
        <v>20018892</v>
      </c>
      <c r="F139" t="s">
        <v>286</v>
      </c>
      <c r="G139">
        <v>594130</v>
      </c>
      <c r="H139" s="184">
        <v>44028</v>
      </c>
      <c r="I139" s="184">
        <v>44039</v>
      </c>
      <c r="J139" t="s">
        <v>287</v>
      </c>
      <c r="K139">
        <v>60000</v>
      </c>
      <c r="L139" t="s">
        <v>225</v>
      </c>
    </row>
    <row r="140" spans="1:12" x14ac:dyDescent="0.4">
      <c r="A140" t="s">
        <v>155</v>
      </c>
      <c r="B140" t="s">
        <v>1</v>
      </c>
      <c r="C140" t="s">
        <v>191</v>
      </c>
      <c r="D140" t="s">
        <v>192</v>
      </c>
      <c r="E140">
        <v>20019179</v>
      </c>
      <c r="F140" t="s">
        <v>288</v>
      </c>
      <c r="G140">
        <v>595016</v>
      </c>
      <c r="H140" s="184">
        <v>44090</v>
      </c>
      <c r="I140" s="184">
        <v>44104</v>
      </c>
      <c r="J140" t="s">
        <v>289</v>
      </c>
      <c r="K140">
        <v>60000</v>
      </c>
      <c r="L140" t="s">
        <v>290</v>
      </c>
    </row>
    <row r="141" spans="1:12" x14ac:dyDescent="0.4">
      <c r="A141" t="s">
        <v>155</v>
      </c>
      <c r="B141" t="s">
        <v>1</v>
      </c>
      <c r="C141" t="s">
        <v>191</v>
      </c>
      <c r="D141" t="s">
        <v>192</v>
      </c>
      <c r="E141">
        <v>20019179</v>
      </c>
      <c r="F141" t="s">
        <v>288</v>
      </c>
      <c r="G141">
        <v>595016</v>
      </c>
      <c r="H141" s="184">
        <v>44090</v>
      </c>
      <c r="I141" s="184">
        <v>44104</v>
      </c>
      <c r="J141" t="s">
        <v>289</v>
      </c>
      <c r="K141">
        <v>60000</v>
      </c>
      <c r="L141" t="s">
        <v>291</v>
      </c>
    </row>
    <row r="142" spans="1:12" x14ac:dyDescent="0.4">
      <c r="A142" t="s">
        <v>155</v>
      </c>
      <c r="B142" t="s">
        <v>1</v>
      </c>
      <c r="C142" t="s">
        <v>191</v>
      </c>
      <c r="D142" t="s">
        <v>192</v>
      </c>
      <c r="E142">
        <v>20019179</v>
      </c>
      <c r="F142" t="s">
        <v>288</v>
      </c>
      <c r="G142">
        <v>595016</v>
      </c>
      <c r="H142" s="184">
        <v>44090</v>
      </c>
      <c r="I142" s="184">
        <v>44104</v>
      </c>
      <c r="J142" t="s">
        <v>289</v>
      </c>
      <c r="K142">
        <v>60000</v>
      </c>
      <c r="L142" t="s">
        <v>292</v>
      </c>
    </row>
    <row r="143" spans="1:12" x14ac:dyDescent="0.4">
      <c r="A143" t="s">
        <v>155</v>
      </c>
      <c r="B143" t="s">
        <v>1</v>
      </c>
      <c r="C143" t="s">
        <v>191</v>
      </c>
      <c r="D143" t="s">
        <v>192</v>
      </c>
      <c r="E143">
        <v>20019179</v>
      </c>
      <c r="F143" t="s">
        <v>288</v>
      </c>
      <c r="G143">
        <v>595016</v>
      </c>
      <c r="H143" s="184">
        <v>44090</v>
      </c>
      <c r="I143" s="184">
        <v>44104</v>
      </c>
      <c r="J143" t="s">
        <v>289</v>
      </c>
      <c r="K143">
        <v>60000</v>
      </c>
      <c r="L143" t="s">
        <v>293</v>
      </c>
    </row>
    <row r="144" spans="1:12" x14ac:dyDescent="0.4">
      <c r="A144" t="s">
        <v>155</v>
      </c>
      <c r="B144" t="s">
        <v>1</v>
      </c>
      <c r="C144" t="s">
        <v>191</v>
      </c>
      <c r="D144" t="s">
        <v>192</v>
      </c>
      <c r="E144">
        <v>20019179</v>
      </c>
      <c r="F144" t="s">
        <v>288</v>
      </c>
      <c r="G144">
        <v>595016</v>
      </c>
      <c r="H144" s="184">
        <v>44090</v>
      </c>
      <c r="I144" s="184">
        <v>44104</v>
      </c>
      <c r="J144" t="s">
        <v>289</v>
      </c>
      <c r="K144">
        <v>60000</v>
      </c>
      <c r="L144" t="s">
        <v>294</v>
      </c>
    </row>
    <row r="145" spans="1:12" x14ac:dyDescent="0.4">
      <c r="A145" t="s">
        <v>155</v>
      </c>
      <c r="B145" t="s">
        <v>1</v>
      </c>
      <c r="C145" t="s">
        <v>191</v>
      </c>
      <c r="D145" t="s">
        <v>192</v>
      </c>
      <c r="E145">
        <v>20019179</v>
      </c>
      <c r="F145" t="s">
        <v>288</v>
      </c>
      <c r="G145">
        <v>595016</v>
      </c>
      <c r="H145" s="184">
        <v>44090</v>
      </c>
      <c r="I145" s="184">
        <v>44104</v>
      </c>
      <c r="J145" t="s">
        <v>289</v>
      </c>
      <c r="K145">
        <v>60000</v>
      </c>
      <c r="L145" t="s">
        <v>295</v>
      </c>
    </row>
    <row r="146" spans="1:12" x14ac:dyDescent="0.4">
      <c r="A146" t="s">
        <v>155</v>
      </c>
      <c r="B146" t="s">
        <v>1</v>
      </c>
      <c r="C146" t="s">
        <v>191</v>
      </c>
      <c r="D146" t="s">
        <v>192</v>
      </c>
      <c r="E146">
        <v>20019184</v>
      </c>
      <c r="F146" t="s">
        <v>296</v>
      </c>
      <c r="G146">
        <v>595350</v>
      </c>
      <c r="H146" s="184">
        <v>44110</v>
      </c>
      <c r="I146" s="184">
        <v>44116</v>
      </c>
      <c r="J146" t="s">
        <v>297</v>
      </c>
      <c r="K146">
        <v>60000</v>
      </c>
      <c r="L146" t="s">
        <v>250</v>
      </c>
    </row>
    <row r="147" spans="1:12" x14ac:dyDescent="0.4">
      <c r="A147" t="s">
        <v>155</v>
      </c>
      <c r="B147" t="s">
        <v>1</v>
      </c>
      <c r="C147" t="s">
        <v>191</v>
      </c>
      <c r="D147" t="s">
        <v>192</v>
      </c>
      <c r="E147">
        <v>20019184</v>
      </c>
      <c r="F147" t="s">
        <v>296</v>
      </c>
      <c r="G147">
        <v>595350</v>
      </c>
      <c r="H147" s="184">
        <v>44110</v>
      </c>
      <c r="I147" s="184">
        <v>44116</v>
      </c>
      <c r="J147" t="s">
        <v>297</v>
      </c>
      <c r="K147">
        <v>60000</v>
      </c>
      <c r="L147" t="s">
        <v>251</v>
      </c>
    </row>
    <row r="148" spans="1:12" x14ac:dyDescent="0.4">
      <c r="A148" t="s">
        <v>155</v>
      </c>
      <c r="B148" t="s">
        <v>1</v>
      </c>
      <c r="C148" t="s">
        <v>191</v>
      </c>
      <c r="D148" t="s">
        <v>192</v>
      </c>
      <c r="E148">
        <v>20019184</v>
      </c>
      <c r="F148" t="s">
        <v>296</v>
      </c>
      <c r="G148">
        <v>595350</v>
      </c>
      <c r="H148" s="184">
        <v>44110</v>
      </c>
      <c r="I148" s="184">
        <v>44116</v>
      </c>
      <c r="J148" t="s">
        <v>297</v>
      </c>
      <c r="K148">
        <v>60000</v>
      </c>
      <c r="L148" t="s">
        <v>252</v>
      </c>
    </row>
    <row r="149" spans="1:12" x14ac:dyDescent="0.4">
      <c r="A149" t="s">
        <v>155</v>
      </c>
      <c r="B149" t="s">
        <v>1</v>
      </c>
      <c r="C149" t="s">
        <v>191</v>
      </c>
      <c r="D149" t="s">
        <v>192</v>
      </c>
      <c r="E149">
        <v>20019184</v>
      </c>
      <c r="F149" t="s">
        <v>296</v>
      </c>
      <c r="G149">
        <v>595350</v>
      </c>
      <c r="H149" s="184">
        <v>44110</v>
      </c>
      <c r="I149" s="184">
        <v>44116</v>
      </c>
      <c r="J149" t="s">
        <v>297</v>
      </c>
      <c r="K149">
        <v>60000</v>
      </c>
      <c r="L149" t="s">
        <v>253</v>
      </c>
    </row>
    <row r="150" spans="1:12" x14ac:dyDescent="0.4">
      <c r="A150" t="s">
        <v>155</v>
      </c>
      <c r="B150" t="s">
        <v>1</v>
      </c>
      <c r="C150" t="s">
        <v>191</v>
      </c>
      <c r="D150" t="s">
        <v>192</v>
      </c>
      <c r="E150">
        <v>20019184</v>
      </c>
      <c r="F150" t="s">
        <v>296</v>
      </c>
      <c r="G150">
        <v>595350</v>
      </c>
      <c r="H150" s="184">
        <v>44110</v>
      </c>
      <c r="I150" s="184">
        <v>44116</v>
      </c>
      <c r="J150" t="s">
        <v>297</v>
      </c>
      <c r="K150">
        <v>60000</v>
      </c>
      <c r="L150" t="s">
        <v>254</v>
      </c>
    </row>
    <row r="151" spans="1:12" x14ac:dyDescent="0.4">
      <c r="A151" t="s">
        <v>155</v>
      </c>
      <c r="B151" t="s">
        <v>1</v>
      </c>
      <c r="C151" t="s">
        <v>191</v>
      </c>
      <c r="D151" t="s">
        <v>192</v>
      </c>
      <c r="E151">
        <v>20019184</v>
      </c>
      <c r="F151" t="s">
        <v>296</v>
      </c>
      <c r="G151">
        <v>595350</v>
      </c>
      <c r="H151" s="184">
        <v>44110</v>
      </c>
      <c r="I151" s="184">
        <v>44116</v>
      </c>
      <c r="J151" t="s">
        <v>297</v>
      </c>
      <c r="K151">
        <v>60000</v>
      </c>
      <c r="L151" t="s">
        <v>255</v>
      </c>
    </row>
    <row r="152" spans="1:12" x14ac:dyDescent="0.4">
      <c r="A152" t="s">
        <v>155</v>
      </c>
      <c r="B152" t="s">
        <v>1</v>
      </c>
      <c r="C152" t="s">
        <v>181</v>
      </c>
      <c r="D152" t="s">
        <v>182</v>
      </c>
      <c r="E152">
        <v>20020215</v>
      </c>
      <c r="F152" t="s">
        <v>298</v>
      </c>
      <c r="G152">
        <v>597672</v>
      </c>
      <c r="H152" s="184">
        <v>44228</v>
      </c>
      <c r="I152" s="184">
        <v>44264</v>
      </c>
      <c r="J152" t="s">
        <v>299</v>
      </c>
      <c r="K152">
        <v>60000</v>
      </c>
      <c r="L152" t="s">
        <v>242</v>
      </c>
    </row>
    <row r="153" spans="1:12" x14ac:dyDescent="0.4">
      <c r="A153" t="s">
        <v>155</v>
      </c>
      <c r="B153" t="s">
        <v>1</v>
      </c>
      <c r="C153" t="s">
        <v>181</v>
      </c>
      <c r="D153" t="s">
        <v>182</v>
      </c>
      <c r="E153">
        <v>20020215</v>
      </c>
      <c r="F153" t="s">
        <v>298</v>
      </c>
      <c r="G153">
        <v>597672</v>
      </c>
      <c r="H153" s="184">
        <v>44228</v>
      </c>
      <c r="I153" s="184">
        <v>44264</v>
      </c>
      <c r="J153" t="s">
        <v>299</v>
      </c>
      <c r="K153">
        <v>60000</v>
      </c>
      <c r="L153" t="s">
        <v>243</v>
      </c>
    </row>
    <row r="154" spans="1:12" x14ac:dyDescent="0.4">
      <c r="A154" t="s">
        <v>155</v>
      </c>
      <c r="B154" t="s">
        <v>1</v>
      </c>
      <c r="C154" t="s">
        <v>181</v>
      </c>
      <c r="D154" t="s">
        <v>182</v>
      </c>
      <c r="E154">
        <v>20020215</v>
      </c>
      <c r="F154" t="s">
        <v>298</v>
      </c>
      <c r="G154">
        <v>597672</v>
      </c>
      <c r="H154" s="184">
        <v>44228</v>
      </c>
      <c r="I154" s="184">
        <v>44264</v>
      </c>
      <c r="J154" t="s">
        <v>299</v>
      </c>
      <c r="K154">
        <v>60000</v>
      </c>
      <c r="L154" t="s">
        <v>244</v>
      </c>
    </row>
    <row r="155" spans="1:12" x14ac:dyDescent="0.4">
      <c r="A155" t="s">
        <v>155</v>
      </c>
      <c r="B155" t="s">
        <v>1</v>
      </c>
      <c r="C155" t="s">
        <v>181</v>
      </c>
      <c r="D155" t="s">
        <v>182</v>
      </c>
      <c r="E155">
        <v>20020215</v>
      </c>
      <c r="F155" t="s">
        <v>298</v>
      </c>
      <c r="G155">
        <v>597672</v>
      </c>
      <c r="H155" s="184">
        <v>44228</v>
      </c>
      <c r="I155" s="184">
        <v>44264</v>
      </c>
      <c r="J155" t="s">
        <v>299</v>
      </c>
      <c r="K155">
        <v>60000</v>
      </c>
      <c r="L155" t="s">
        <v>245</v>
      </c>
    </row>
    <row r="156" spans="1:12" x14ac:dyDescent="0.4">
      <c r="A156" t="s">
        <v>155</v>
      </c>
      <c r="B156" t="s">
        <v>1</v>
      </c>
      <c r="C156" t="s">
        <v>181</v>
      </c>
      <c r="D156" t="s">
        <v>182</v>
      </c>
      <c r="E156">
        <v>20020215</v>
      </c>
      <c r="F156" t="s">
        <v>298</v>
      </c>
      <c r="G156">
        <v>597672</v>
      </c>
      <c r="H156" s="184">
        <v>44228</v>
      </c>
      <c r="I156" s="184">
        <v>44264</v>
      </c>
      <c r="J156" t="s">
        <v>299</v>
      </c>
      <c r="K156">
        <v>60000</v>
      </c>
      <c r="L156" t="s">
        <v>246</v>
      </c>
    </row>
    <row r="157" spans="1:12" x14ac:dyDescent="0.4">
      <c r="A157" t="s">
        <v>155</v>
      </c>
      <c r="B157" t="s">
        <v>1</v>
      </c>
      <c r="C157" t="s">
        <v>181</v>
      </c>
      <c r="D157" t="s">
        <v>182</v>
      </c>
      <c r="E157">
        <v>20020215</v>
      </c>
      <c r="F157" t="s">
        <v>298</v>
      </c>
      <c r="G157">
        <v>597672</v>
      </c>
      <c r="H157" s="184">
        <v>44228</v>
      </c>
      <c r="I157" s="184">
        <v>44264</v>
      </c>
      <c r="J157" t="s">
        <v>299</v>
      </c>
      <c r="K157">
        <v>60000</v>
      </c>
      <c r="L157" t="s">
        <v>247</v>
      </c>
    </row>
    <row r="158" spans="1:12" x14ac:dyDescent="0.4">
      <c r="A158" t="s">
        <v>155</v>
      </c>
      <c r="B158" t="s">
        <v>1</v>
      </c>
      <c r="C158" t="s">
        <v>181</v>
      </c>
      <c r="D158" t="s">
        <v>182</v>
      </c>
      <c r="E158">
        <v>20020224</v>
      </c>
      <c r="F158" t="s">
        <v>300</v>
      </c>
      <c r="G158">
        <v>596307</v>
      </c>
      <c r="H158" s="184">
        <v>44159</v>
      </c>
      <c r="I158" s="184">
        <v>44188</v>
      </c>
      <c r="J158" t="s">
        <v>301</v>
      </c>
      <c r="K158">
        <v>60000</v>
      </c>
      <c r="L158" t="s">
        <v>186</v>
      </c>
    </row>
    <row r="159" spans="1:12" x14ac:dyDescent="0.4">
      <c r="A159" t="s">
        <v>155</v>
      </c>
      <c r="B159" t="s">
        <v>1</v>
      </c>
      <c r="C159" t="s">
        <v>181</v>
      </c>
      <c r="D159" t="s">
        <v>182</v>
      </c>
      <c r="E159">
        <v>20020224</v>
      </c>
      <c r="F159" t="s">
        <v>300</v>
      </c>
      <c r="G159">
        <v>596307</v>
      </c>
      <c r="H159" s="184">
        <v>44159</v>
      </c>
      <c r="I159" s="184">
        <v>44188</v>
      </c>
      <c r="J159" t="s">
        <v>301</v>
      </c>
      <c r="K159">
        <v>60000</v>
      </c>
      <c r="L159" t="s">
        <v>197</v>
      </c>
    </row>
    <row r="160" spans="1:12" x14ac:dyDescent="0.4">
      <c r="A160" t="s">
        <v>155</v>
      </c>
      <c r="B160" t="s">
        <v>1</v>
      </c>
      <c r="C160" t="s">
        <v>181</v>
      </c>
      <c r="D160" t="s">
        <v>182</v>
      </c>
      <c r="E160">
        <v>20020224</v>
      </c>
      <c r="F160" t="s">
        <v>300</v>
      </c>
      <c r="G160">
        <v>596307</v>
      </c>
      <c r="H160" s="184">
        <v>44159</v>
      </c>
      <c r="I160" s="184">
        <v>44188</v>
      </c>
      <c r="J160" t="s">
        <v>301</v>
      </c>
      <c r="K160">
        <v>60000</v>
      </c>
      <c r="L160" t="s">
        <v>198</v>
      </c>
    </row>
    <row r="161" spans="1:12" x14ac:dyDescent="0.4">
      <c r="A161" t="s">
        <v>155</v>
      </c>
      <c r="B161" t="s">
        <v>1</v>
      </c>
      <c r="C161" t="s">
        <v>181</v>
      </c>
      <c r="D161" t="s">
        <v>182</v>
      </c>
      <c r="E161">
        <v>20020224</v>
      </c>
      <c r="F161" t="s">
        <v>300</v>
      </c>
      <c r="G161">
        <v>596307</v>
      </c>
      <c r="H161" s="184">
        <v>44159</v>
      </c>
      <c r="I161" s="184">
        <v>44188</v>
      </c>
      <c r="J161" t="s">
        <v>301</v>
      </c>
      <c r="K161">
        <v>60000</v>
      </c>
      <c r="L161" t="s">
        <v>199</v>
      </c>
    </row>
    <row r="162" spans="1:12" x14ac:dyDescent="0.4">
      <c r="A162" t="s">
        <v>155</v>
      </c>
      <c r="B162" t="s">
        <v>1</v>
      </c>
      <c r="C162" t="s">
        <v>181</v>
      </c>
      <c r="D162" t="s">
        <v>182</v>
      </c>
      <c r="E162">
        <v>20020224</v>
      </c>
      <c r="F162" t="s">
        <v>300</v>
      </c>
      <c r="G162">
        <v>596307</v>
      </c>
      <c r="H162" s="184">
        <v>44159</v>
      </c>
      <c r="I162" s="184">
        <v>44188</v>
      </c>
      <c r="J162" t="s">
        <v>301</v>
      </c>
      <c r="K162">
        <v>60000</v>
      </c>
      <c r="L162" t="s">
        <v>200</v>
      </c>
    </row>
    <row r="163" spans="1:12" x14ac:dyDescent="0.4">
      <c r="A163" t="s">
        <v>155</v>
      </c>
      <c r="B163" t="s">
        <v>1</v>
      </c>
      <c r="C163" t="s">
        <v>181</v>
      </c>
      <c r="D163" t="s">
        <v>182</v>
      </c>
      <c r="E163">
        <v>20020224</v>
      </c>
      <c r="F163" t="s">
        <v>300</v>
      </c>
      <c r="G163">
        <v>596307</v>
      </c>
      <c r="H163" s="184">
        <v>44159</v>
      </c>
      <c r="I163" s="184">
        <v>44188</v>
      </c>
      <c r="J163" t="s">
        <v>301</v>
      </c>
      <c r="K163">
        <v>60000</v>
      </c>
      <c r="L163" t="s">
        <v>302</v>
      </c>
    </row>
    <row r="164" spans="1:12" x14ac:dyDescent="0.4">
      <c r="A164" t="s">
        <v>155</v>
      </c>
      <c r="B164" t="s">
        <v>1</v>
      </c>
      <c r="C164" t="s">
        <v>181</v>
      </c>
      <c r="D164" t="s">
        <v>182</v>
      </c>
      <c r="E164">
        <v>20020425</v>
      </c>
      <c r="F164" t="s">
        <v>303</v>
      </c>
      <c r="G164">
        <v>597839</v>
      </c>
      <c r="H164" s="184">
        <v>44249</v>
      </c>
      <c r="I164" s="184">
        <v>44251</v>
      </c>
      <c r="J164" t="s">
        <v>304</v>
      </c>
      <c r="K164">
        <v>60000</v>
      </c>
      <c r="L164" t="s">
        <v>230</v>
      </c>
    </row>
    <row r="165" spans="1:12" x14ac:dyDescent="0.4">
      <c r="A165" t="s">
        <v>155</v>
      </c>
      <c r="B165" t="s">
        <v>1</v>
      </c>
      <c r="C165" t="s">
        <v>181</v>
      </c>
      <c r="D165" t="s">
        <v>182</v>
      </c>
      <c r="E165">
        <v>20020425</v>
      </c>
      <c r="F165" t="s">
        <v>303</v>
      </c>
      <c r="G165">
        <v>597839</v>
      </c>
      <c r="H165" s="184">
        <v>44249</v>
      </c>
      <c r="I165" s="184">
        <v>44251</v>
      </c>
      <c r="J165" t="s">
        <v>304</v>
      </c>
      <c r="K165">
        <v>60000</v>
      </c>
      <c r="L165" t="s">
        <v>231</v>
      </c>
    </row>
    <row r="166" spans="1:12" x14ac:dyDescent="0.4">
      <c r="A166" t="s">
        <v>155</v>
      </c>
      <c r="B166" t="s">
        <v>1</v>
      </c>
      <c r="C166" t="s">
        <v>181</v>
      </c>
      <c r="D166" t="s">
        <v>182</v>
      </c>
      <c r="E166">
        <v>20020425</v>
      </c>
      <c r="F166" t="s">
        <v>303</v>
      </c>
      <c r="G166">
        <v>597839</v>
      </c>
      <c r="H166" s="184">
        <v>44249</v>
      </c>
      <c r="I166" s="184">
        <v>44251</v>
      </c>
      <c r="J166" t="s">
        <v>304</v>
      </c>
      <c r="K166">
        <v>60000</v>
      </c>
      <c r="L166" t="s">
        <v>232</v>
      </c>
    </row>
    <row r="167" spans="1:12" x14ac:dyDescent="0.4">
      <c r="A167" t="s">
        <v>155</v>
      </c>
      <c r="B167" t="s">
        <v>1</v>
      </c>
      <c r="C167" t="s">
        <v>181</v>
      </c>
      <c r="D167" t="s">
        <v>182</v>
      </c>
      <c r="E167">
        <v>20020425</v>
      </c>
      <c r="F167" t="s">
        <v>303</v>
      </c>
      <c r="G167">
        <v>597839</v>
      </c>
      <c r="H167" s="184">
        <v>44249</v>
      </c>
      <c r="I167" s="184">
        <v>44251</v>
      </c>
      <c r="J167" t="s">
        <v>304</v>
      </c>
      <c r="K167">
        <v>60000</v>
      </c>
      <c r="L167" t="s">
        <v>233</v>
      </c>
    </row>
    <row r="168" spans="1:12" x14ac:dyDescent="0.4">
      <c r="A168" t="s">
        <v>155</v>
      </c>
      <c r="B168" t="s">
        <v>1</v>
      </c>
      <c r="C168" t="s">
        <v>181</v>
      </c>
      <c r="D168" t="s">
        <v>182</v>
      </c>
      <c r="E168">
        <v>20020425</v>
      </c>
      <c r="F168" t="s">
        <v>303</v>
      </c>
      <c r="G168">
        <v>597839</v>
      </c>
      <c r="H168" s="184">
        <v>44249</v>
      </c>
      <c r="I168" s="184">
        <v>44251</v>
      </c>
      <c r="J168" t="s">
        <v>304</v>
      </c>
      <c r="K168">
        <v>60000</v>
      </c>
      <c r="L168" t="s">
        <v>234</v>
      </c>
    </row>
    <row r="169" spans="1:12" x14ac:dyDescent="0.4">
      <c r="A169" t="s">
        <v>155</v>
      </c>
      <c r="B169" t="s">
        <v>1</v>
      </c>
      <c r="C169" t="s">
        <v>181</v>
      </c>
      <c r="D169" t="s">
        <v>182</v>
      </c>
      <c r="E169">
        <v>20020425</v>
      </c>
      <c r="F169" t="s">
        <v>303</v>
      </c>
      <c r="G169">
        <v>597839</v>
      </c>
      <c r="H169" s="184">
        <v>44249</v>
      </c>
      <c r="I169" s="184">
        <v>44251</v>
      </c>
      <c r="J169" t="s">
        <v>304</v>
      </c>
      <c r="K169">
        <v>60000</v>
      </c>
      <c r="L169" t="s">
        <v>235</v>
      </c>
    </row>
    <row r="170" spans="1:12" x14ac:dyDescent="0.4">
      <c r="A170" t="s">
        <v>165</v>
      </c>
      <c r="B170" t="s">
        <v>2</v>
      </c>
      <c r="C170" t="s">
        <v>305</v>
      </c>
      <c r="D170" t="s">
        <v>306</v>
      </c>
      <c r="E170">
        <v>10007509</v>
      </c>
      <c r="F170" t="s">
        <v>307</v>
      </c>
      <c r="G170">
        <v>590105</v>
      </c>
      <c r="H170" s="184">
        <v>43845</v>
      </c>
      <c r="I170" s="184">
        <v>43854</v>
      </c>
      <c r="J170" t="s">
        <v>308</v>
      </c>
      <c r="K170">
        <v>60000</v>
      </c>
      <c r="L170" t="s">
        <v>185</v>
      </c>
    </row>
    <row r="171" spans="1:12" x14ac:dyDescent="0.4">
      <c r="A171" t="s">
        <v>165</v>
      </c>
      <c r="B171" t="s">
        <v>2</v>
      </c>
      <c r="C171" t="s">
        <v>305</v>
      </c>
      <c r="D171" t="s">
        <v>306</v>
      </c>
      <c r="E171">
        <v>10007509</v>
      </c>
      <c r="F171" t="s">
        <v>307</v>
      </c>
      <c r="G171">
        <v>590105</v>
      </c>
      <c r="H171" s="184">
        <v>43845</v>
      </c>
      <c r="I171" s="184">
        <v>43854</v>
      </c>
      <c r="J171" t="s">
        <v>308</v>
      </c>
      <c r="K171">
        <v>60000</v>
      </c>
      <c r="L171" t="s">
        <v>186</v>
      </c>
    </row>
    <row r="172" spans="1:12" x14ac:dyDescent="0.4">
      <c r="A172" t="s">
        <v>165</v>
      </c>
      <c r="B172" t="s">
        <v>2</v>
      </c>
      <c r="C172" t="s">
        <v>305</v>
      </c>
      <c r="D172" t="s">
        <v>306</v>
      </c>
      <c r="E172">
        <v>10007509</v>
      </c>
      <c r="F172" t="s">
        <v>307</v>
      </c>
      <c r="G172">
        <v>590105</v>
      </c>
      <c r="H172" s="184">
        <v>43845</v>
      </c>
      <c r="I172" s="184">
        <v>43854</v>
      </c>
      <c r="J172" t="s">
        <v>308</v>
      </c>
      <c r="K172">
        <v>60000</v>
      </c>
      <c r="L172" t="s">
        <v>187</v>
      </c>
    </row>
    <row r="173" spans="1:12" x14ac:dyDescent="0.4">
      <c r="A173" t="s">
        <v>165</v>
      </c>
      <c r="B173" t="s">
        <v>2</v>
      </c>
      <c r="C173" t="s">
        <v>305</v>
      </c>
      <c r="D173" t="s">
        <v>306</v>
      </c>
      <c r="E173">
        <v>10007509</v>
      </c>
      <c r="F173" t="s">
        <v>307</v>
      </c>
      <c r="G173">
        <v>590105</v>
      </c>
      <c r="H173" s="184">
        <v>43845</v>
      </c>
      <c r="I173" s="184">
        <v>43854</v>
      </c>
      <c r="J173" t="s">
        <v>308</v>
      </c>
      <c r="K173">
        <v>60000</v>
      </c>
      <c r="L173" t="s">
        <v>188</v>
      </c>
    </row>
    <row r="174" spans="1:12" x14ac:dyDescent="0.4">
      <c r="A174" t="s">
        <v>165</v>
      </c>
      <c r="B174" t="s">
        <v>2</v>
      </c>
      <c r="C174" t="s">
        <v>305</v>
      </c>
      <c r="D174" t="s">
        <v>306</v>
      </c>
      <c r="E174">
        <v>10007509</v>
      </c>
      <c r="F174" t="s">
        <v>307</v>
      </c>
      <c r="G174">
        <v>590105</v>
      </c>
      <c r="H174" s="184">
        <v>43845</v>
      </c>
      <c r="I174" s="184">
        <v>43854</v>
      </c>
      <c r="J174" t="s">
        <v>308</v>
      </c>
      <c r="K174">
        <v>60000</v>
      </c>
      <c r="L174" t="s">
        <v>189</v>
      </c>
    </row>
    <row r="175" spans="1:12" x14ac:dyDescent="0.4">
      <c r="A175" t="s">
        <v>165</v>
      </c>
      <c r="B175" t="s">
        <v>2</v>
      </c>
      <c r="C175" t="s">
        <v>305</v>
      </c>
      <c r="D175" t="s">
        <v>306</v>
      </c>
      <c r="E175">
        <v>10007509</v>
      </c>
      <c r="F175" t="s">
        <v>307</v>
      </c>
      <c r="G175">
        <v>590105</v>
      </c>
      <c r="H175" s="184">
        <v>43845</v>
      </c>
      <c r="I175" s="184">
        <v>43854</v>
      </c>
      <c r="J175" t="s">
        <v>308</v>
      </c>
      <c r="K175">
        <v>60000</v>
      </c>
      <c r="L175" t="s">
        <v>190</v>
      </c>
    </row>
    <row r="176" spans="1:12" x14ac:dyDescent="0.4">
      <c r="A176" t="s">
        <v>165</v>
      </c>
      <c r="B176" t="s">
        <v>2</v>
      </c>
      <c r="C176" t="s">
        <v>305</v>
      </c>
      <c r="D176" t="s">
        <v>306</v>
      </c>
      <c r="E176">
        <v>10017590</v>
      </c>
      <c r="F176" t="s">
        <v>309</v>
      </c>
      <c r="G176">
        <v>598278</v>
      </c>
      <c r="H176" s="184">
        <v>44287</v>
      </c>
      <c r="I176" s="184">
        <v>44298</v>
      </c>
      <c r="J176" t="s">
        <v>310</v>
      </c>
      <c r="K176">
        <v>60000</v>
      </c>
      <c r="L176" t="s">
        <v>311</v>
      </c>
    </row>
    <row r="177" spans="1:12" x14ac:dyDescent="0.4">
      <c r="A177" t="s">
        <v>165</v>
      </c>
      <c r="B177" t="s">
        <v>2</v>
      </c>
      <c r="C177" t="s">
        <v>305</v>
      </c>
      <c r="D177" t="s">
        <v>306</v>
      </c>
      <c r="E177">
        <v>10017590</v>
      </c>
      <c r="F177" t="s">
        <v>309</v>
      </c>
      <c r="G177">
        <v>598278</v>
      </c>
      <c r="H177" s="184">
        <v>44287</v>
      </c>
      <c r="I177" s="184">
        <v>44298</v>
      </c>
      <c r="J177" t="s">
        <v>310</v>
      </c>
      <c r="K177">
        <v>60000</v>
      </c>
      <c r="L177" t="s">
        <v>312</v>
      </c>
    </row>
    <row r="178" spans="1:12" x14ac:dyDescent="0.4">
      <c r="A178" t="s">
        <v>165</v>
      </c>
      <c r="B178" t="s">
        <v>2</v>
      </c>
      <c r="C178" t="s">
        <v>305</v>
      </c>
      <c r="D178" t="s">
        <v>306</v>
      </c>
      <c r="E178">
        <v>10017590</v>
      </c>
      <c r="F178" t="s">
        <v>309</v>
      </c>
      <c r="G178">
        <v>598278</v>
      </c>
      <c r="H178" s="184">
        <v>44287</v>
      </c>
      <c r="I178" s="184">
        <v>44298</v>
      </c>
      <c r="J178" t="s">
        <v>310</v>
      </c>
      <c r="K178">
        <v>60000</v>
      </c>
      <c r="L178" t="s">
        <v>313</v>
      </c>
    </row>
    <row r="179" spans="1:12" x14ac:dyDescent="0.4">
      <c r="A179" t="s">
        <v>165</v>
      </c>
      <c r="B179" t="s">
        <v>2</v>
      </c>
      <c r="C179" t="s">
        <v>305</v>
      </c>
      <c r="D179" t="s">
        <v>306</v>
      </c>
      <c r="E179">
        <v>10017590</v>
      </c>
      <c r="F179" t="s">
        <v>309</v>
      </c>
      <c r="G179">
        <v>598278</v>
      </c>
      <c r="H179" s="184">
        <v>44287</v>
      </c>
      <c r="I179" s="184">
        <v>44298</v>
      </c>
      <c r="J179" t="s">
        <v>310</v>
      </c>
      <c r="K179">
        <v>60000</v>
      </c>
      <c r="L179" t="s">
        <v>314</v>
      </c>
    </row>
    <row r="180" spans="1:12" x14ac:dyDescent="0.4">
      <c r="A180" t="s">
        <v>165</v>
      </c>
      <c r="B180" t="s">
        <v>2</v>
      </c>
      <c r="C180" t="s">
        <v>305</v>
      </c>
      <c r="D180" t="s">
        <v>306</v>
      </c>
      <c r="E180">
        <v>10017590</v>
      </c>
      <c r="F180" t="s">
        <v>309</v>
      </c>
      <c r="G180">
        <v>598278</v>
      </c>
      <c r="H180" s="184">
        <v>44287</v>
      </c>
      <c r="I180" s="184">
        <v>44298</v>
      </c>
      <c r="J180" t="s">
        <v>310</v>
      </c>
      <c r="K180">
        <v>60000</v>
      </c>
      <c r="L180" t="s">
        <v>315</v>
      </c>
    </row>
    <row r="181" spans="1:12" x14ac:dyDescent="0.4">
      <c r="A181" t="s">
        <v>165</v>
      </c>
      <c r="B181" t="s">
        <v>2</v>
      </c>
      <c r="C181" t="s">
        <v>305</v>
      </c>
      <c r="D181" t="s">
        <v>306</v>
      </c>
      <c r="E181">
        <v>10017590</v>
      </c>
      <c r="F181" t="s">
        <v>309</v>
      </c>
      <c r="G181">
        <v>598278</v>
      </c>
      <c r="H181" s="184">
        <v>44287</v>
      </c>
      <c r="I181" s="184">
        <v>44298</v>
      </c>
      <c r="J181" t="s">
        <v>310</v>
      </c>
      <c r="K181">
        <v>60000</v>
      </c>
      <c r="L181" t="s">
        <v>316</v>
      </c>
    </row>
    <row r="182" spans="1:12" x14ac:dyDescent="0.4">
      <c r="A182" t="s">
        <v>165</v>
      </c>
      <c r="B182" t="s">
        <v>2</v>
      </c>
      <c r="C182" t="s">
        <v>305</v>
      </c>
      <c r="D182" t="s">
        <v>306</v>
      </c>
      <c r="E182">
        <v>10022352</v>
      </c>
      <c r="F182" t="s">
        <v>317</v>
      </c>
      <c r="G182">
        <v>596860</v>
      </c>
      <c r="H182" s="184">
        <v>44183</v>
      </c>
      <c r="I182" s="184">
        <v>44186</v>
      </c>
      <c r="J182" t="s">
        <v>318</v>
      </c>
      <c r="K182">
        <v>60000</v>
      </c>
      <c r="L182" t="s">
        <v>186</v>
      </c>
    </row>
    <row r="183" spans="1:12" x14ac:dyDescent="0.4">
      <c r="A183" t="s">
        <v>165</v>
      </c>
      <c r="B183" t="s">
        <v>2</v>
      </c>
      <c r="C183" t="s">
        <v>305</v>
      </c>
      <c r="D183" t="s">
        <v>306</v>
      </c>
      <c r="E183">
        <v>10022352</v>
      </c>
      <c r="F183" t="s">
        <v>317</v>
      </c>
      <c r="G183">
        <v>596860</v>
      </c>
      <c r="H183" s="184">
        <v>44183</v>
      </c>
      <c r="I183" s="184">
        <v>44186</v>
      </c>
      <c r="J183" t="s">
        <v>318</v>
      </c>
      <c r="K183">
        <v>60000</v>
      </c>
      <c r="L183" t="s">
        <v>197</v>
      </c>
    </row>
    <row r="184" spans="1:12" x14ac:dyDescent="0.4">
      <c r="A184" t="s">
        <v>165</v>
      </c>
      <c r="B184" t="s">
        <v>2</v>
      </c>
      <c r="C184" t="s">
        <v>305</v>
      </c>
      <c r="D184" t="s">
        <v>306</v>
      </c>
      <c r="E184">
        <v>10022352</v>
      </c>
      <c r="F184" t="s">
        <v>317</v>
      </c>
      <c r="G184">
        <v>596860</v>
      </c>
      <c r="H184" s="184">
        <v>44183</v>
      </c>
      <c r="I184" s="184">
        <v>44186</v>
      </c>
      <c r="J184" t="s">
        <v>318</v>
      </c>
      <c r="K184">
        <v>60000</v>
      </c>
      <c r="L184" t="s">
        <v>198</v>
      </c>
    </row>
    <row r="185" spans="1:12" x14ac:dyDescent="0.4">
      <c r="A185" t="s">
        <v>165</v>
      </c>
      <c r="B185" t="s">
        <v>2</v>
      </c>
      <c r="C185" t="s">
        <v>305</v>
      </c>
      <c r="D185" t="s">
        <v>306</v>
      </c>
      <c r="E185">
        <v>10022352</v>
      </c>
      <c r="F185" t="s">
        <v>317</v>
      </c>
      <c r="G185">
        <v>596860</v>
      </c>
      <c r="H185" s="184">
        <v>44183</v>
      </c>
      <c r="I185" s="184">
        <v>44186</v>
      </c>
      <c r="J185" t="s">
        <v>318</v>
      </c>
      <c r="K185">
        <v>60000</v>
      </c>
      <c r="L185" t="s">
        <v>199</v>
      </c>
    </row>
    <row r="186" spans="1:12" x14ac:dyDescent="0.4">
      <c r="A186" t="s">
        <v>165</v>
      </c>
      <c r="B186" t="s">
        <v>2</v>
      </c>
      <c r="C186" t="s">
        <v>305</v>
      </c>
      <c r="D186" t="s">
        <v>306</v>
      </c>
      <c r="E186">
        <v>10022352</v>
      </c>
      <c r="F186" t="s">
        <v>317</v>
      </c>
      <c r="G186">
        <v>596860</v>
      </c>
      <c r="H186" s="184">
        <v>44183</v>
      </c>
      <c r="I186" s="184">
        <v>44186</v>
      </c>
      <c r="J186" t="s">
        <v>318</v>
      </c>
      <c r="K186">
        <v>60000</v>
      </c>
      <c r="L186" t="s">
        <v>200</v>
      </c>
    </row>
    <row r="187" spans="1:12" x14ac:dyDescent="0.4">
      <c r="A187" t="s">
        <v>165</v>
      </c>
      <c r="B187" t="s">
        <v>2</v>
      </c>
      <c r="C187" t="s">
        <v>305</v>
      </c>
      <c r="D187" t="s">
        <v>306</v>
      </c>
      <c r="E187">
        <v>10022352</v>
      </c>
      <c r="F187" t="s">
        <v>317</v>
      </c>
      <c r="G187">
        <v>596860</v>
      </c>
      <c r="H187" s="184">
        <v>44183</v>
      </c>
      <c r="I187" s="184">
        <v>44186</v>
      </c>
      <c r="J187" t="s">
        <v>318</v>
      </c>
      <c r="K187">
        <v>60000</v>
      </c>
      <c r="L187" t="s">
        <v>302</v>
      </c>
    </row>
    <row r="188" spans="1:12" x14ac:dyDescent="0.4">
      <c r="A188" t="s">
        <v>165</v>
      </c>
      <c r="B188" t="s">
        <v>2</v>
      </c>
      <c r="C188" t="s">
        <v>305</v>
      </c>
      <c r="D188" t="s">
        <v>306</v>
      </c>
      <c r="E188">
        <v>10026378</v>
      </c>
      <c r="F188" t="s">
        <v>319</v>
      </c>
      <c r="G188">
        <v>595503</v>
      </c>
      <c r="H188" s="184">
        <v>44130</v>
      </c>
      <c r="I188" s="184">
        <v>44139</v>
      </c>
      <c r="J188" t="s">
        <v>320</v>
      </c>
      <c r="K188">
        <v>60000</v>
      </c>
      <c r="L188" t="s">
        <v>196</v>
      </c>
    </row>
    <row r="189" spans="1:12" x14ac:dyDescent="0.4">
      <c r="A189" t="s">
        <v>165</v>
      </c>
      <c r="B189" t="s">
        <v>2</v>
      </c>
      <c r="C189" t="s">
        <v>305</v>
      </c>
      <c r="D189" t="s">
        <v>306</v>
      </c>
      <c r="E189">
        <v>10026378</v>
      </c>
      <c r="F189" t="s">
        <v>319</v>
      </c>
      <c r="G189">
        <v>595503</v>
      </c>
      <c r="H189" s="184">
        <v>44130</v>
      </c>
      <c r="I189" s="184">
        <v>44139</v>
      </c>
      <c r="J189" t="s">
        <v>320</v>
      </c>
      <c r="K189">
        <v>60000</v>
      </c>
      <c r="L189" t="s">
        <v>211</v>
      </c>
    </row>
    <row r="190" spans="1:12" x14ac:dyDescent="0.4">
      <c r="A190" t="s">
        <v>165</v>
      </c>
      <c r="B190" t="s">
        <v>2</v>
      </c>
      <c r="C190" t="s">
        <v>305</v>
      </c>
      <c r="D190" t="s">
        <v>306</v>
      </c>
      <c r="E190">
        <v>10026378</v>
      </c>
      <c r="F190" t="s">
        <v>319</v>
      </c>
      <c r="G190">
        <v>595503</v>
      </c>
      <c r="H190" s="184">
        <v>44130</v>
      </c>
      <c r="I190" s="184">
        <v>44139</v>
      </c>
      <c r="J190" t="s">
        <v>320</v>
      </c>
      <c r="K190">
        <v>60000</v>
      </c>
      <c r="L190" t="s">
        <v>212</v>
      </c>
    </row>
    <row r="191" spans="1:12" x14ac:dyDescent="0.4">
      <c r="A191" t="s">
        <v>165</v>
      </c>
      <c r="B191" t="s">
        <v>2</v>
      </c>
      <c r="C191" t="s">
        <v>305</v>
      </c>
      <c r="D191" t="s">
        <v>306</v>
      </c>
      <c r="E191">
        <v>10026378</v>
      </c>
      <c r="F191" t="s">
        <v>319</v>
      </c>
      <c r="G191">
        <v>595503</v>
      </c>
      <c r="H191" s="184">
        <v>44130</v>
      </c>
      <c r="I191" s="184">
        <v>44139</v>
      </c>
      <c r="J191" t="s">
        <v>320</v>
      </c>
      <c r="K191">
        <v>60000</v>
      </c>
      <c r="L191" t="s">
        <v>213</v>
      </c>
    </row>
    <row r="192" spans="1:12" x14ac:dyDescent="0.4">
      <c r="A192" t="s">
        <v>165</v>
      </c>
      <c r="B192" t="s">
        <v>2</v>
      </c>
      <c r="C192" t="s">
        <v>305</v>
      </c>
      <c r="D192" t="s">
        <v>306</v>
      </c>
      <c r="E192">
        <v>10026378</v>
      </c>
      <c r="F192" t="s">
        <v>319</v>
      </c>
      <c r="G192">
        <v>595503</v>
      </c>
      <c r="H192" s="184">
        <v>44130</v>
      </c>
      <c r="I192" s="184">
        <v>44139</v>
      </c>
      <c r="J192" t="s">
        <v>320</v>
      </c>
      <c r="K192">
        <v>60000</v>
      </c>
      <c r="L192" t="s">
        <v>214</v>
      </c>
    </row>
    <row r="193" spans="1:12" x14ac:dyDescent="0.4">
      <c r="A193" t="s">
        <v>165</v>
      </c>
      <c r="B193" t="s">
        <v>2</v>
      </c>
      <c r="C193" t="s">
        <v>305</v>
      </c>
      <c r="D193" t="s">
        <v>306</v>
      </c>
      <c r="E193">
        <v>10026378</v>
      </c>
      <c r="F193" t="s">
        <v>319</v>
      </c>
      <c r="G193">
        <v>595503</v>
      </c>
      <c r="H193" s="184">
        <v>44130</v>
      </c>
      <c r="I193" s="184">
        <v>44139</v>
      </c>
      <c r="J193" t="s">
        <v>320</v>
      </c>
      <c r="K193">
        <v>60000</v>
      </c>
      <c r="L193" t="s">
        <v>215</v>
      </c>
    </row>
    <row r="194" spans="1:12" x14ac:dyDescent="0.4">
      <c r="A194" t="s">
        <v>165</v>
      </c>
      <c r="B194" t="s">
        <v>2</v>
      </c>
      <c r="C194" t="s">
        <v>305</v>
      </c>
      <c r="D194" t="s">
        <v>306</v>
      </c>
      <c r="E194">
        <v>10028207</v>
      </c>
      <c r="F194" t="s">
        <v>321</v>
      </c>
      <c r="G194">
        <v>591256</v>
      </c>
      <c r="H194" s="184">
        <v>43880</v>
      </c>
      <c r="I194" s="184">
        <v>43887</v>
      </c>
      <c r="J194" t="s">
        <v>322</v>
      </c>
      <c r="K194">
        <v>60000</v>
      </c>
      <c r="L194" t="s">
        <v>275</v>
      </c>
    </row>
    <row r="195" spans="1:12" x14ac:dyDescent="0.4">
      <c r="A195" t="s">
        <v>165</v>
      </c>
      <c r="B195" t="s">
        <v>2</v>
      </c>
      <c r="C195" t="s">
        <v>305</v>
      </c>
      <c r="D195" t="s">
        <v>306</v>
      </c>
      <c r="E195">
        <v>10028207</v>
      </c>
      <c r="F195" t="s">
        <v>321</v>
      </c>
      <c r="G195">
        <v>591256</v>
      </c>
      <c r="H195" s="184">
        <v>43880</v>
      </c>
      <c r="I195" s="184">
        <v>43887</v>
      </c>
      <c r="J195" t="s">
        <v>322</v>
      </c>
      <c r="K195">
        <v>60000</v>
      </c>
      <c r="L195" t="s">
        <v>238</v>
      </c>
    </row>
    <row r="196" spans="1:12" x14ac:dyDescent="0.4">
      <c r="A196" t="s">
        <v>165</v>
      </c>
      <c r="B196" t="s">
        <v>2</v>
      </c>
      <c r="C196" t="s">
        <v>305</v>
      </c>
      <c r="D196" t="s">
        <v>306</v>
      </c>
      <c r="E196">
        <v>10028207</v>
      </c>
      <c r="F196" t="s">
        <v>321</v>
      </c>
      <c r="G196">
        <v>591256</v>
      </c>
      <c r="H196" s="184">
        <v>43880</v>
      </c>
      <c r="I196" s="184">
        <v>43887</v>
      </c>
      <c r="J196" t="s">
        <v>322</v>
      </c>
      <c r="K196">
        <v>60000</v>
      </c>
      <c r="L196" t="s">
        <v>231</v>
      </c>
    </row>
    <row r="197" spans="1:12" x14ac:dyDescent="0.4">
      <c r="A197" t="s">
        <v>165</v>
      </c>
      <c r="B197" t="s">
        <v>2</v>
      </c>
      <c r="C197" t="s">
        <v>305</v>
      </c>
      <c r="D197" t="s">
        <v>306</v>
      </c>
      <c r="E197">
        <v>10028207</v>
      </c>
      <c r="F197" t="s">
        <v>321</v>
      </c>
      <c r="G197">
        <v>591256</v>
      </c>
      <c r="H197" s="184">
        <v>43880</v>
      </c>
      <c r="I197" s="184">
        <v>43887</v>
      </c>
      <c r="J197" t="s">
        <v>322</v>
      </c>
      <c r="K197">
        <v>60000</v>
      </c>
      <c r="L197" t="s">
        <v>232</v>
      </c>
    </row>
    <row r="198" spans="1:12" x14ac:dyDescent="0.4">
      <c r="A198" t="s">
        <v>165</v>
      </c>
      <c r="B198" t="s">
        <v>2</v>
      </c>
      <c r="C198" t="s">
        <v>305</v>
      </c>
      <c r="D198" t="s">
        <v>306</v>
      </c>
      <c r="E198">
        <v>10028207</v>
      </c>
      <c r="F198" t="s">
        <v>321</v>
      </c>
      <c r="G198">
        <v>591256</v>
      </c>
      <c r="H198" s="184">
        <v>43880</v>
      </c>
      <c r="I198" s="184">
        <v>43887</v>
      </c>
      <c r="J198" t="s">
        <v>322</v>
      </c>
      <c r="K198">
        <v>60000</v>
      </c>
      <c r="L198" t="s">
        <v>233</v>
      </c>
    </row>
    <row r="199" spans="1:12" x14ac:dyDescent="0.4">
      <c r="A199" t="s">
        <v>165</v>
      </c>
      <c r="B199" t="s">
        <v>2</v>
      </c>
      <c r="C199" t="s">
        <v>305</v>
      </c>
      <c r="D199" t="s">
        <v>306</v>
      </c>
      <c r="E199">
        <v>10028207</v>
      </c>
      <c r="F199" t="s">
        <v>321</v>
      </c>
      <c r="G199">
        <v>591256</v>
      </c>
      <c r="H199" s="184">
        <v>43880</v>
      </c>
      <c r="I199" s="184">
        <v>43887</v>
      </c>
      <c r="J199" t="s">
        <v>322</v>
      </c>
      <c r="K199">
        <v>60000</v>
      </c>
      <c r="L199" t="s">
        <v>234</v>
      </c>
    </row>
    <row r="200" spans="1:12" x14ac:dyDescent="0.4">
      <c r="A200" t="s">
        <v>165</v>
      </c>
      <c r="B200" t="s">
        <v>2</v>
      </c>
      <c r="C200" t="s">
        <v>305</v>
      </c>
      <c r="D200" t="s">
        <v>306</v>
      </c>
      <c r="E200">
        <v>10028492</v>
      </c>
      <c r="F200" t="s">
        <v>323</v>
      </c>
      <c r="G200">
        <v>598373</v>
      </c>
      <c r="H200" s="184">
        <v>44270</v>
      </c>
      <c r="I200" s="184">
        <v>44272</v>
      </c>
      <c r="J200" t="s">
        <v>324</v>
      </c>
      <c r="K200">
        <v>60000</v>
      </c>
      <c r="L200" t="s">
        <v>242</v>
      </c>
    </row>
    <row r="201" spans="1:12" x14ac:dyDescent="0.4">
      <c r="A201" t="s">
        <v>165</v>
      </c>
      <c r="B201" t="s">
        <v>2</v>
      </c>
      <c r="C201" t="s">
        <v>305</v>
      </c>
      <c r="D201" t="s">
        <v>306</v>
      </c>
      <c r="E201">
        <v>10028492</v>
      </c>
      <c r="F201" t="s">
        <v>323</v>
      </c>
      <c r="G201">
        <v>598373</v>
      </c>
      <c r="H201" s="184">
        <v>44270</v>
      </c>
      <c r="I201" s="184">
        <v>44272</v>
      </c>
      <c r="J201" t="s">
        <v>324</v>
      </c>
      <c r="K201">
        <v>60000</v>
      </c>
      <c r="L201" t="s">
        <v>243</v>
      </c>
    </row>
    <row r="202" spans="1:12" x14ac:dyDescent="0.4">
      <c r="A202" t="s">
        <v>165</v>
      </c>
      <c r="B202" t="s">
        <v>2</v>
      </c>
      <c r="C202" t="s">
        <v>305</v>
      </c>
      <c r="D202" t="s">
        <v>306</v>
      </c>
      <c r="E202">
        <v>10028492</v>
      </c>
      <c r="F202" t="s">
        <v>323</v>
      </c>
      <c r="G202">
        <v>598373</v>
      </c>
      <c r="H202" s="184">
        <v>44270</v>
      </c>
      <c r="I202" s="184">
        <v>44272</v>
      </c>
      <c r="J202" t="s">
        <v>324</v>
      </c>
      <c r="K202">
        <v>60000</v>
      </c>
      <c r="L202" t="s">
        <v>244</v>
      </c>
    </row>
    <row r="203" spans="1:12" x14ac:dyDescent="0.4">
      <c r="A203" t="s">
        <v>165</v>
      </c>
      <c r="B203" t="s">
        <v>2</v>
      </c>
      <c r="C203" t="s">
        <v>305</v>
      </c>
      <c r="D203" t="s">
        <v>306</v>
      </c>
      <c r="E203">
        <v>10028492</v>
      </c>
      <c r="F203" t="s">
        <v>323</v>
      </c>
      <c r="G203">
        <v>598373</v>
      </c>
      <c r="H203" s="184">
        <v>44270</v>
      </c>
      <c r="I203" s="184">
        <v>44272</v>
      </c>
      <c r="J203" t="s">
        <v>324</v>
      </c>
      <c r="K203">
        <v>60000</v>
      </c>
      <c r="L203" t="s">
        <v>245</v>
      </c>
    </row>
    <row r="204" spans="1:12" x14ac:dyDescent="0.4">
      <c r="A204" t="s">
        <v>165</v>
      </c>
      <c r="B204" t="s">
        <v>2</v>
      </c>
      <c r="C204" t="s">
        <v>305</v>
      </c>
      <c r="D204" t="s">
        <v>306</v>
      </c>
      <c r="E204">
        <v>10028492</v>
      </c>
      <c r="F204" t="s">
        <v>323</v>
      </c>
      <c r="G204">
        <v>598373</v>
      </c>
      <c r="H204" s="184">
        <v>44270</v>
      </c>
      <c r="I204" s="184">
        <v>44272</v>
      </c>
      <c r="J204" t="s">
        <v>324</v>
      </c>
      <c r="K204">
        <v>60000</v>
      </c>
      <c r="L204" t="s">
        <v>246</v>
      </c>
    </row>
    <row r="205" spans="1:12" x14ac:dyDescent="0.4">
      <c r="A205" t="s">
        <v>165</v>
      </c>
      <c r="B205" t="s">
        <v>2</v>
      </c>
      <c r="C205" t="s">
        <v>305</v>
      </c>
      <c r="D205" t="s">
        <v>306</v>
      </c>
      <c r="E205">
        <v>10028492</v>
      </c>
      <c r="F205" t="s">
        <v>323</v>
      </c>
      <c r="G205">
        <v>598373</v>
      </c>
      <c r="H205" s="184">
        <v>44270</v>
      </c>
      <c r="I205" s="184">
        <v>44272</v>
      </c>
      <c r="J205" t="s">
        <v>324</v>
      </c>
      <c r="K205">
        <v>60000</v>
      </c>
      <c r="L205" t="s">
        <v>247</v>
      </c>
    </row>
    <row r="206" spans="1:12" x14ac:dyDescent="0.4">
      <c r="A206" t="s">
        <v>165</v>
      </c>
      <c r="B206" t="s">
        <v>2</v>
      </c>
      <c r="C206" t="s">
        <v>305</v>
      </c>
      <c r="D206" t="s">
        <v>306</v>
      </c>
      <c r="E206">
        <v>10030254</v>
      </c>
      <c r="F206" t="s">
        <v>325</v>
      </c>
      <c r="G206">
        <v>598899</v>
      </c>
      <c r="H206" s="184">
        <v>44330</v>
      </c>
      <c r="I206" s="184"/>
      <c r="J206" t="s">
        <v>326</v>
      </c>
      <c r="K206">
        <v>60000</v>
      </c>
      <c r="L206" t="s">
        <v>221</v>
      </c>
    </row>
    <row r="207" spans="1:12" x14ac:dyDescent="0.4">
      <c r="A207" t="s">
        <v>165</v>
      </c>
      <c r="B207" t="s">
        <v>2</v>
      </c>
      <c r="C207" t="s">
        <v>305</v>
      </c>
      <c r="D207" t="s">
        <v>306</v>
      </c>
      <c r="E207">
        <v>10030254</v>
      </c>
      <c r="F207" t="s">
        <v>325</v>
      </c>
      <c r="G207">
        <v>598899</v>
      </c>
      <c r="H207" s="184">
        <v>44330</v>
      </c>
      <c r="I207" s="184"/>
      <c r="J207" t="s">
        <v>326</v>
      </c>
      <c r="K207">
        <v>60000</v>
      </c>
      <c r="L207" t="s">
        <v>327</v>
      </c>
    </row>
    <row r="208" spans="1:12" x14ac:dyDescent="0.4">
      <c r="A208" t="s">
        <v>165</v>
      </c>
      <c r="B208" t="s">
        <v>2</v>
      </c>
      <c r="C208" t="s">
        <v>305</v>
      </c>
      <c r="D208" t="s">
        <v>306</v>
      </c>
      <c r="E208">
        <v>10030254</v>
      </c>
      <c r="F208" t="s">
        <v>325</v>
      </c>
      <c r="G208">
        <v>598899</v>
      </c>
      <c r="H208" s="184">
        <v>44330</v>
      </c>
      <c r="I208" s="184"/>
      <c r="J208" t="s">
        <v>326</v>
      </c>
      <c r="K208">
        <v>60000</v>
      </c>
      <c r="L208" t="s">
        <v>328</v>
      </c>
    </row>
    <row r="209" spans="1:12" x14ac:dyDescent="0.4">
      <c r="A209" t="s">
        <v>165</v>
      </c>
      <c r="B209" t="s">
        <v>2</v>
      </c>
      <c r="C209" t="s">
        <v>305</v>
      </c>
      <c r="D209" t="s">
        <v>306</v>
      </c>
      <c r="E209">
        <v>10030254</v>
      </c>
      <c r="F209" t="s">
        <v>325</v>
      </c>
      <c r="G209">
        <v>598899</v>
      </c>
      <c r="H209" s="184">
        <v>44330</v>
      </c>
      <c r="I209" s="184"/>
      <c r="J209" t="s">
        <v>326</v>
      </c>
      <c r="K209">
        <v>60000</v>
      </c>
      <c r="L209" t="s">
        <v>329</v>
      </c>
    </row>
    <row r="210" spans="1:12" x14ac:dyDescent="0.4">
      <c r="A210" t="s">
        <v>165</v>
      </c>
      <c r="B210" t="s">
        <v>2</v>
      </c>
      <c r="C210" t="s">
        <v>305</v>
      </c>
      <c r="D210" t="s">
        <v>306</v>
      </c>
      <c r="E210">
        <v>10030254</v>
      </c>
      <c r="F210" t="s">
        <v>325</v>
      </c>
      <c r="G210">
        <v>598899</v>
      </c>
      <c r="H210" s="184">
        <v>44330</v>
      </c>
      <c r="I210" s="184"/>
      <c r="J210" t="s">
        <v>326</v>
      </c>
      <c r="K210">
        <v>60000</v>
      </c>
      <c r="L210" t="s">
        <v>330</v>
      </c>
    </row>
    <row r="211" spans="1:12" x14ac:dyDescent="0.4">
      <c r="A211" t="s">
        <v>165</v>
      </c>
      <c r="B211" t="s">
        <v>2</v>
      </c>
      <c r="C211" t="s">
        <v>305</v>
      </c>
      <c r="D211" t="s">
        <v>306</v>
      </c>
      <c r="E211">
        <v>10030254</v>
      </c>
      <c r="F211" t="s">
        <v>325</v>
      </c>
      <c r="G211">
        <v>598899</v>
      </c>
      <c r="H211" s="184">
        <v>44330</v>
      </c>
      <c r="I211" s="184"/>
      <c r="J211" t="s">
        <v>326</v>
      </c>
      <c r="K211">
        <v>60000</v>
      </c>
      <c r="L211" t="s">
        <v>331</v>
      </c>
    </row>
    <row r="212" spans="1:12" x14ac:dyDescent="0.4">
      <c r="A212" t="s">
        <v>165</v>
      </c>
      <c r="B212" t="s">
        <v>2</v>
      </c>
      <c r="C212" t="s">
        <v>305</v>
      </c>
      <c r="D212" t="s">
        <v>306</v>
      </c>
      <c r="E212">
        <v>10035815</v>
      </c>
      <c r="F212" t="s">
        <v>332</v>
      </c>
      <c r="G212">
        <v>594581</v>
      </c>
      <c r="H212" s="184">
        <v>44109</v>
      </c>
      <c r="I212" s="184">
        <v>44124</v>
      </c>
      <c r="J212" t="s">
        <v>333</v>
      </c>
      <c r="K212">
        <v>60000</v>
      </c>
      <c r="L212" t="s">
        <v>250</v>
      </c>
    </row>
    <row r="213" spans="1:12" x14ac:dyDescent="0.4">
      <c r="A213" t="s">
        <v>165</v>
      </c>
      <c r="B213" t="s">
        <v>2</v>
      </c>
      <c r="C213" t="s">
        <v>305</v>
      </c>
      <c r="D213" t="s">
        <v>306</v>
      </c>
      <c r="E213">
        <v>10035815</v>
      </c>
      <c r="F213" t="s">
        <v>332</v>
      </c>
      <c r="G213">
        <v>594581</v>
      </c>
      <c r="H213" s="184">
        <v>44109</v>
      </c>
      <c r="I213" s="184">
        <v>44124</v>
      </c>
      <c r="J213" t="s">
        <v>333</v>
      </c>
      <c r="K213">
        <v>60000</v>
      </c>
      <c r="L213" t="s">
        <v>251</v>
      </c>
    </row>
    <row r="214" spans="1:12" x14ac:dyDescent="0.4">
      <c r="A214" t="s">
        <v>165</v>
      </c>
      <c r="B214" t="s">
        <v>2</v>
      </c>
      <c r="C214" t="s">
        <v>305</v>
      </c>
      <c r="D214" t="s">
        <v>306</v>
      </c>
      <c r="E214">
        <v>10035815</v>
      </c>
      <c r="F214" t="s">
        <v>332</v>
      </c>
      <c r="G214">
        <v>594581</v>
      </c>
      <c r="H214" s="184">
        <v>44109</v>
      </c>
      <c r="I214" s="184">
        <v>44124</v>
      </c>
      <c r="J214" t="s">
        <v>333</v>
      </c>
      <c r="K214">
        <v>60000</v>
      </c>
      <c r="L214" t="s">
        <v>252</v>
      </c>
    </row>
    <row r="215" spans="1:12" x14ac:dyDescent="0.4">
      <c r="A215" t="s">
        <v>165</v>
      </c>
      <c r="B215" t="s">
        <v>2</v>
      </c>
      <c r="C215" t="s">
        <v>305</v>
      </c>
      <c r="D215" t="s">
        <v>306</v>
      </c>
      <c r="E215">
        <v>10035815</v>
      </c>
      <c r="F215" t="s">
        <v>332</v>
      </c>
      <c r="G215">
        <v>594581</v>
      </c>
      <c r="H215" s="184">
        <v>44109</v>
      </c>
      <c r="I215" s="184">
        <v>44124</v>
      </c>
      <c r="J215" t="s">
        <v>333</v>
      </c>
      <c r="K215">
        <v>60000</v>
      </c>
      <c r="L215" t="s">
        <v>253</v>
      </c>
    </row>
    <row r="216" spans="1:12" x14ac:dyDescent="0.4">
      <c r="A216" t="s">
        <v>165</v>
      </c>
      <c r="B216" t="s">
        <v>2</v>
      </c>
      <c r="C216" t="s">
        <v>305</v>
      </c>
      <c r="D216" t="s">
        <v>306</v>
      </c>
      <c r="E216">
        <v>10035815</v>
      </c>
      <c r="F216" t="s">
        <v>332</v>
      </c>
      <c r="G216">
        <v>594581</v>
      </c>
      <c r="H216" s="184">
        <v>44109</v>
      </c>
      <c r="I216" s="184">
        <v>44124</v>
      </c>
      <c r="J216" t="s">
        <v>333</v>
      </c>
      <c r="K216">
        <v>60000</v>
      </c>
      <c r="L216" t="s">
        <v>254</v>
      </c>
    </row>
    <row r="217" spans="1:12" x14ac:dyDescent="0.4">
      <c r="A217" t="s">
        <v>165</v>
      </c>
      <c r="B217" t="s">
        <v>2</v>
      </c>
      <c r="C217" t="s">
        <v>305</v>
      </c>
      <c r="D217" t="s">
        <v>306</v>
      </c>
      <c r="E217">
        <v>10035815</v>
      </c>
      <c r="F217" t="s">
        <v>332</v>
      </c>
      <c r="G217">
        <v>594581</v>
      </c>
      <c r="H217" s="184">
        <v>44109</v>
      </c>
      <c r="I217" s="184">
        <v>44124</v>
      </c>
      <c r="J217" t="s">
        <v>333</v>
      </c>
      <c r="K217">
        <v>60000</v>
      </c>
      <c r="L217" t="s">
        <v>255</v>
      </c>
    </row>
    <row r="218" spans="1:12" x14ac:dyDescent="0.4">
      <c r="A218" t="s">
        <v>165</v>
      </c>
      <c r="B218" t="s">
        <v>2</v>
      </c>
      <c r="C218" t="s">
        <v>305</v>
      </c>
      <c r="D218" t="s">
        <v>306</v>
      </c>
      <c r="E218">
        <v>10035837</v>
      </c>
      <c r="F218" t="s">
        <v>334</v>
      </c>
      <c r="G218">
        <v>593895</v>
      </c>
      <c r="H218" s="184">
        <v>44040</v>
      </c>
      <c r="I218" s="184">
        <v>44043</v>
      </c>
      <c r="J218" t="s">
        <v>335</v>
      </c>
      <c r="K218">
        <v>60000</v>
      </c>
      <c r="L218" t="s">
        <v>220</v>
      </c>
    </row>
    <row r="219" spans="1:12" x14ac:dyDescent="0.4">
      <c r="A219" t="s">
        <v>165</v>
      </c>
      <c r="B219" t="s">
        <v>2</v>
      </c>
      <c r="C219" t="s">
        <v>305</v>
      </c>
      <c r="D219" t="s">
        <v>306</v>
      </c>
      <c r="E219">
        <v>10035837</v>
      </c>
      <c r="F219" t="s">
        <v>334</v>
      </c>
      <c r="G219">
        <v>593895</v>
      </c>
      <c r="H219" s="184">
        <v>44040</v>
      </c>
      <c r="I219" s="184">
        <v>44043</v>
      </c>
      <c r="J219" t="s">
        <v>335</v>
      </c>
      <c r="K219">
        <v>60000</v>
      </c>
      <c r="L219" t="s">
        <v>221</v>
      </c>
    </row>
    <row r="220" spans="1:12" x14ac:dyDescent="0.4">
      <c r="A220" t="s">
        <v>165</v>
      </c>
      <c r="B220" t="s">
        <v>2</v>
      </c>
      <c r="C220" t="s">
        <v>305</v>
      </c>
      <c r="D220" t="s">
        <v>306</v>
      </c>
      <c r="E220">
        <v>10035837</v>
      </c>
      <c r="F220" t="s">
        <v>334</v>
      </c>
      <c r="G220">
        <v>593895</v>
      </c>
      <c r="H220" s="184">
        <v>44040</v>
      </c>
      <c r="I220" s="184">
        <v>44043</v>
      </c>
      <c r="J220" t="s">
        <v>335</v>
      </c>
      <c r="K220">
        <v>60000</v>
      </c>
      <c r="L220" t="s">
        <v>222</v>
      </c>
    </row>
    <row r="221" spans="1:12" x14ac:dyDescent="0.4">
      <c r="A221" t="s">
        <v>165</v>
      </c>
      <c r="B221" t="s">
        <v>2</v>
      </c>
      <c r="C221" t="s">
        <v>305</v>
      </c>
      <c r="D221" t="s">
        <v>306</v>
      </c>
      <c r="E221">
        <v>10035837</v>
      </c>
      <c r="F221" t="s">
        <v>334</v>
      </c>
      <c r="G221">
        <v>593895</v>
      </c>
      <c r="H221" s="184">
        <v>44040</v>
      </c>
      <c r="I221" s="184">
        <v>44043</v>
      </c>
      <c r="J221" t="s">
        <v>335</v>
      </c>
      <c r="K221">
        <v>60000</v>
      </c>
      <c r="L221" t="s">
        <v>223</v>
      </c>
    </row>
    <row r="222" spans="1:12" x14ac:dyDescent="0.4">
      <c r="A222" t="s">
        <v>165</v>
      </c>
      <c r="B222" t="s">
        <v>2</v>
      </c>
      <c r="C222" t="s">
        <v>305</v>
      </c>
      <c r="D222" t="s">
        <v>306</v>
      </c>
      <c r="E222">
        <v>10035837</v>
      </c>
      <c r="F222" t="s">
        <v>334</v>
      </c>
      <c r="G222">
        <v>593895</v>
      </c>
      <c r="H222" s="184">
        <v>44040</v>
      </c>
      <c r="I222" s="184">
        <v>44043</v>
      </c>
      <c r="J222" t="s">
        <v>335</v>
      </c>
      <c r="K222">
        <v>60000</v>
      </c>
      <c r="L222" t="s">
        <v>224</v>
      </c>
    </row>
    <row r="223" spans="1:12" x14ac:dyDescent="0.4">
      <c r="A223" t="s">
        <v>165</v>
      </c>
      <c r="B223" t="s">
        <v>2</v>
      </c>
      <c r="C223" t="s">
        <v>305</v>
      </c>
      <c r="D223" t="s">
        <v>306</v>
      </c>
      <c r="E223">
        <v>10035837</v>
      </c>
      <c r="F223" t="s">
        <v>334</v>
      </c>
      <c r="G223">
        <v>593895</v>
      </c>
      <c r="H223" s="184">
        <v>44040</v>
      </c>
      <c r="I223" s="184">
        <v>44043</v>
      </c>
      <c r="J223" t="s">
        <v>335</v>
      </c>
      <c r="K223">
        <v>60000</v>
      </c>
      <c r="L223" t="s">
        <v>225</v>
      </c>
    </row>
    <row r="224" spans="1:12" x14ac:dyDescent="0.4">
      <c r="A224" t="s">
        <v>165</v>
      </c>
      <c r="B224" t="s">
        <v>2</v>
      </c>
      <c r="C224" t="s">
        <v>305</v>
      </c>
      <c r="D224" t="s">
        <v>306</v>
      </c>
      <c r="E224">
        <v>10038040</v>
      </c>
      <c r="F224" t="s">
        <v>336</v>
      </c>
      <c r="G224">
        <v>596017</v>
      </c>
      <c r="H224" s="184">
        <v>44144</v>
      </c>
      <c r="I224" s="184">
        <v>44167</v>
      </c>
      <c r="J224" t="s">
        <v>337</v>
      </c>
      <c r="K224">
        <v>60000</v>
      </c>
      <c r="L224" t="s">
        <v>186</v>
      </c>
    </row>
    <row r="225" spans="1:12" x14ac:dyDescent="0.4">
      <c r="A225" t="s">
        <v>165</v>
      </c>
      <c r="B225" t="s">
        <v>2</v>
      </c>
      <c r="C225" t="s">
        <v>305</v>
      </c>
      <c r="D225" t="s">
        <v>306</v>
      </c>
      <c r="E225">
        <v>10038040</v>
      </c>
      <c r="F225" t="s">
        <v>336</v>
      </c>
      <c r="G225">
        <v>596017</v>
      </c>
      <c r="H225" s="184">
        <v>44144</v>
      </c>
      <c r="I225" s="184">
        <v>44167</v>
      </c>
      <c r="J225" t="s">
        <v>337</v>
      </c>
      <c r="K225">
        <v>60000</v>
      </c>
      <c r="L225" t="s">
        <v>197</v>
      </c>
    </row>
    <row r="226" spans="1:12" x14ac:dyDescent="0.4">
      <c r="A226" t="s">
        <v>165</v>
      </c>
      <c r="B226" t="s">
        <v>2</v>
      </c>
      <c r="C226" t="s">
        <v>305</v>
      </c>
      <c r="D226" t="s">
        <v>306</v>
      </c>
      <c r="E226">
        <v>10038040</v>
      </c>
      <c r="F226" t="s">
        <v>336</v>
      </c>
      <c r="G226">
        <v>596017</v>
      </c>
      <c r="H226" s="184">
        <v>44144</v>
      </c>
      <c r="I226" s="184">
        <v>44167</v>
      </c>
      <c r="J226" t="s">
        <v>337</v>
      </c>
      <c r="K226">
        <v>60000</v>
      </c>
      <c r="L226" t="s">
        <v>198</v>
      </c>
    </row>
    <row r="227" spans="1:12" x14ac:dyDescent="0.4">
      <c r="A227" t="s">
        <v>165</v>
      </c>
      <c r="B227" t="s">
        <v>2</v>
      </c>
      <c r="C227" t="s">
        <v>305</v>
      </c>
      <c r="D227" t="s">
        <v>306</v>
      </c>
      <c r="E227">
        <v>10038040</v>
      </c>
      <c r="F227" t="s">
        <v>336</v>
      </c>
      <c r="G227">
        <v>596017</v>
      </c>
      <c r="H227" s="184">
        <v>44144</v>
      </c>
      <c r="I227" s="184">
        <v>44167</v>
      </c>
      <c r="J227" t="s">
        <v>337</v>
      </c>
      <c r="K227">
        <v>60000</v>
      </c>
      <c r="L227" t="s">
        <v>199</v>
      </c>
    </row>
    <row r="228" spans="1:12" x14ac:dyDescent="0.4">
      <c r="A228" t="s">
        <v>165</v>
      </c>
      <c r="B228" t="s">
        <v>2</v>
      </c>
      <c r="C228" t="s">
        <v>305</v>
      </c>
      <c r="D228" t="s">
        <v>306</v>
      </c>
      <c r="E228">
        <v>10038040</v>
      </c>
      <c r="F228" t="s">
        <v>336</v>
      </c>
      <c r="G228">
        <v>596017</v>
      </c>
      <c r="H228" s="184">
        <v>44144</v>
      </c>
      <c r="I228" s="184">
        <v>44167</v>
      </c>
      <c r="J228" t="s">
        <v>337</v>
      </c>
      <c r="K228">
        <v>60000</v>
      </c>
      <c r="L228" t="s">
        <v>200</v>
      </c>
    </row>
    <row r="229" spans="1:12" x14ac:dyDescent="0.4">
      <c r="A229" t="s">
        <v>165</v>
      </c>
      <c r="B229" t="s">
        <v>2</v>
      </c>
      <c r="C229" t="s">
        <v>305</v>
      </c>
      <c r="D229" t="s">
        <v>306</v>
      </c>
      <c r="E229">
        <v>10038040</v>
      </c>
      <c r="F229" t="s">
        <v>336</v>
      </c>
      <c r="G229">
        <v>596017</v>
      </c>
      <c r="H229" s="184">
        <v>44144</v>
      </c>
      <c r="I229" s="184">
        <v>44167</v>
      </c>
      <c r="J229" t="s">
        <v>337</v>
      </c>
      <c r="K229">
        <v>60000</v>
      </c>
      <c r="L229" t="s">
        <v>302</v>
      </c>
    </row>
    <row r="230" spans="1:12" x14ac:dyDescent="0.4">
      <c r="A230" t="s">
        <v>165</v>
      </c>
      <c r="B230" t="s">
        <v>2</v>
      </c>
      <c r="C230" t="s">
        <v>305</v>
      </c>
      <c r="D230" t="s">
        <v>306</v>
      </c>
      <c r="E230">
        <v>10042176</v>
      </c>
      <c r="F230" t="s">
        <v>338</v>
      </c>
      <c r="G230">
        <v>593695</v>
      </c>
      <c r="H230" s="184">
        <v>44040</v>
      </c>
      <c r="I230" s="184">
        <v>44042</v>
      </c>
      <c r="J230" t="s">
        <v>335</v>
      </c>
      <c r="K230">
        <v>60000</v>
      </c>
      <c r="L230" t="s">
        <v>220</v>
      </c>
    </row>
    <row r="231" spans="1:12" x14ac:dyDescent="0.4">
      <c r="A231" t="s">
        <v>165</v>
      </c>
      <c r="B231" t="s">
        <v>2</v>
      </c>
      <c r="C231" t="s">
        <v>305</v>
      </c>
      <c r="D231" t="s">
        <v>306</v>
      </c>
      <c r="E231">
        <v>10042176</v>
      </c>
      <c r="F231" t="s">
        <v>338</v>
      </c>
      <c r="G231">
        <v>593695</v>
      </c>
      <c r="H231" s="184">
        <v>44040</v>
      </c>
      <c r="I231" s="184">
        <v>44042</v>
      </c>
      <c r="J231" t="s">
        <v>335</v>
      </c>
      <c r="K231">
        <v>60000</v>
      </c>
      <c r="L231" t="s">
        <v>221</v>
      </c>
    </row>
    <row r="232" spans="1:12" x14ac:dyDescent="0.4">
      <c r="A232" t="s">
        <v>165</v>
      </c>
      <c r="B232" t="s">
        <v>2</v>
      </c>
      <c r="C232" t="s">
        <v>305</v>
      </c>
      <c r="D232" t="s">
        <v>306</v>
      </c>
      <c r="E232">
        <v>10042176</v>
      </c>
      <c r="F232" t="s">
        <v>338</v>
      </c>
      <c r="G232">
        <v>593695</v>
      </c>
      <c r="H232" s="184">
        <v>44040</v>
      </c>
      <c r="I232" s="184">
        <v>44042</v>
      </c>
      <c r="J232" t="s">
        <v>335</v>
      </c>
      <c r="K232">
        <v>60000</v>
      </c>
      <c r="L232" t="s">
        <v>222</v>
      </c>
    </row>
    <row r="233" spans="1:12" x14ac:dyDescent="0.4">
      <c r="A233" t="s">
        <v>165</v>
      </c>
      <c r="B233" t="s">
        <v>2</v>
      </c>
      <c r="C233" t="s">
        <v>305</v>
      </c>
      <c r="D233" t="s">
        <v>306</v>
      </c>
      <c r="E233">
        <v>10042176</v>
      </c>
      <c r="F233" t="s">
        <v>338</v>
      </c>
      <c r="G233">
        <v>593695</v>
      </c>
      <c r="H233" s="184">
        <v>44040</v>
      </c>
      <c r="I233" s="184">
        <v>44042</v>
      </c>
      <c r="J233" t="s">
        <v>335</v>
      </c>
      <c r="K233">
        <v>60000</v>
      </c>
      <c r="L233" t="s">
        <v>223</v>
      </c>
    </row>
    <row r="234" spans="1:12" x14ac:dyDescent="0.4">
      <c r="A234" t="s">
        <v>165</v>
      </c>
      <c r="B234" t="s">
        <v>2</v>
      </c>
      <c r="C234" t="s">
        <v>305</v>
      </c>
      <c r="D234" t="s">
        <v>306</v>
      </c>
      <c r="E234">
        <v>10042176</v>
      </c>
      <c r="F234" t="s">
        <v>338</v>
      </c>
      <c r="G234">
        <v>593695</v>
      </c>
      <c r="H234" s="184">
        <v>44040</v>
      </c>
      <c r="I234" s="184">
        <v>44042</v>
      </c>
      <c r="J234" t="s">
        <v>335</v>
      </c>
      <c r="K234">
        <v>60000</v>
      </c>
      <c r="L234" t="s">
        <v>224</v>
      </c>
    </row>
    <row r="235" spans="1:12" x14ac:dyDescent="0.4">
      <c r="A235" t="s">
        <v>165</v>
      </c>
      <c r="B235" t="s">
        <v>2</v>
      </c>
      <c r="C235" t="s">
        <v>305</v>
      </c>
      <c r="D235" t="s">
        <v>306</v>
      </c>
      <c r="E235">
        <v>10042176</v>
      </c>
      <c r="F235" t="s">
        <v>338</v>
      </c>
      <c r="G235">
        <v>593695</v>
      </c>
      <c r="H235" s="184">
        <v>44040</v>
      </c>
      <c r="I235" s="184">
        <v>44042</v>
      </c>
      <c r="J235" t="s">
        <v>335</v>
      </c>
      <c r="K235">
        <v>60000</v>
      </c>
      <c r="L235" t="s">
        <v>225</v>
      </c>
    </row>
    <row r="236" spans="1:12" x14ac:dyDescent="0.4">
      <c r="A236" t="s">
        <v>165</v>
      </c>
      <c r="B236" t="s">
        <v>2</v>
      </c>
      <c r="C236" t="s">
        <v>305</v>
      </c>
      <c r="D236" t="s">
        <v>306</v>
      </c>
      <c r="E236">
        <v>10044624</v>
      </c>
      <c r="F236" t="s">
        <v>339</v>
      </c>
      <c r="G236">
        <v>591527</v>
      </c>
      <c r="H236" s="184">
        <v>43895</v>
      </c>
      <c r="I236" s="184">
        <v>43903</v>
      </c>
      <c r="J236" t="s">
        <v>340</v>
      </c>
      <c r="K236">
        <v>60000</v>
      </c>
      <c r="L236" t="s">
        <v>281</v>
      </c>
    </row>
    <row r="237" spans="1:12" x14ac:dyDescent="0.4">
      <c r="A237" t="s">
        <v>165</v>
      </c>
      <c r="B237" t="s">
        <v>2</v>
      </c>
      <c r="C237" t="s">
        <v>305</v>
      </c>
      <c r="D237" t="s">
        <v>306</v>
      </c>
      <c r="E237">
        <v>10044624</v>
      </c>
      <c r="F237" t="s">
        <v>339</v>
      </c>
      <c r="G237">
        <v>591527</v>
      </c>
      <c r="H237" s="184">
        <v>43895</v>
      </c>
      <c r="I237" s="184">
        <v>43903</v>
      </c>
      <c r="J237" t="s">
        <v>340</v>
      </c>
      <c r="K237">
        <v>60000</v>
      </c>
      <c r="L237" t="s">
        <v>230</v>
      </c>
    </row>
    <row r="238" spans="1:12" x14ac:dyDescent="0.4">
      <c r="A238" t="s">
        <v>165</v>
      </c>
      <c r="B238" t="s">
        <v>2</v>
      </c>
      <c r="C238" t="s">
        <v>305</v>
      </c>
      <c r="D238" t="s">
        <v>306</v>
      </c>
      <c r="E238">
        <v>10044624</v>
      </c>
      <c r="F238" t="s">
        <v>339</v>
      </c>
      <c r="G238">
        <v>591527</v>
      </c>
      <c r="H238" s="184">
        <v>43895</v>
      </c>
      <c r="I238" s="184">
        <v>43903</v>
      </c>
      <c r="J238" t="s">
        <v>340</v>
      </c>
      <c r="K238">
        <v>60000</v>
      </c>
      <c r="L238" t="s">
        <v>243</v>
      </c>
    </row>
    <row r="239" spans="1:12" x14ac:dyDescent="0.4">
      <c r="A239" t="s">
        <v>165</v>
      </c>
      <c r="B239" t="s">
        <v>2</v>
      </c>
      <c r="C239" t="s">
        <v>305</v>
      </c>
      <c r="D239" t="s">
        <v>306</v>
      </c>
      <c r="E239">
        <v>10044624</v>
      </c>
      <c r="F239" t="s">
        <v>339</v>
      </c>
      <c r="G239">
        <v>591527</v>
      </c>
      <c r="H239" s="184">
        <v>43895</v>
      </c>
      <c r="I239" s="184">
        <v>43903</v>
      </c>
      <c r="J239" t="s">
        <v>340</v>
      </c>
      <c r="K239">
        <v>60000</v>
      </c>
      <c r="L239" t="s">
        <v>244</v>
      </c>
    </row>
    <row r="240" spans="1:12" x14ac:dyDescent="0.4">
      <c r="A240" t="s">
        <v>165</v>
      </c>
      <c r="B240" t="s">
        <v>2</v>
      </c>
      <c r="C240" t="s">
        <v>305</v>
      </c>
      <c r="D240" t="s">
        <v>306</v>
      </c>
      <c r="E240">
        <v>10044624</v>
      </c>
      <c r="F240" t="s">
        <v>339</v>
      </c>
      <c r="G240">
        <v>591527</v>
      </c>
      <c r="H240" s="184">
        <v>43895</v>
      </c>
      <c r="I240" s="184">
        <v>43903</v>
      </c>
      <c r="J240" t="s">
        <v>340</v>
      </c>
      <c r="K240">
        <v>60000</v>
      </c>
      <c r="L240" t="s">
        <v>245</v>
      </c>
    </row>
    <row r="241" spans="1:12" x14ac:dyDescent="0.4">
      <c r="A241" t="s">
        <v>165</v>
      </c>
      <c r="B241" t="s">
        <v>2</v>
      </c>
      <c r="C241" t="s">
        <v>305</v>
      </c>
      <c r="D241" t="s">
        <v>306</v>
      </c>
      <c r="E241">
        <v>10044624</v>
      </c>
      <c r="F241" t="s">
        <v>339</v>
      </c>
      <c r="G241">
        <v>591527</v>
      </c>
      <c r="H241" s="184">
        <v>43895</v>
      </c>
      <c r="I241" s="184">
        <v>43903</v>
      </c>
      <c r="J241" t="s">
        <v>340</v>
      </c>
      <c r="K241">
        <v>60000</v>
      </c>
      <c r="L241" t="s">
        <v>246</v>
      </c>
    </row>
    <row r="242" spans="1:12" x14ac:dyDescent="0.4">
      <c r="A242" t="s">
        <v>165</v>
      </c>
      <c r="B242" t="s">
        <v>2</v>
      </c>
      <c r="C242" t="s">
        <v>305</v>
      </c>
      <c r="D242" t="s">
        <v>306</v>
      </c>
      <c r="E242">
        <v>10052953</v>
      </c>
      <c r="F242" t="s">
        <v>341</v>
      </c>
      <c r="G242">
        <v>596272</v>
      </c>
      <c r="H242" s="184">
        <v>44251</v>
      </c>
      <c r="I242" s="184">
        <v>44256</v>
      </c>
      <c r="J242" t="s">
        <v>342</v>
      </c>
      <c r="K242">
        <v>60000</v>
      </c>
      <c r="L242" t="s">
        <v>242</v>
      </c>
    </row>
    <row r="243" spans="1:12" x14ac:dyDescent="0.4">
      <c r="A243" t="s">
        <v>165</v>
      </c>
      <c r="B243" t="s">
        <v>2</v>
      </c>
      <c r="C243" t="s">
        <v>305</v>
      </c>
      <c r="D243" t="s">
        <v>306</v>
      </c>
      <c r="E243">
        <v>10052953</v>
      </c>
      <c r="F243" t="s">
        <v>341</v>
      </c>
      <c r="G243">
        <v>596272</v>
      </c>
      <c r="H243" s="184">
        <v>44251</v>
      </c>
      <c r="I243" s="184">
        <v>44256</v>
      </c>
      <c r="J243" t="s">
        <v>342</v>
      </c>
      <c r="K243">
        <v>60000</v>
      </c>
      <c r="L243" t="s">
        <v>243</v>
      </c>
    </row>
    <row r="244" spans="1:12" x14ac:dyDescent="0.4">
      <c r="A244" t="s">
        <v>165</v>
      </c>
      <c r="B244" t="s">
        <v>2</v>
      </c>
      <c r="C244" t="s">
        <v>305</v>
      </c>
      <c r="D244" t="s">
        <v>306</v>
      </c>
      <c r="E244">
        <v>10052953</v>
      </c>
      <c r="F244" t="s">
        <v>341</v>
      </c>
      <c r="G244">
        <v>596272</v>
      </c>
      <c r="H244" s="184">
        <v>44251</v>
      </c>
      <c r="I244" s="184">
        <v>44256</v>
      </c>
      <c r="J244" t="s">
        <v>342</v>
      </c>
      <c r="K244">
        <v>60000</v>
      </c>
      <c r="L244" t="s">
        <v>244</v>
      </c>
    </row>
    <row r="245" spans="1:12" x14ac:dyDescent="0.4">
      <c r="A245" t="s">
        <v>165</v>
      </c>
      <c r="B245" t="s">
        <v>2</v>
      </c>
      <c r="C245" t="s">
        <v>305</v>
      </c>
      <c r="D245" t="s">
        <v>306</v>
      </c>
      <c r="E245">
        <v>10052953</v>
      </c>
      <c r="F245" t="s">
        <v>341</v>
      </c>
      <c r="G245">
        <v>596272</v>
      </c>
      <c r="H245" s="184">
        <v>44251</v>
      </c>
      <c r="I245" s="184">
        <v>44256</v>
      </c>
      <c r="J245" t="s">
        <v>342</v>
      </c>
      <c r="K245">
        <v>60000</v>
      </c>
      <c r="L245" t="s">
        <v>245</v>
      </c>
    </row>
    <row r="246" spans="1:12" x14ac:dyDescent="0.4">
      <c r="A246" t="s">
        <v>165</v>
      </c>
      <c r="B246" t="s">
        <v>2</v>
      </c>
      <c r="C246" t="s">
        <v>305</v>
      </c>
      <c r="D246" t="s">
        <v>306</v>
      </c>
      <c r="E246">
        <v>10052953</v>
      </c>
      <c r="F246" t="s">
        <v>341</v>
      </c>
      <c r="G246">
        <v>596272</v>
      </c>
      <c r="H246" s="184">
        <v>44251</v>
      </c>
      <c r="I246" s="184">
        <v>44256</v>
      </c>
      <c r="J246" t="s">
        <v>342</v>
      </c>
      <c r="K246">
        <v>60000</v>
      </c>
      <c r="L246" t="s">
        <v>246</v>
      </c>
    </row>
    <row r="247" spans="1:12" x14ac:dyDescent="0.4">
      <c r="A247" t="s">
        <v>165</v>
      </c>
      <c r="B247" t="s">
        <v>2</v>
      </c>
      <c r="C247" t="s">
        <v>305</v>
      </c>
      <c r="D247" t="s">
        <v>306</v>
      </c>
      <c r="E247">
        <v>10052953</v>
      </c>
      <c r="F247" t="s">
        <v>341</v>
      </c>
      <c r="G247">
        <v>596272</v>
      </c>
      <c r="H247" s="184">
        <v>44251</v>
      </c>
      <c r="I247" s="184">
        <v>44256</v>
      </c>
      <c r="J247" t="s">
        <v>342</v>
      </c>
      <c r="K247">
        <v>60000</v>
      </c>
      <c r="L247" t="s">
        <v>247</v>
      </c>
    </row>
    <row r="248" spans="1:12" x14ac:dyDescent="0.4">
      <c r="A248" t="s">
        <v>165</v>
      </c>
      <c r="B248" t="s">
        <v>2</v>
      </c>
      <c r="C248" t="s">
        <v>305</v>
      </c>
      <c r="D248" t="s">
        <v>306</v>
      </c>
      <c r="E248">
        <v>10054475</v>
      </c>
      <c r="F248" t="s">
        <v>343</v>
      </c>
      <c r="G248">
        <v>592903</v>
      </c>
      <c r="H248" s="184">
        <v>44011</v>
      </c>
      <c r="I248" s="184">
        <v>44146</v>
      </c>
      <c r="J248" t="s">
        <v>344</v>
      </c>
      <c r="K248">
        <v>60000</v>
      </c>
      <c r="L248" t="s">
        <v>196</v>
      </c>
    </row>
    <row r="249" spans="1:12" x14ac:dyDescent="0.4">
      <c r="A249" t="s">
        <v>165</v>
      </c>
      <c r="B249" t="s">
        <v>2</v>
      </c>
      <c r="C249" t="s">
        <v>305</v>
      </c>
      <c r="D249" t="s">
        <v>306</v>
      </c>
      <c r="E249">
        <v>10054475</v>
      </c>
      <c r="F249" t="s">
        <v>343</v>
      </c>
      <c r="G249">
        <v>592903</v>
      </c>
      <c r="H249" s="184">
        <v>44011</v>
      </c>
      <c r="I249" s="184">
        <v>44146</v>
      </c>
      <c r="J249" t="s">
        <v>344</v>
      </c>
      <c r="K249">
        <v>60000</v>
      </c>
      <c r="L249" t="s">
        <v>211</v>
      </c>
    </row>
    <row r="250" spans="1:12" x14ac:dyDescent="0.4">
      <c r="A250" t="s">
        <v>165</v>
      </c>
      <c r="B250" t="s">
        <v>2</v>
      </c>
      <c r="C250" t="s">
        <v>305</v>
      </c>
      <c r="D250" t="s">
        <v>306</v>
      </c>
      <c r="E250">
        <v>10054475</v>
      </c>
      <c r="F250" t="s">
        <v>343</v>
      </c>
      <c r="G250">
        <v>592903</v>
      </c>
      <c r="H250" s="184">
        <v>44011</v>
      </c>
      <c r="I250" s="184">
        <v>44146</v>
      </c>
      <c r="J250" t="s">
        <v>344</v>
      </c>
      <c r="K250">
        <v>60000</v>
      </c>
      <c r="L250" t="s">
        <v>212</v>
      </c>
    </row>
    <row r="251" spans="1:12" x14ac:dyDescent="0.4">
      <c r="A251" t="s">
        <v>165</v>
      </c>
      <c r="B251" t="s">
        <v>2</v>
      </c>
      <c r="C251" t="s">
        <v>305</v>
      </c>
      <c r="D251" t="s">
        <v>306</v>
      </c>
      <c r="E251">
        <v>10054475</v>
      </c>
      <c r="F251" t="s">
        <v>343</v>
      </c>
      <c r="G251">
        <v>592903</v>
      </c>
      <c r="H251" s="184">
        <v>44011</v>
      </c>
      <c r="I251" s="184">
        <v>44146</v>
      </c>
      <c r="J251" t="s">
        <v>344</v>
      </c>
      <c r="K251">
        <v>60000</v>
      </c>
      <c r="L251" t="s">
        <v>213</v>
      </c>
    </row>
    <row r="252" spans="1:12" x14ac:dyDescent="0.4">
      <c r="A252" t="s">
        <v>165</v>
      </c>
      <c r="B252" t="s">
        <v>2</v>
      </c>
      <c r="C252" t="s">
        <v>305</v>
      </c>
      <c r="D252" t="s">
        <v>306</v>
      </c>
      <c r="E252">
        <v>10054475</v>
      </c>
      <c r="F252" t="s">
        <v>343</v>
      </c>
      <c r="G252">
        <v>592903</v>
      </c>
      <c r="H252" s="184">
        <v>44011</v>
      </c>
      <c r="I252" s="184">
        <v>44146</v>
      </c>
      <c r="J252" t="s">
        <v>344</v>
      </c>
      <c r="K252">
        <v>60000</v>
      </c>
      <c r="L252" t="s">
        <v>214</v>
      </c>
    </row>
    <row r="253" spans="1:12" x14ac:dyDescent="0.4">
      <c r="A253" t="s">
        <v>165</v>
      </c>
      <c r="B253" t="s">
        <v>2</v>
      </c>
      <c r="C253" t="s">
        <v>305</v>
      </c>
      <c r="D253" t="s">
        <v>306</v>
      </c>
      <c r="E253">
        <v>10054475</v>
      </c>
      <c r="F253" t="s">
        <v>343</v>
      </c>
      <c r="G253">
        <v>592903</v>
      </c>
      <c r="H253" s="184">
        <v>44011</v>
      </c>
      <c r="I253" s="184">
        <v>44146</v>
      </c>
      <c r="J253" t="s">
        <v>344</v>
      </c>
      <c r="K253">
        <v>60000</v>
      </c>
      <c r="L253" t="s">
        <v>215</v>
      </c>
    </row>
    <row r="254" spans="1:12" x14ac:dyDescent="0.4">
      <c r="A254" t="s">
        <v>165</v>
      </c>
      <c r="B254" t="s">
        <v>2</v>
      </c>
      <c r="C254" t="s">
        <v>305</v>
      </c>
      <c r="D254" t="s">
        <v>306</v>
      </c>
      <c r="E254">
        <v>10076708</v>
      </c>
      <c r="F254" t="s">
        <v>345</v>
      </c>
      <c r="G254">
        <v>596090</v>
      </c>
      <c r="H254" s="184">
        <v>44167</v>
      </c>
      <c r="I254" s="184">
        <v>44179</v>
      </c>
      <c r="J254" t="s">
        <v>346</v>
      </c>
      <c r="K254">
        <v>60000</v>
      </c>
      <c r="L254" t="s">
        <v>186</v>
      </c>
    </row>
    <row r="255" spans="1:12" x14ac:dyDescent="0.4">
      <c r="A255" t="s">
        <v>165</v>
      </c>
      <c r="B255" t="s">
        <v>2</v>
      </c>
      <c r="C255" t="s">
        <v>305</v>
      </c>
      <c r="D255" t="s">
        <v>306</v>
      </c>
      <c r="E255">
        <v>10076708</v>
      </c>
      <c r="F255" t="s">
        <v>345</v>
      </c>
      <c r="G255">
        <v>596090</v>
      </c>
      <c r="H255" s="184">
        <v>44167</v>
      </c>
      <c r="I255" s="184">
        <v>44179</v>
      </c>
      <c r="J255" t="s">
        <v>346</v>
      </c>
      <c r="K255">
        <v>60000</v>
      </c>
      <c r="L255" t="s">
        <v>197</v>
      </c>
    </row>
    <row r="256" spans="1:12" x14ac:dyDescent="0.4">
      <c r="A256" t="s">
        <v>165</v>
      </c>
      <c r="B256" t="s">
        <v>2</v>
      </c>
      <c r="C256" t="s">
        <v>305</v>
      </c>
      <c r="D256" t="s">
        <v>306</v>
      </c>
      <c r="E256">
        <v>10076708</v>
      </c>
      <c r="F256" t="s">
        <v>345</v>
      </c>
      <c r="G256">
        <v>596090</v>
      </c>
      <c r="H256" s="184">
        <v>44167</v>
      </c>
      <c r="I256" s="184">
        <v>44179</v>
      </c>
      <c r="J256" t="s">
        <v>346</v>
      </c>
      <c r="K256">
        <v>60000</v>
      </c>
      <c r="L256" t="s">
        <v>198</v>
      </c>
    </row>
    <row r="257" spans="1:12" x14ac:dyDescent="0.4">
      <c r="A257" t="s">
        <v>165</v>
      </c>
      <c r="B257" t="s">
        <v>2</v>
      </c>
      <c r="C257" t="s">
        <v>305</v>
      </c>
      <c r="D257" t="s">
        <v>306</v>
      </c>
      <c r="E257">
        <v>10076708</v>
      </c>
      <c r="F257" t="s">
        <v>345</v>
      </c>
      <c r="G257">
        <v>596090</v>
      </c>
      <c r="H257" s="184">
        <v>44167</v>
      </c>
      <c r="I257" s="184">
        <v>44179</v>
      </c>
      <c r="J257" t="s">
        <v>346</v>
      </c>
      <c r="K257">
        <v>60000</v>
      </c>
      <c r="L257" t="s">
        <v>199</v>
      </c>
    </row>
    <row r="258" spans="1:12" x14ac:dyDescent="0.4">
      <c r="A258" t="s">
        <v>165</v>
      </c>
      <c r="B258" t="s">
        <v>2</v>
      </c>
      <c r="C258" t="s">
        <v>305</v>
      </c>
      <c r="D258" t="s">
        <v>306</v>
      </c>
      <c r="E258">
        <v>10076708</v>
      </c>
      <c r="F258" t="s">
        <v>345</v>
      </c>
      <c r="G258">
        <v>596090</v>
      </c>
      <c r="H258" s="184">
        <v>44167</v>
      </c>
      <c r="I258" s="184">
        <v>44179</v>
      </c>
      <c r="J258" t="s">
        <v>346</v>
      </c>
      <c r="K258">
        <v>60000</v>
      </c>
      <c r="L258" t="s">
        <v>200</v>
      </c>
    </row>
    <row r="259" spans="1:12" x14ac:dyDescent="0.4">
      <c r="A259" t="s">
        <v>165</v>
      </c>
      <c r="B259" t="s">
        <v>2</v>
      </c>
      <c r="C259" t="s">
        <v>305</v>
      </c>
      <c r="D259" t="s">
        <v>306</v>
      </c>
      <c r="E259">
        <v>10076708</v>
      </c>
      <c r="F259" t="s">
        <v>345</v>
      </c>
      <c r="G259">
        <v>596090</v>
      </c>
      <c r="H259" s="184">
        <v>44167</v>
      </c>
      <c r="I259" s="184">
        <v>44179</v>
      </c>
      <c r="J259" t="s">
        <v>346</v>
      </c>
      <c r="K259">
        <v>60000</v>
      </c>
      <c r="L259" t="s">
        <v>302</v>
      </c>
    </row>
    <row r="260" spans="1:12" x14ac:dyDescent="0.4">
      <c r="A260" t="s">
        <v>165</v>
      </c>
      <c r="B260" t="s">
        <v>2</v>
      </c>
      <c r="C260" t="s">
        <v>305</v>
      </c>
      <c r="D260" t="s">
        <v>306</v>
      </c>
      <c r="E260">
        <v>10077052</v>
      </c>
      <c r="F260" t="s">
        <v>347</v>
      </c>
      <c r="G260">
        <v>594054</v>
      </c>
      <c r="H260" s="184">
        <v>44103</v>
      </c>
      <c r="I260" s="184">
        <v>44104</v>
      </c>
      <c r="J260" t="s">
        <v>289</v>
      </c>
      <c r="K260">
        <v>60000</v>
      </c>
      <c r="L260" t="s">
        <v>290</v>
      </c>
    </row>
    <row r="261" spans="1:12" x14ac:dyDescent="0.4">
      <c r="A261" t="s">
        <v>165</v>
      </c>
      <c r="B261" t="s">
        <v>2</v>
      </c>
      <c r="C261" t="s">
        <v>305</v>
      </c>
      <c r="D261" t="s">
        <v>306</v>
      </c>
      <c r="E261">
        <v>10077052</v>
      </c>
      <c r="F261" t="s">
        <v>347</v>
      </c>
      <c r="G261">
        <v>594054</v>
      </c>
      <c r="H261" s="184">
        <v>44103</v>
      </c>
      <c r="I261" s="184">
        <v>44104</v>
      </c>
      <c r="J261" t="s">
        <v>289</v>
      </c>
      <c r="K261">
        <v>60000</v>
      </c>
      <c r="L261" t="s">
        <v>291</v>
      </c>
    </row>
    <row r="262" spans="1:12" x14ac:dyDescent="0.4">
      <c r="A262" t="s">
        <v>165</v>
      </c>
      <c r="B262" t="s">
        <v>2</v>
      </c>
      <c r="C262" t="s">
        <v>305</v>
      </c>
      <c r="D262" t="s">
        <v>306</v>
      </c>
      <c r="E262">
        <v>10077052</v>
      </c>
      <c r="F262" t="s">
        <v>347</v>
      </c>
      <c r="G262">
        <v>594054</v>
      </c>
      <c r="H262" s="184">
        <v>44103</v>
      </c>
      <c r="I262" s="184">
        <v>44104</v>
      </c>
      <c r="J262" t="s">
        <v>289</v>
      </c>
      <c r="K262">
        <v>60000</v>
      </c>
      <c r="L262" t="s">
        <v>292</v>
      </c>
    </row>
    <row r="263" spans="1:12" x14ac:dyDescent="0.4">
      <c r="A263" t="s">
        <v>165</v>
      </c>
      <c r="B263" t="s">
        <v>2</v>
      </c>
      <c r="C263" t="s">
        <v>305</v>
      </c>
      <c r="D263" t="s">
        <v>306</v>
      </c>
      <c r="E263">
        <v>10077052</v>
      </c>
      <c r="F263" t="s">
        <v>347</v>
      </c>
      <c r="G263">
        <v>594054</v>
      </c>
      <c r="H263" s="184">
        <v>44103</v>
      </c>
      <c r="I263" s="184">
        <v>44104</v>
      </c>
      <c r="J263" t="s">
        <v>289</v>
      </c>
      <c r="K263">
        <v>60000</v>
      </c>
      <c r="L263" t="s">
        <v>293</v>
      </c>
    </row>
    <row r="264" spans="1:12" x14ac:dyDescent="0.4">
      <c r="A264" t="s">
        <v>165</v>
      </c>
      <c r="B264" t="s">
        <v>2</v>
      </c>
      <c r="C264" t="s">
        <v>305</v>
      </c>
      <c r="D264" t="s">
        <v>306</v>
      </c>
      <c r="E264">
        <v>10077052</v>
      </c>
      <c r="F264" t="s">
        <v>347</v>
      </c>
      <c r="G264">
        <v>594054</v>
      </c>
      <c r="H264" s="184">
        <v>44103</v>
      </c>
      <c r="I264" s="184">
        <v>44104</v>
      </c>
      <c r="J264" t="s">
        <v>289</v>
      </c>
      <c r="K264">
        <v>60000</v>
      </c>
      <c r="L264" t="s">
        <v>294</v>
      </c>
    </row>
    <row r="265" spans="1:12" x14ac:dyDescent="0.4">
      <c r="A265" t="s">
        <v>165</v>
      </c>
      <c r="B265" t="s">
        <v>2</v>
      </c>
      <c r="C265" t="s">
        <v>305</v>
      </c>
      <c r="D265" t="s">
        <v>306</v>
      </c>
      <c r="E265">
        <v>10077052</v>
      </c>
      <c r="F265" t="s">
        <v>347</v>
      </c>
      <c r="G265">
        <v>594054</v>
      </c>
      <c r="H265" s="184">
        <v>44103</v>
      </c>
      <c r="I265" s="184">
        <v>44104</v>
      </c>
      <c r="J265" t="s">
        <v>289</v>
      </c>
      <c r="K265">
        <v>60000</v>
      </c>
      <c r="L265" t="s">
        <v>295</v>
      </c>
    </row>
    <row r="266" spans="1:12" x14ac:dyDescent="0.4">
      <c r="A266" t="s">
        <v>165</v>
      </c>
      <c r="B266" t="s">
        <v>2</v>
      </c>
      <c r="C266" t="s">
        <v>305</v>
      </c>
      <c r="D266" t="s">
        <v>306</v>
      </c>
      <c r="E266">
        <v>10082455</v>
      </c>
      <c r="F266" t="s">
        <v>348</v>
      </c>
      <c r="G266">
        <v>588283</v>
      </c>
      <c r="H266" s="184">
        <v>43880</v>
      </c>
      <c r="I266" s="184">
        <v>43888</v>
      </c>
      <c r="J266" t="s">
        <v>349</v>
      </c>
      <c r="K266">
        <v>60000</v>
      </c>
      <c r="L266" t="s">
        <v>275</v>
      </c>
    </row>
    <row r="267" spans="1:12" x14ac:dyDescent="0.4">
      <c r="A267" t="s">
        <v>165</v>
      </c>
      <c r="B267" t="s">
        <v>2</v>
      </c>
      <c r="C267" t="s">
        <v>305</v>
      </c>
      <c r="D267" t="s">
        <v>306</v>
      </c>
      <c r="E267">
        <v>10082455</v>
      </c>
      <c r="F267" t="s">
        <v>348</v>
      </c>
      <c r="G267">
        <v>588283</v>
      </c>
      <c r="H267" s="184">
        <v>43880</v>
      </c>
      <c r="I267" s="184">
        <v>43888</v>
      </c>
      <c r="J267" t="s">
        <v>349</v>
      </c>
      <c r="K267">
        <v>60000</v>
      </c>
      <c r="L267" t="s">
        <v>238</v>
      </c>
    </row>
    <row r="268" spans="1:12" x14ac:dyDescent="0.4">
      <c r="A268" t="s">
        <v>165</v>
      </c>
      <c r="B268" t="s">
        <v>2</v>
      </c>
      <c r="C268" t="s">
        <v>305</v>
      </c>
      <c r="D268" t="s">
        <v>306</v>
      </c>
      <c r="E268">
        <v>10082455</v>
      </c>
      <c r="F268" t="s">
        <v>348</v>
      </c>
      <c r="G268">
        <v>588283</v>
      </c>
      <c r="H268" s="184">
        <v>43880</v>
      </c>
      <c r="I268" s="184">
        <v>43888</v>
      </c>
      <c r="J268" t="s">
        <v>349</v>
      </c>
      <c r="K268">
        <v>60000</v>
      </c>
      <c r="L268" t="s">
        <v>231</v>
      </c>
    </row>
    <row r="269" spans="1:12" x14ac:dyDescent="0.4">
      <c r="A269" t="s">
        <v>165</v>
      </c>
      <c r="B269" t="s">
        <v>2</v>
      </c>
      <c r="C269" t="s">
        <v>305</v>
      </c>
      <c r="D269" t="s">
        <v>306</v>
      </c>
      <c r="E269">
        <v>10082455</v>
      </c>
      <c r="F269" t="s">
        <v>348</v>
      </c>
      <c r="G269">
        <v>588283</v>
      </c>
      <c r="H269" s="184">
        <v>43880</v>
      </c>
      <c r="I269" s="184">
        <v>43888</v>
      </c>
      <c r="J269" t="s">
        <v>349</v>
      </c>
      <c r="K269">
        <v>60000</v>
      </c>
      <c r="L269" t="s">
        <v>232</v>
      </c>
    </row>
    <row r="270" spans="1:12" x14ac:dyDescent="0.4">
      <c r="A270" t="s">
        <v>165</v>
      </c>
      <c r="B270" t="s">
        <v>2</v>
      </c>
      <c r="C270" t="s">
        <v>305</v>
      </c>
      <c r="D270" t="s">
        <v>306</v>
      </c>
      <c r="E270">
        <v>10082455</v>
      </c>
      <c r="F270" t="s">
        <v>348</v>
      </c>
      <c r="G270">
        <v>588283</v>
      </c>
      <c r="H270" s="184">
        <v>43880</v>
      </c>
      <c r="I270" s="184">
        <v>43888</v>
      </c>
      <c r="J270" t="s">
        <v>349</v>
      </c>
      <c r="K270">
        <v>60000</v>
      </c>
      <c r="L270" t="s">
        <v>233</v>
      </c>
    </row>
    <row r="271" spans="1:12" x14ac:dyDescent="0.4">
      <c r="A271" t="s">
        <v>165</v>
      </c>
      <c r="B271" t="s">
        <v>2</v>
      </c>
      <c r="C271" t="s">
        <v>305</v>
      </c>
      <c r="D271" t="s">
        <v>306</v>
      </c>
      <c r="E271">
        <v>10082455</v>
      </c>
      <c r="F271" t="s">
        <v>348</v>
      </c>
      <c r="G271">
        <v>588283</v>
      </c>
      <c r="H271" s="184">
        <v>43880</v>
      </c>
      <c r="I271" s="184">
        <v>43888</v>
      </c>
      <c r="J271" t="s">
        <v>349</v>
      </c>
      <c r="K271">
        <v>60000</v>
      </c>
      <c r="L271" t="s">
        <v>234</v>
      </c>
    </row>
    <row r="272" spans="1:12" x14ac:dyDescent="0.4">
      <c r="A272" t="s">
        <v>165</v>
      </c>
      <c r="B272" t="s">
        <v>2</v>
      </c>
      <c r="C272" t="s">
        <v>305</v>
      </c>
      <c r="D272" t="s">
        <v>306</v>
      </c>
      <c r="E272">
        <v>10091437</v>
      </c>
      <c r="F272" t="s">
        <v>350</v>
      </c>
      <c r="G272">
        <v>587157</v>
      </c>
      <c r="H272" s="184">
        <v>43826</v>
      </c>
      <c r="I272" s="184">
        <v>43826</v>
      </c>
      <c r="J272" t="s">
        <v>194</v>
      </c>
      <c r="K272">
        <v>60000</v>
      </c>
      <c r="L272" t="s">
        <v>195</v>
      </c>
    </row>
    <row r="273" spans="1:12" x14ac:dyDescent="0.4">
      <c r="A273" t="s">
        <v>165</v>
      </c>
      <c r="B273" t="s">
        <v>2</v>
      </c>
      <c r="C273" t="s">
        <v>305</v>
      </c>
      <c r="D273" t="s">
        <v>306</v>
      </c>
      <c r="E273">
        <v>10091437</v>
      </c>
      <c r="F273" t="s">
        <v>350</v>
      </c>
      <c r="G273">
        <v>587157</v>
      </c>
      <c r="H273" s="184">
        <v>43826</v>
      </c>
      <c r="I273" s="184">
        <v>43826</v>
      </c>
      <c r="J273" t="s">
        <v>194</v>
      </c>
      <c r="K273">
        <v>60000</v>
      </c>
      <c r="L273" t="s">
        <v>196</v>
      </c>
    </row>
    <row r="274" spans="1:12" x14ac:dyDescent="0.4">
      <c r="A274" t="s">
        <v>165</v>
      </c>
      <c r="B274" t="s">
        <v>2</v>
      </c>
      <c r="C274" t="s">
        <v>305</v>
      </c>
      <c r="D274" t="s">
        <v>306</v>
      </c>
      <c r="E274">
        <v>10091437</v>
      </c>
      <c r="F274" t="s">
        <v>350</v>
      </c>
      <c r="G274">
        <v>587157</v>
      </c>
      <c r="H274" s="184">
        <v>43826</v>
      </c>
      <c r="I274" s="184">
        <v>43826</v>
      </c>
      <c r="J274" t="s">
        <v>194</v>
      </c>
      <c r="K274">
        <v>60000</v>
      </c>
      <c r="L274" t="s">
        <v>197</v>
      </c>
    </row>
    <row r="275" spans="1:12" x14ac:dyDescent="0.4">
      <c r="A275" t="s">
        <v>165</v>
      </c>
      <c r="B275" t="s">
        <v>2</v>
      </c>
      <c r="C275" t="s">
        <v>305</v>
      </c>
      <c r="D275" t="s">
        <v>306</v>
      </c>
      <c r="E275">
        <v>10091437</v>
      </c>
      <c r="F275" t="s">
        <v>350</v>
      </c>
      <c r="G275">
        <v>587157</v>
      </c>
      <c r="H275" s="184">
        <v>43826</v>
      </c>
      <c r="I275" s="184">
        <v>43826</v>
      </c>
      <c r="J275" t="s">
        <v>194</v>
      </c>
      <c r="K275">
        <v>60000</v>
      </c>
      <c r="L275" t="s">
        <v>198</v>
      </c>
    </row>
    <row r="276" spans="1:12" x14ac:dyDescent="0.4">
      <c r="A276" t="s">
        <v>165</v>
      </c>
      <c r="B276" t="s">
        <v>2</v>
      </c>
      <c r="C276" t="s">
        <v>305</v>
      </c>
      <c r="D276" t="s">
        <v>306</v>
      </c>
      <c r="E276">
        <v>10091437</v>
      </c>
      <c r="F276" t="s">
        <v>350</v>
      </c>
      <c r="G276">
        <v>587157</v>
      </c>
      <c r="H276" s="184">
        <v>43826</v>
      </c>
      <c r="I276" s="184">
        <v>43826</v>
      </c>
      <c r="J276" t="s">
        <v>194</v>
      </c>
      <c r="K276">
        <v>60000</v>
      </c>
      <c r="L276" t="s">
        <v>199</v>
      </c>
    </row>
    <row r="277" spans="1:12" x14ac:dyDescent="0.4">
      <c r="A277" t="s">
        <v>165</v>
      </c>
      <c r="B277" t="s">
        <v>2</v>
      </c>
      <c r="C277" t="s">
        <v>305</v>
      </c>
      <c r="D277" t="s">
        <v>306</v>
      </c>
      <c r="E277">
        <v>10091437</v>
      </c>
      <c r="F277" t="s">
        <v>350</v>
      </c>
      <c r="G277">
        <v>587157</v>
      </c>
      <c r="H277" s="184">
        <v>43826</v>
      </c>
      <c r="I277" s="184">
        <v>43826</v>
      </c>
      <c r="J277" t="s">
        <v>194</v>
      </c>
      <c r="K277">
        <v>60000</v>
      </c>
      <c r="L277" t="s">
        <v>200</v>
      </c>
    </row>
    <row r="278" spans="1:12" x14ac:dyDescent="0.4">
      <c r="A278" t="s">
        <v>165</v>
      </c>
      <c r="B278" t="s">
        <v>2</v>
      </c>
      <c r="C278" t="s">
        <v>305</v>
      </c>
      <c r="D278" t="s">
        <v>306</v>
      </c>
      <c r="E278">
        <v>20009907</v>
      </c>
      <c r="F278" t="s">
        <v>351</v>
      </c>
      <c r="G278">
        <v>591492</v>
      </c>
      <c r="H278" s="184">
        <v>43962</v>
      </c>
      <c r="I278" s="184">
        <v>43984</v>
      </c>
      <c r="J278" t="s">
        <v>352</v>
      </c>
      <c r="K278">
        <v>60000</v>
      </c>
      <c r="L278" t="s">
        <v>353</v>
      </c>
    </row>
    <row r="279" spans="1:12" x14ac:dyDescent="0.4">
      <c r="A279" t="s">
        <v>165</v>
      </c>
      <c r="B279" t="s">
        <v>2</v>
      </c>
      <c r="C279" t="s">
        <v>305</v>
      </c>
      <c r="D279" t="s">
        <v>306</v>
      </c>
      <c r="E279">
        <v>20009907</v>
      </c>
      <c r="F279" t="s">
        <v>351</v>
      </c>
      <c r="G279">
        <v>591492</v>
      </c>
      <c r="H279" s="184">
        <v>43962</v>
      </c>
      <c r="I279" s="184">
        <v>43984</v>
      </c>
      <c r="J279" t="s">
        <v>352</v>
      </c>
      <c r="K279">
        <v>60000</v>
      </c>
      <c r="L279" t="s">
        <v>258</v>
      </c>
    </row>
    <row r="280" spans="1:12" x14ac:dyDescent="0.4">
      <c r="A280" t="s">
        <v>165</v>
      </c>
      <c r="B280" t="s">
        <v>2</v>
      </c>
      <c r="C280" t="s">
        <v>305</v>
      </c>
      <c r="D280" t="s">
        <v>306</v>
      </c>
      <c r="E280">
        <v>20009907</v>
      </c>
      <c r="F280" t="s">
        <v>351</v>
      </c>
      <c r="G280">
        <v>591492</v>
      </c>
      <c r="H280" s="184">
        <v>43962</v>
      </c>
      <c r="I280" s="184">
        <v>43984</v>
      </c>
      <c r="J280" t="s">
        <v>352</v>
      </c>
      <c r="K280">
        <v>60000</v>
      </c>
      <c r="L280" t="s">
        <v>327</v>
      </c>
    </row>
    <row r="281" spans="1:12" x14ac:dyDescent="0.4">
      <c r="A281" t="s">
        <v>165</v>
      </c>
      <c r="B281" t="s">
        <v>2</v>
      </c>
      <c r="C281" t="s">
        <v>305</v>
      </c>
      <c r="D281" t="s">
        <v>306</v>
      </c>
      <c r="E281">
        <v>20009907</v>
      </c>
      <c r="F281" t="s">
        <v>351</v>
      </c>
      <c r="G281">
        <v>591492</v>
      </c>
      <c r="H281" s="184">
        <v>43962</v>
      </c>
      <c r="I281" s="184">
        <v>43984</v>
      </c>
      <c r="J281" t="s">
        <v>352</v>
      </c>
      <c r="K281">
        <v>60000</v>
      </c>
      <c r="L281" t="s">
        <v>328</v>
      </c>
    </row>
    <row r="282" spans="1:12" x14ac:dyDescent="0.4">
      <c r="A282" t="s">
        <v>165</v>
      </c>
      <c r="B282" t="s">
        <v>2</v>
      </c>
      <c r="C282" t="s">
        <v>305</v>
      </c>
      <c r="D282" t="s">
        <v>306</v>
      </c>
      <c r="E282">
        <v>20009907</v>
      </c>
      <c r="F282" t="s">
        <v>351</v>
      </c>
      <c r="G282">
        <v>591492</v>
      </c>
      <c r="H282" s="184">
        <v>43962</v>
      </c>
      <c r="I282" s="184">
        <v>43984</v>
      </c>
      <c r="J282" t="s">
        <v>352</v>
      </c>
      <c r="K282">
        <v>60000</v>
      </c>
      <c r="L282" t="s">
        <v>329</v>
      </c>
    </row>
    <row r="283" spans="1:12" x14ac:dyDescent="0.4">
      <c r="A283" t="s">
        <v>165</v>
      </c>
      <c r="B283" t="s">
        <v>2</v>
      </c>
      <c r="C283" t="s">
        <v>305</v>
      </c>
      <c r="D283" t="s">
        <v>306</v>
      </c>
      <c r="E283">
        <v>20009907</v>
      </c>
      <c r="F283" t="s">
        <v>351</v>
      </c>
      <c r="G283">
        <v>591492</v>
      </c>
      <c r="H283" s="184">
        <v>43962</v>
      </c>
      <c r="I283" s="184">
        <v>43984</v>
      </c>
      <c r="J283" t="s">
        <v>352</v>
      </c>
      <c r="K283">
        <v>60000</v>
      </c>
      <c r="L283" t="s">
        <v>330</v>
      </c>
    </row>
    <row r="284" spans="1:12" x14ac:dyDescent="0.4">
      <c r="A284" t="s">
        <v>165</v>
      </c>
      <c r="B284" t="s">
        <v>2</v>
      </c>
      <c r="C284" t="s">
        <v>305</v>
      </c>
      <c r="D284" t="s">
        <v>306</v>
      </c>
      <c r="E284">
        <v>20013505</v>
      </c>
      <c r="F284" t="s">
        <v>354</v>
      </c>
      <c r="G284">
        <v>593213</v>
      </c>
      <c r="H284" s="184">
        <v>43976</v>
      </c>
      <c r="I284" s="184">
        <v>43998</v>
      </c>
      <c r="J284" t="s">
        <v>352</v>
      </c>
      <c r="K284">
        <v>60000</v>
      </c>
      <c r="L284" t="s">
        <v>353</v>
      </c>
    </row>
    <row r="285" spans="1:12" x14ac:dyDescent="0.4">
      <c r="A285" t="s">
        <v>165</v>
      </c>
      <c r="B285" t="s">
        <v>2</v>
      </c>
      <c r="C285" t="s">
        <v>305</v>
      </c>
      <c r="D285" t="s">
        <v>306</v>
      </c>
      <c r="E285">
        <v>20013505</v>
      </c>
      <c r="F285" t="s">
        <v>354</v>
      </c>
      <c r="G285">
        <v>593213</v>
      </c>
      <c r="H285" s="184">
        <v>43976</v>
      </c>
      <c r="I285" s="184">
        <v>43998</v>
      </c>
      <c r="J285" t="s">
        <v>352</v>
      </c>
      <c r="K285">
        <v>60000</v>
      </c>
      <c r="L285" t="s">
        <v>258</v>
      </c>
    </row>
    <row r="286" spans="1:12" x14ac:dyDescent="0.4">
      <c r="A286" t="s">
        <v>165</v>
      </c>
      <c r="B286" t="s">
        <v>2</v>
      </c>
      <c r="C286" t="s">
        <v>305</v>
      </c>
      <c r="D286" t="s">
        <v>306</v>
      </c>
      <c r="E286">
        <v>20013505</v>
      </c>
      <c r="F286" t="s">
        <v>354</v>
      </c>
      <c r="G286">
        <v>593213</v>
      </c>
      <c r="H286" s="184">
        <v>43976</v>
      </c>
      <c r="I286" s="184">
        <v>43998</v>
      </c>
      <c r="J286" t="s">
        <v>352</v>
      </c>
      <c r="K286">
        <v>60000</v>
      </c>
      <c r="L286" t="s">
        <v>327</v>
      </c>
    </row>
    <row r="287" spans="1:12" x14ac:dyDescent="0.4">
      <c r="A287" t="s">
        <v>165</v>
      </c>
      <c r="B287" t="s">
        <v>2</v>
      </c>
      <c r="C287" t="s">
        <v>305</v>
      </c>
      <c r="D287" t="s">
        <v>306</v>
      </c>
      <c r="E287">
        <v>20013505</v>
      </c>
      <c r="F287" t="s">
        <v>354</v>
      </c>
      <c r="G287">
        <v>593213</v>
      </c>
      <c r="H287" s="184">
        <v>43976</v>
      </c>
      <c r="I287" s="184">
        <v>43998</v>
      </c>
      <c r="J287" t="s">
        <v>352</v>
      </c>
      <c r="K287">
        <v>60000</v>
      </c>
      <c r="L287" t="s">
        <v>328</v>
      </c>
    </row>
    <row r="288" spans="1:12" x14ac:dyDescent="0.4">
      <c r="A288" t="s">
        <v>165</v>
      </c>
      <c r="B288" t="s">
        <v>2</v>
      </c>
      <c r="C288" t="s">
        <v>305</v>
      </c>
      <c r="D288" t="s">
        <v>306</v>
      </c>
      <c r="E288">
        <v>20013505</v>
      </c>
      <c r="F288" t="s">
        <v>354</v>
      </c>
      <c r="G288">
        <v>593213</v>
      </c>
      <c r="H288" s="184">
        <v>43976</v>
      </c>
      <c r="I288" s="184">
        <v>43998</v>
      </c>
      <c r="J288" t="s">
        <v>352</v>
      </c>
      <c r="K288">
        <v>60000</v>
      </c>
      <c r="L288" t="s">
        <v>329</v>
      </c>
    </row>
    <row r="289" spans="1:12" x14ac:dyDescent="0.4">
      <c r="A289" t="s">
        <v>165</v>
      </c>
      <c r="B289" t="s">
        <v>2</v>
      </c>
      <c r="C289" t="s">
        <v>305</v>
      </c>
      <c r="D289" t="s">
        <v>306</v>
      </c>
      <c r="E289">
        <v>20013505</v>
      </c>
      <c r="F289" t="s">
        <v>354</v>
      </c>
      <c r="G289">
        <v>593213</v>
      </c>
      <c r="H289" s="184">
        <v>43976</v>
      </c>
      <c r="I289" s="184">
        <v>43998</v>
      </c>
      <c r="J289" t="s">
        <v>352</v>
      </c>
      <c r="K289">
        <v>60000</v>
      </c>
      <c r="L289" t="s">
        <v>330</v>
      </c>
    </row>
    <row r="290" spans="1:12" x14ac:dyDescent="0.4">
      <c r="A290" t="s">
        <v>165</v>
      </c>
      <c r="B290" t="s">
        <v>2</v>
      </c>
      <c r="C290" t="s">
        <v>305</v>
      </c>
      <c r="D290" t="s">
        <v>306</v>
      </c>
      <c r="E290">
        <v>20016208</v>
      </c>
      <c r="F290" t="s">
        <v>355</v>
      </c>
      <c r="G290">
        <v>597976</v>
      </c>
      <c r="H290" s="184">
        <v>44279</v>
      </c>
      <c r="I290" s="184">
        <v>44287</v>
      </c>
      <c r="J290" t="s">
        <v>356</v>
      </c>
      <c r="K290">
        <v>60000</v>
      </c>
      <c r="L290" t="s">
        <v>311</v>
      </c>
    </row>
    <row r="291" spans="1:12" x14ac:dyDescent="0.4">
      <c r="A291" t="s">
        <v>165</v>
      </c>
      <c r="B291" t="s">
        <v>2</v>
      </c>
      <c r="C291" t="s">
        <v>305</v>
      </c>
      <c r="D291" t="s">
        <v>306</v>
      </c>
      <c r="E291">
        <v>20016208</v>
      </c>
      <c r="F291" t="s">
        <v>355</v>
      </c>
      <c r="G291">
        <v>597976</v>
      </c>
      <c r="H291" s="184">
        <v>44279</v>
      </c>
      <c r="I291" s="184">
        <v>44287</v>
      </c>
      <c r="J291" t="s">
        <v>356</v>
      </c>
      <c r="K291">
        <v>60000</v>
      </c>
      <c r="L291" t="s">
        <v>312</v>
      </c>
    </row>
    <row r="292" spans="1:12" x14ac:dyDescent="0.4">
      <c r="A292" t="s">
        <v>165</v>
      </c>
      <c r="B292" t="s">
        <v>2</v>
      </c>
      <c r="C292" t="s">
        <v>305</v>
      </c>
      <c r="D292" t="s">
        <v>306</v>
      </c>
      <c r="E292">
        <v>20016208</v>
      </c>
      <c r="F292" t="s">
        <v>355</v>
      </c>
      <c r="G292">
        <v>597976</v>
      </c>
      <c r="H292" s="184">
        <v>44279</v>
      </c>
      <c r="I292" s="184">
        <v>44287</v>
      </c>
      <c r="J292" t="s">
        <v>356</v>
      </c>
      <c r="K292">
        <v>60000</v>
      </c>
      <c r="L292" t="s">
        <v>313</v>
      </c>
    </row>
    <row r="293" spans="1:12" x14ac:dyDescent="0.4">
      <c r="A293" t="s">
        <v>165</v>
      </c>
      <c r="B293" t="s">
        <v>2</v>
      </c>
      <c r="C293" t="s">
        <v>305</v>
      </c>
      <c r="D293" t="s">
        <v>306</v>
      </c>
      <c r="E293">
        <v>20016208</v>
      </c>
      <c r="F293" t="s">
        <v>355</v>
      </c>
      <c r="G293">
        <v>597976</v>
      </c>
      <c r="H293" s="184">
        <v>44279</v>
      </c>
      <c r="I293" s="184">
        <v>44287</v>
      </c>
      <c r="J293" t="s">
        <v>356</v>
      </c>
      <c r="K293">
        <v>60000</v>
      </c>
      <c r="L293" t="s">
        <v>314</v>
      </c>
    </row>
    <row r="294" spans="1:12" x14ac:dyDescent="0.4">
      <c r="A294" t="s">
        <v>165</v>
      </c>
      <c r="B294" t="s">
        <v>2</v>
      </c>
      <c r="C294" t="s">
        <v>305</v>
      </c>
      <c r="D294" t="s">
        <v>306</v>
      </c>
      <c r="E294">
        <v>20016208</v>
      </c>
      <c r="F294" t="s">
        <v>355</v>
      </c>
      <c r="G294">
        <v>597976</v>
      </c>
      <c r="H294" s="184">
        <v>44279</v>
      </c>
      <c r="I294" s="184">
        <v>44287</v>
      </c>
      <c r="J294" t="s">
        <v>356</v>
      </c>
      <c r="K294">
        <v>60000</v>
      </c>
      <c r="L294" t="s">
        <v>315</v>
      </c>
    </row>
    <row r="295" spans="1:12" x14ac:dyDescent="0.4">
      <c r="A295" t="s">
        <v>165</v>
      </c>
      <c r="B295" t="s">
        <v>2</v>
      </c>
      <c r="C295" t="s">
        <v>305</v>
      </c>
      <c r="D295" t="s">
        <v>306</v>
      </c>
      <c r="E295">
        <v>20016208</v>
      </c>
      <c r="F295" t="s">
        <v>355</v>
      </c>
      <c r="G295">
        <v>597976</v>
      </c>
      <c r="H295" s="184">
        <v>44279</v>
      </c>
      <c r="I295" s="184">
        <v>44287</v>
      </c>
      <c r="J295" t="s">
        <v>356</v>
      </c>
      <c r="K295">
        <v>60000</v>
      </c>
      <c r="L295" t="s">
        <v>316</v>
      </c>
    </row>
    <row r="296" spans="1:12" x14ac:dyDescent="0.4">
      <c r="A296" t="s">
        <v>165</v>
      </c>
      <c r="B296" t="s">
        <v>2</v>
      </c>
      <c r="C296" t="s">
        <v>305</v>
      </c>
      <c r="D296" t="s">
        <v>306</v>
      </c>
      <c r="E296">
        <v>20016906</v>
      </c>
      <c r="F296" t="s">
        <v>357</v>
      </c>
      <c r="G296">
        <v>589909</v>
      </c>
      <c r="H296" s="184">
        <v>43823</v>
      </c>
      <c r="I296" s="184">
        <v>43826</v>
      </c>
      <c r="J296" t="s">
        <v>358</v>
      </c>
      <c r="K296">
        <v>60000</v>
      </c>
      <c r="L296" t="s">
        <v>195</v>
      </c>
    </row>
    <row r="297" spans="1:12" x14ac:dyDescent="0.4">
      <c r="A297" t="s">
        <v>165</v>
      </c>
      <c r="B297" t="s">
        <v>2</v>
      </c>
      <c r="C297" t="s">
        <v>305</v>
      </c>
      <c r="D297" t="s">
        <v>306</v>
      </c>
      <c r="E297">
        <v>20016906</v>
      </c>
      <c r="F297" t="s">
        <v>357</v>
      </c>
      <c r="G297">
        <v>589909</v>
      </c>
      <c r="H297" s="184">
        <v>43823</v>
      </c>
      <c r="I297" s="184">
        <v>43826</v>
      </c>
      <c r="J297" t="s">
        <v>358</v>
      </c>
      <c r="K297">
        <v>60000</v>
      </c>
      <c r="L297" t="s">
        <v>196</v>
      </c>
    </row>
    <row r="298" spans="1:12" x14ac:dyDescent="0.4">
      <c r="A298" t="s">
        <v>165</v>
      </c>
      <c r="B298" t="s">
        <v>2</v>
      </c>
      <c r="C298" t="s">
        <v>305</v>
      </c>
      <c r="D298" t="s">
        <v>306</v>
      </c>
      <c r="E298">
        <v>20016906</v>
      </c>
      <c r="F298" t="s">
        <v>357</v>
      </c>
      <c r="G298">
        <v>589909</v>
      </c>
      <c r="H298" s="184">
        <v>43823</v>
      </c>
      <c r="I298" s="184">
        <v>43826</v>
      </c>
      <c r="J298" t="s">
        <v>358</v>
      </c>
      <c r="K298">
        <v>60000</v>
      </c>
      <c r="L298" t="s">
        <v>197</v>
      </c>
    </row>
    <row r="299" spans="1:12" x14ac:dyDescent="0.4">
      <c r="A299" t="s">
        <v>165</v>
      </c>
      <c r="B299" t="s">
        <v>2</v>
      </c>
      <c r="C299" t="s">
        <v>305</v>
      </c>
      <c r="D299" t="s">
        <v>306</v>
      </c>
      <c r="E299">
        <v>20016906</v>
      </c>
      <c r="F299" t="s">
        <v>357</v>
      </c>
      <c r="G299">
        <v>589909</v>
      </c>
      <c r="H299" s="184">
        <v>43823</v>
      </c>
      <c r="I299" s="184">
        <v>43826</v>
      </c>
      <c r="J299" t="s">
        <v>358</v>
      </c>
      <c r="K299">
        <v>60000</v>
      </c>
      <c r="L299" t="s">
        <v>198</v>
      </c>
    </row>
    <row r="300" spans="1:12" x14ac:dyDescent="0.4">
      <c r="A300" t="s">
        <v>165</v>
      </c>
      <c r="B300" t="s">
        <v>2</v>
      </c>
      <c r="C300" t="s">
        <v>305</v>
      </c>
      <c r="D300" t="s">
        <v>306</v>
      </c>
      <c r="E300">
        <v>20016906</v>
      </c>
      <c r="F300" t="s">
        <v>357</v>
      </c>
      <c r="G300">
        <v>589909</v>
      </c>
      <c r="H300" s="184">
        <v>43823</v>
      </c>
      <c r="I300" s="184">
        <v>43826</v>
      </c>
      <c r="J300" t="s">
        <v>358</v>
      </c>
      <c r="K300">
        <v>60000</v>
      </c>
      <c r="L300" t="s">
        <v>199</v>
      </c>
    </row>
    <row r="301" spans="1:12" x14ac:dyDescent="0.4">
      <c r="A301" t="s">
        <v>165</v>
      </c>
      <c r="B301" t="s">
        <v>2</v>
      </c>
      <c r="C301" t="s">
        <v>305</v>
      </c>
      <c r="D301" t="s">
        <v>306</v>
      </c>
      <c r="E301">
        <v>20016906</v>
      </c>
      <c r="F301" t="s">
        <v>357</v>
      </c>
      <c r="G301">
        <v>589909</v>
      </c>
      <c r="H301" s="184">
        <v>43823</v>
      </c>
      <c r="I301" s="184">
        <v>43826</v>
      </c>
      <c r="J301" t="s">
        <v>358</v>
      </c>
      <c r="K301">
        <v>60000</v>
      </c>
      <c r="L301" t="s">
        <v>200</v>
      </c>
    </row>
    <row r="302" spans="1:12" x14ac:dyDescent="0.4">
      <c r="A302" t="s">
        <v>165</v>
      </c>
      <c r="B302" t="s">
        <v>2</v>
      </c>
      <c r="C302" t="s">
        <v>305</v>
      </c>
      <c r="D302" t="s">
        <v>306</v>
      </c>
      <c r="E302">
        <v>20017190</v>
      </c>
      <c r="F302" t="s">
        <v>359</v>
      </c>
      <c r="G302">
        <v>597559</v>
      </c>
      <c r="H302" s="184">
        <v>44235</v>
      </c>
      <c r="I302" s="184">
        <v>44252</v>
      </c>
      <c r="J302" t="s">
        <v>360</v>
      </c>
      <c r="K302">
        <v>60000</v>
      </c>
      <c r="L302" t="s">
        <v>230</v>
      </c>
    </row>
    <row r="303" spans="1:12" x14ac:dyDescent="0.4">
      <c r="A303" t="s">
        <v>165</v>
      </c>
      <c r="B303" t="s">
        <v>2</v>
      </c>
      <c r="C303" t="s">
        <v>305</v>
      </c>
      <c r="D303" t="s">
        <v>306</v>
      </c>
      <c r="E303">
        <v>20017190</v>
      </c>
      <c r="F303" t="s">
        <v>359</v>
      </c>
      <c r="G303">
        <v>597559</v>
      </c>
      <c r="H303" s="184">
        <v>44235</v>
      </c>
      <c r="I303" s="184">
        <v>44252</v>
      </c>
      <c r="J303" t="s">
        <v>360</v>
      </c>
      <c r="K303">
        <v>60000</v>
      </c>
      <c r="L303" t="s">
        <v>231</v>
      </c>
    </row>
    <row r="304" spans="1:12" x14ac:dyDescent="0.4">
      <c r="A304" t="s">
        <v>165</v>
      </c>
      <c r="B304" t="s">
        <v>2</v>
      </c>
      <c r="C304" t="s">
        <v>305</v>
      </c>
      <c r="D304" t="s">
        <v>306</v>
      </c>
      <c r="E304">
        <v>20017190</v>
      </c>
      <c r="F304" t="s">
        <v>359</v>
      </c>
      <c r="G304">
        <v>597559</v>
      </c>
      <c r="H304" s="184">
        <v>44235</v>
      </c>
      <c r="I304" s="184">
        <v>44252</v>
      </c>
      <c r="J304" t="s">
        <v>360</v>
      </c>
      <c r="K304">
        <v>60000</v>
      </c>
      <c r="L304" t="s">
        <v>232</v>
      </c>
    </row>
    <row r="305" spans="1:12" x14ac:dyDescent="0.4">
      <c r="A305" t="s">
        <v>165</v>
      </c>
      <c r="B305" t="s">
        <v>2</v>
      </c>
      <c r="C305" t="s">
        <v>305</v>
      </c>
      <c r="D305" t="s">
        <v>306</v>
      </c>
      <c r="E305">
        <v>20017190</v>
      </c>
      <c r="F305" t="s">
        <v>359</v>
      </c>
      <c r="G305">
        <v>597559</v>
      </c>
      <c r="H305" s="184">
        <v>44235</v>
      </c>
      <c r="I305" s="184">
        <v>44252</v>
      </c>
      <c r="J305" t="s">
        <v>360</v>
      </c>
      <c r="K305">
        <v>60000</v>
      </c>
      <c r="L305" t="s">
        <v>233</v>
      </c>
    </row>
    <row r="306" spans="1:12" x14ac:dyDescent="0.4">
      <c r="A306" t="s">
        <v>165</v>
      </c>
      <c r="B306" t="s">
        <v>2</v>
      </c>
      <c r="C306" t="s">
        <v>305</v>
      </c>
      <c r="D306" t="s">
        <v>306</v>
      </c>
      <c r="E306">
        <v>20017190</v>
      </c>
      <c r="F306" t="s">
        <v>359</v>
      </c>
      <c r="G306">
        <v>597559</v>
      </c>
      <c r="H306" s="184">
        <v>44235</v>
      </c>
      <c r="I306" s="184">
        <v>44252</v>
      </c>
      <c r="J306" t="s">
        <v>360</v>
      </c>
      <c r="K306">
        <v>60000</v>
      </c>
      <c r="L306" t="s">
        <v>234</v>
      </c>
    </row>
    <row r="307" spans="1:12" x14ac:dyDescent="0.4">
      <c r="A307" t="s">
        <v>165</v>
      </c>
      <c r="B307" t="s">
        <v>2</v>
      </c>
      <c r="C307" t="s">
        <v>305</v>
      </c>
      <c r="D307" t="s">
        <v>306</v>
      </c>
      <c r="E307">
        <v>20017190</v>
      </c>
      <c r="F307" t="s">
        <v>359</v>
      </c>
      <c r="G307">
        <v>597559</v>
      </c>
      <c r="H307" s="184">
        <v>44235</v>
      </c>
      <c r="I307" s="184">
        <v>44252</v>
      </c>
      <c r="J307" t="s">
        <v>360</v>
      </c>
      <c r="K307">
        <v>60000</v>
      </c>
      <c r="L307" t="s">
        <v>235</v>
      </c>
    </row>
    <row r="308" spans="1:12" x14ac:dyDescent="0.4">
      <c r="A308" t="s">
        <v>165</v>
      </c>
      <c r="B308" t="s">
        <v>2</v>
      </c>
      <c r="C308" t="s">
        <v>305</v>
      </c>
      <c r="D308" t="s">
        <v>306</v>
      </c>
      <c r="E308">
        <v>20017575</v>
      </c>
      <c r="F308" t="s">
        <v>361</v>
      </c>
      <c r="G308">
        <v>589946</v>
      </c>
      <c r="H308" s="184">
        <v>43895</v>
      </c>
      <c r="I308" s="184">
        <v>43922</v>
      </c>
      <c r="J308" t="s">
        <v>362</v>
      </c>
      <c r="K308">
        <v>60000</v>
      </c>
      <c r="L308" t="s">
        <v>363</v>
      </c>
    </row>
    <row r="309" spans="1:12" x14ac:dyDescent="0.4">
      <c r="A309" t="s">
        <v>165</v>
      </c>
      <c r="B309" t="s">
        <v>2</v>
      </c>
      <c r="C309" t="s">
        <v>305</v>
      </c>
      <c r="D309" t="s">
        <v>306</v>
      </c>
      <c r="E309">
        <v>20017575</v>
      </c>
      <c r="F309" t="s">
        <v>361</v>
      </c>
      <c r="G309">
        <v>589946</v>
      </c>
      <c r="H309" s="184">
        <v>43895</v>
      </c>
      <c r="I309" s="184">
        <v>43922</v>
      </c>
      <c r="J309" t="s">
        <v>362</v>
      </c>
      <c r="K309">
        <v>60000</v>
      </c>
      <c r="L309" t="s">
        <v>242</v>
      </c>
    </row>
    <row r="310" spans="1:12" x14ac:dyDescent="0.4">
      <c r="A310" t="s">
        <v>165</v>
      </c>
      <c r="B310" t="s">
        <v>2</v>
      </c>
      <c r="C310" t="s">
        <v>305</v>
      </c>
      <c r="D310" t="s">
        <v>306</v>
      </c>
      <c r="E310">
        <v>20017575</v>
      </c>
      <c r="F310" t="s">
        <v>361</v>
      </c>
      <c r="G310">
        <v>589946</v>
      </c>
      <c r="H310" s="184">
        <v>43895</v>
      </c>
      <c r="I310" s="184">
        <v>43922</v>
      </c>
      <c r="J310" t="s">
        <v>362</v>
      </c>
      <c r="K310">
        <v>60000</v>
      </c>
      <c r="L310" t="s">
        <v>312</v>
      </c>
    </row>
    <row r="311" spans="1:12" x14ac:dyDescent="0.4">
      <c r="A311" t="s">
        <v>165</v>
      </c>
      <c r="B311" t="s">
        <v>2</v>
      </c>
      <c r="C311" t="s">
        <v>305</v>
      </c>
      <c r="D311" t="s">
        <v>306</v>
      </c>
      <c r="E311">
        <v>20017575</v>
      </c>
      <c r="F311" t="s">
        <v>361</v>
      </c>
      <c r="G311">
        <v>589946</v>
      </c>
      <c r="H311" s="184">
        <v>43895</v>
      </c>
      <c r="I311" s="184">
        <v>43922</v>
      </c>
      <c r="J311" t="s">
        <v>362</v>
      </c>
      <c r="K311">
        <v>60000</v>
      </c>
      <c r="L311" t="s">
        <v>313</v>
      </c>
    </row>
    <row r="312" spans="1:12" x14ac:dyDescent="0.4">
      <c r="A312" t="s">
        <v>165</v>
      </c>
      <c r="B312" t="s">
        <v>2</v>
      </c>
      <c r="C312" t="s">
        <v>305</v>
      </c>
      <c r="D312" t="s">
        <v>306</v>
      </c>
      <c r="E312">
        <v>20017575</v>
      </c>
      <c r="F312" t="s">
        <v>361</v>
      </c>
      <c r="G312">
        <v>589946</v>
      </c>
      <c r="H312" s="184">
        <v>43895</v>
      </c>
      <c r="I312" s="184">
        <v>43922</v>
      </c>
      <c r="J312" t="s">
        <v>362</v>
      </c>
      <c r="K312">
        <v>60000</v>
      </c>
      <c r="L312" t="s">
        <v>314</v>
      </c>
    </row>
    <row r="313" spans="1:12" x14ac:dyDescent="0.4">
      <c r="A313" t="s">
        <v>165</v>
      </c>
      <c r="B313" t="s">
        <v>2</v>
      </c>
      <c r="C313" t="s">
        <v>305</v>
      </c>
      <c r="D313" t="s">
        <v>306</v>
      </c>
      <c r="E313">
        <v>20017575</v>
      </c>
      <c r="F313" t="s">
        <v>361</v>
      </c>
      <c r="G313">
        <v>589946</v>
      </c>
      <c r="H313" s="184">
        <v>43895</v>
      </c>
      <c r="I313" s="184">
        <v>43922</v>
      </c>
      <c r="J313" t="s">
        <v>362</v>
      </c>
      <c r="K313">
        <v>60000</v>
      </c>
      <c r="L313" t="s">
        <v>315</v>
      </c>
    </row>
    <row r="314" spans="1:12" x14ac:dyDescent="0.4">
      <c r="A314" t="s">
        <v>165</v>
      </c>
      <c r="B314" t="s">
        <v>2</v>
      </c>
      <c r="C314" t="s">
        <v>305</v>
      </c>
      <c r="D314" t="s">
        <v>306</v>
      </c>
      <c r="E314">
        <v>20017755</v>
      </c>
      <c r="F314" t="s">
        <v>364</v>
      </c>
      <c r="G314">
        <v>591133</v>
      </c>
      <c r="H314" s="184">
        <v>44007</v>
      </c>
      <c r="I314" s="184">
        <v>44011</v>
      </c>
      <c r="J314" t="s">
        <v>365</v>
      </c>
      <c r="K314">
        <v>60000</v>
      </c>
      <c r="L314" t="s">
        <v>353</v>
      </c>
    </row>
    <row r="315" spans="1:12" x14ac:dyDescent="0.4">
      <c r="A315" t="s">
        <v>165</v>
      </c>
      <c r="B315" t="s">
        <v>2</v>
      </c>
      <c r="C315" t="s">
        <v>305</v>
      </c>
      <c r="D315" t="s">
        <v>306</v>
      </c>
      <c r="E315">
        <v>20017755</v>
      </c>
      <c r="F315" t="s">
        <v>364</v>
      </c>
      <c r="G315">
        <v>591133</v>
      </c>
      <c r="H315" s="184">
        <v>44007</v>
      </c>
      <c r="I315" s="184">
        <v>44011</v>
      </c>
      <c r="J315" t="s">
        <v>365</v>
      </c>
      <c r="K315">
        <v>60000</v>
      </c>
      <c r="L315" t="s">
        <v>258</v>
      </c>
    </row>
    <row r="316" spans="1:12" x14ac:dyDescent="0.4">
      <c r="A316" t="s">
        <v>165</v>
      </c>
      <c r="B316" t="s">
        <v>2</v>
      </c>
      <c r="C316" t="s">
        <v>305</v>
      </c>
      <c r="D316" t="s">
        <v>306</v>
      </c>
      <c r="E316">
        <v>20017755</v>
      </c>
      <c r="F316" t="s">
        <v>364</v>
      </c>
      <c r="G316">
        <v>591133</v>
      </c>
      <c r="H316" s="184">
        <v>44007</v>
      </c>
      <c r="I316" s="184">
        <v>44011</v>
      </c>
      <c r="J316" t="s">
        <v>365</v>
      </c>
      <c r="K316">
        <v>60000</v>
      </c>
      <c r="L316" t="s">
        <v>327</v>
      </c>
    </row>
    <row r="317" spans="1:12" x14ac:dyDescent="0.4">
      <c r="A317" t="s">
        <v>165</v>
      </c>
      <c r="B317" t="s">
        <v>2</v>
      </c>
      <c r="C317" t="s">
        <v>305</v>
      </c>
      <c r="D317" t="s">
        <v>306</v>
      </c>
      <c r="E317">
        <v>20017755</v>
      </c>
      <c r="F317" t="s">
        <v>364</v>
      </c>
      <c r="G317">
        <v>591133</v>
      </c>
      <c r="H317" s="184">
        <v>44007</v>
      </c>
      <c r="I317" s="184">
        <v>44011</v>
      </c>
      <c r="J317" t="s">
        <v>365</v>
      </c>
      <c r="K317">
        <v>60000</v>
      </c>
      <c r="L317" t="s">
        <v>328</v>
      </c>
    </row>
    <row r="318" spans="1:12" x14ac:dyDescent="0.4">
      <c r="A318" t="s">
        <v>165</v>
      </c>
      <c r="B318" t="s">
        <v>2</v>
      </c>
      <c r="C318" t="s">
        <v>305</v>
      </c>
      <c r="D318" t="s">
        <v>306</v>
      </c>
      <c r="E318">
        <v>20017755</v>
      </c>
      <c r="F318" t="s">
        <v>364</v>
      </c>
      <c r="G318">
        <v>591133</v>
      </c>
      <c r="H318" s="184">
        <v>44007</v>
      </c>
      <c r="I318" s="184">
        <v>44011</v>
      </c>
      <c r="J318" t="s">
        <v>365</v>
      </c>
      <c r="K318">
        <v>60000</v>
      </c>
      <c r="L318" t="s">
        <v>329</v>
      </c>
    </row>
    <row r="319" spans="1:12" x14ac:dyDescent="0.4">
      <c r="A319" t="s">
        <v>165</v>
      </c>
      <c r="B319" t="s">
        <v>2</v>
      </c>
      <c r="C319" t="s">
        <v>305</v>
      </c>
      <c r="D319" t="s">
        <v>306</v>
      </c>
      <c r="E319">
        <v>20017755</v>
      </c>
      <c r="F319" t="s">
        <v>364</v>
      </c>
      <c r="G319">
        <v>591133</v>
      </c>
      <c r="H319" s="184">
        <v>44007</v>
      </c>
      <c r="I319" s="184">
        <v>44011</v>
      </c>
      <c r="J319" t="s">
        <v>365</v>
      </c>
      <c r="K319">
        <v>60000</v>
      </c>
      <c r="L319" t="s">
        <v>330</v>
      </c>
    </row>
    <row r="320" spans="1:12" x14ac:dyDescent="0.4">
      <c r="A320" t="s">
        <v>165</v>
      </c>
      <c r="B320" t="s">
        <v>2</v>
      </c>
      <c r="C320" t="s">
        <v>305</v>
      </c>
      <c r="D320" t="s">
        <v>306</v>
      </c>
      <c r="E320">
        <v>20017963</v>
      </c>
      <c r="F320" t="s">
        <v>366</v>
      </c>
      <c r="G320">
        <v>588754</v>
      </c>
      <c r="H320" s="184">
        <v>43817</v>
      </c>
      <c r="I320" s="184">
        <v>43818</v>
      </c>
      <c r="J320" t="s">
        <v>367</v>
      </c>
      <c r="K320">
        <v>60000</v>
      </c>
      <c r="L320" t="s">
        <v>195</v>
      </c>
    </row>
    <row r="321" spans="1:12" x14ac:dyDescent="0.4">
      <c r="A321" t="s">
        <v>165</v>
      </c>
      <c r="B321" t="s">
        <v>2</v>
      </c>
      <c r="C321" t="s">
        <v>305</v>
      </c>
      <c r="D321" t="s">
        <v>306</v>
      </c>
      <c r="E321">
        <v>20017963</v>
      </c>
      <c r="F321" t="s">
        <v>366</v>
      </c>
      <c r="G321">
        <v>588754</v>
      </c>
      <c r="H321" s="184">
        <v>43817</v>
      </c>
      <c r="I321" s="184">
        <v>43818</v>
      </c>
      <c r="J321" t="s">
        <v>367</v>
      </c>
      <c r="K321">
        <v>60000</v>
      </c>
      <c r="L321" t="s">
        <v>196</v>
      </c>
    </row>
    <row r="322" spans="1:12" x14ac:dyDescent="0.4">
      <c r="A322" t="s">
        <v>165</v>
      </c>
      <c r="B322" t="s">
        <v>2</v>
      </c>
      <c r="C322" t="s">
        <v>305</v>
      </c>
      <c r="D322" t="s">
        <v>306</v>
      </c>
      <c r="E322">
        <v>20017963</v>
      </c>
      <c r="F322" t="s">
        <v>366</v>
      </c>
      <c r="G322">
        <v>588754</v>
      </c>
      <c r="H322" s="184">
        <v>43817</v>
      </c>
      <c r="I322" s="184">
        <v>43818</v>
      </c>
      <c r="J322" t="s">
        <v>367</v>
      </c>
      <c r="K322">
        <v>60000</v>
      </c>
      <c r="L322" t="s">
        <v>197</v>
      </c>
    </row>
    <row r="323" spans="1:12" x14ac:dyDescent="0.4">
      <c r="A323" t="s">
        <v>165</v>
      </c>
      <c r="B323" t="s">
        <v>2</v>
      </c>
      <c r="C323" t="s">
        <v>305</v>
      </c>
      <c r="D323" t="s">
        <v>306</v>
      </c>
      <c r="E323">
        <v>20017963</v>
      </c>
      <c r="F323" t="s">
        <v>366</v>
      </c>
      <c r="G323">
        <v>588754</v>
      </c>
      <c r="H323" s="184">
        <v>43817</v>
      </c>
      <c r="I323" s="184">
        <v>43818</v>
      </c>
      <c r="J323" t="s">
        <v>367</v>
      </c>
      <c r="K323">
        <v>60000</v>
      </c>
      <c r="L323" t="s">
        <v>198</v>
      </c>
    </row>
    <row r="324" spans="1:12" x14ac:dyDescent="0.4">
      <c r="A324" t="s">
        <v>165</v>
      </c>
      <c r="B324" t="s">
        <v>2</v>
      </c>
      <c r="C324" t="s">
        <v>305</v>
      </c>
      <c r="D324" t="s">
        <v>306</v>
      </c>
      <c r="E324">
        <v>20017963</v>
      </c>
      <c r="F324" t="s">
        <v>366</v>
      </c>
      <c r="G324">
        <v>588754</v>
      </c>
      <c r="H324" s="184">
        <v>43817</v>
      </c>
      <c r="I324" s="184">
        <v>43818</v>
      </c>
      <c r="J324" t="s">
        <v>367</v>
      </c>
      <c r="K324">
        <v>60000</v>
      </c>
      <c r="L324" t="s">
        <v>199</v>
      </c>
    </row>
    <row r="325" spans="1:12" x14ac:dyDescent="0.4">
      <c r="A325" t="s">
        <v>165</v>
      </c>
      <c r="B325" t="s">
        <v>2</v>
      </c>
      <c r="C325" t="s">
        <v>305</v>
      </c>
      <c r="D325" t="s">
        <v>306</v>
      </c>
      <c r="E325">
        <v>20017963</v>
      </c>
      <c r="F325" t="s">
        <v>366</v>
      </c>
      <c r="G325">
        <v>588754</v>
      </c>
      <c r="H325" s="184">
        <v>43817</v>
      </c>
      <c r="I325" s="184">
        <v>43818</v>
      </c>
      <c r="J325" t="s">
        <v>367</v>
      </c>
      <c r="K325">
        <v>60000</v>
      </c>
      <c r="L325" t="s">
        <v>200</v>
      </c>
    </row>
    <row r="326" spans="1:12" x14ac:dyDescent="0.4">
      <c r="A326" t="s">
        <v>165</v>
      </c>
      <c r="B326" t="s">
        <v>2</v>
      </c>
      <c r="C326" t="s">
        <v>305</v>
      </c>
      <c r="D326" t="s">
        <v>306</v>
      </c>
      <c r="E326">
        <v>20017971</v>
      </c>
      <c r="F326" t="s">
        <v>368</v>
      </c>
      <c r="G326">
        <v>588998</v>
      </c>
      <c r="H326" s="184">
        <v>43850</v>
      </c>
      <c r="I326" s="184">
        <v>43860</v>
      </c>
      <c r="J326" t="s">
        <v>369</v>
      </c>
      <c r="K326">
        <v>60000</v>
      </c>
      <c r="L326" t="s">
        <v>185</v>
      </c>
    </row>
    <row r="327" spans="1:12" x14ac:dyDescent="0.4">
      <c r="A327" t="s">
        <v>165</v>
      </c>
      <c r="B327" t="s">
        <v>2</v>
      </c>
      <c r="C327" t="s">
        <v>305</v>
      </c>
      <c r="D327" t="s">
        <v>306</v>
      </c>
      <c r="E327">
        <v>20017971</v>
      </c>
      <c r="F327" t="s">
        <v>368</v>
      </c>
      <c r="G327">
        <v>588998</v>
      </c>
      <c r="H327" s="184">
        <v>43850</v>
      </c>
      <c r="I327" s="184">
        <v>43860</v>
      </c>
      <c r="J327" t="s">
        <v>369</v>
      </c>
      <c r="K327">
        <v>60000</v>
      </c>
      <c r="L327" t="s">
        <v>186</v>
      </c>
    </row>
    <row r="328" spans="1:12" x14ac:dyDescent="0.4">
      <c r="A328" t="s">
        <v>165</v>
      </c>
      <c r="B328" t="s">
        <v>2</v>
      </c>
      <c r="C328" t="s">
        <v>305</v>
      </c>
      <c r="D328" t="s">
        <v>306</v>
      </c>
      <c r="E328">
        <v>20017971</v>
      </c>
      <c r="F328" t="s">
        <v>368</v>
      </c>
      <c r="G328">
        <v>588998</v>
      </c>
      <c r="H328" s="184">
        <v>43850</v>
      </c>
      <c r="I328" s="184">
        <v>43860</v>
      </c>
      <c r="J328" t="s">
        <v>369</v>
      </c>
      <c r="K328">
        <v>60000</v>
      </c>
      <c r="L328" t="s">
        <v>187</v>
      </c>
    </row>
    <row r="329" spans="1:12" x14ac:dyDescent="0.4">
      <c r="A329" t="s">
        <v>165</v>
      </c>
      <c r="B329" t="s">
        <v>2</v>
      </c>
      <c r="C329" t="s">
        <v>305</v>
      </c>
      <c r="D329" t="s">
        <v>306</v>
      </c>
      <c r="E329">
        <v>20017971</v>
      </c>
      <c r="F329" t="s">
        <v>368</v>
      </c>
      <c r="G329">
        <v>588998</v>
      </c>
      <c r="H329" s="184">
        <v>43850</v>
      </c>
      <c r="I329" s="184">
        <v>43860</v>
      </c>
      <c r="J329" t="s">
        <v>369</v>
      </c>
      <c r="K329">
        <v>60000</v>
      </c>
      <c r="L329" t="s">
        <v>188</v>
      </c>
    </row>
    <row r="330" spans="1:12" x14ac:dyDescent="0.4">
      <c r="A330" t="s">
        <v>165</v>
      </c>
      <c r="B330" t="s">
        <v>2</v>
      </c>
      <c r="C330" t="s">
        <v>305</v>
      </c>
      <c r="D330" t="s">
        <v>306</v>
      </c>
      <c r="E330">
        <v>20017971</v>
      </c>
      <c r="F330" t="s">
        <v>368</v>
      </c>
      <c r="G330">
        <v>588998</v>
      </c>
      <c r="H330" s="184">
        <v>43850</v>
      </c>
      <c r="I330" s="184">
        <v>43860</v>
      </c>
      <c r="J330" t="s">
        <v>369</v>
      </c>
      <c r="K330">
        <v>60000</v>
      </c>
      <c r="L330" t="s">
        <v>189</v>
      </c>
    </row>
    <row r="331" spans="1:12" x14ac:dyDescent="0.4">
      <c r="A331" t="s">
        <v>165</v>
      </c>
      <c r="B331" t="s">
        <v>2</v>
      </c>
      <c r="C331" t="s">
        <v>305</v>
      </c>
      <c r="D331" t="s">
        <v>306</v>
      </c>
      <c r="E331">
        <v>20017971</v>
      </c>
      <c r="F331" t="s">
        <v>368</v>
      </c>
      <c r="G331">
        <v>588998</v>
      </c>
      <c r="H331" s="184">
        <v>43850</v>
      </c>
      <c r="I331" s="184">
        <v>43860</v>
      </c>
      <c r="J331" t="s">
        <v>369</v>
      </c>
      <c r="K331">
        <v>60000</v>
      </c>
      <c r="L331" t="s">
        <v>190</v>
      </c>
    </row>
    <row r="332" spans="1:12" x14ac:dyDescent="0.4">
      <c r="A332" t="s">
        <v>165</v>
      </c>
      <c r="B332" t="s">
        <v>2</v>
      </c>
      <c r="C332" t="s">
        <v>305</v>
      </c>
      <c r="D332" t="s">
        <v>306</v>
      </c>
      <c r="E332">
        <v>20017976</v>
      </c>
      <c r="F332" t="s">
        <v>370</v>
      </c>
      <c r="G332">
        <v>590627</v>
      </c>
      <c r="H332" s="184">
        <v>43880</v>
      </c>
      <c r="I332" s="184">
        <v>43889</v>
      </c>
      <c r="J332" t="s">
        <v>274</v>
      </c>
      <c r="K332">
        <v>60000</v>
      </c>
      <c r="L332" t="s">
        <v>275</v>
      </c>
    </row>
    <row r="333" spans="1:12" x14ac:dyDescent="0.4">
      <c r="A333" t="s">
        <v>165</v>
      </c>
      <c r="B333" t="s">
        <v>2</v>
      </c>
      <c r="C333" t="s">
        <v>305</v>
      </c>
      <c r="D333" t="s">
        <v>306</v>
      </c>
      <c r="E333">
        <v>20017976</v>
      </c>
      <c r="F333" t="s">
        <v>370</v>
      </c>
      <c r="G333">
        <v>590627</v>
      </c>
      <c r="H333" s="184">
        <v>43880</v>
      </c>
      <c r="I333" s="184">
        <v>43889</v>
      </c>
      <c r="J333" t="s">
        <v>274</v>
      </c>
      <c r="K333">
        <v>60000</v>
      </c>
      <c r="L333" t="s">
        <v>238</v>
      </c>
    </row>
    <row r="334" spans="1:12" x14ac:dyDescent="0.4">
      <c r="A334" t="s">
        <v>165</v>
      </c>
      <c r="B334" t="s">
        <v>2</v>
      </c>
      <c r="C334" t="s">
        <v>305</v>
      </c>
      <c r="D334" t="s">
        <v>306</v>
      </c>
      <c r="E334">
        <v>20017976</v>
      </c>
      <c r="F334" t="s">
        <v>370</v>
      </c>
      <c r="G334">
        <v>590627</v>
      </c>
      <c r="H334" s="184">
        <v>43880</v>
      </c>
      <c r="I334" s="184">
        <v>43889</v>
      </c>
      <c r="J334" t="s">
        <v>274</v>
      </c>
      <c r="K334">
        <v>60000</v>
      </c>
      <c r="L334" t="s">
        <v>231</v>
      </c>
    </row>
    <row r="335" spans="1:12" x14ac:dyDescent="0.4">
      <c r="A335" t="s">
        <v>165</v>
      </c>
      <c r="B335" t="s">
        <v>2</v>
      </c>
      <c r="C335" t="s">
        <v>305</v>
      </c>
      <c r="D335" t="s">
        <v>306</v>
      </c>
      <c r="E335">
        <v>20017976</v>
      </c>
      <c r="F335" t="s">
        <v>370</v>
      </c>
      <c r="G335">
        <v>590627</v>
      </c>
      <c r="H335" s="184">
        <v>43880</v>
      </c>
      <c r="I335" s="184">
        <v>43889</v>
      </c>
      <c r="J335" t="s">
        <v>274</v>
      </c>
      <c r="K335">
        <v>60000</v>
      </c>
      <c r="L335" t="s">
        <v>232</v>
      </c>
    </row>
    <row r="336" spans="1:12" x14ac:dyDescent="0.4">
      <c r="A336" t="s">
        <v>165</v>
      </c>
      <c r="B336" t="s">
        <v>2</v>
      </c>
      <c r="C336" t="s">
        <v>305</v>
      </c>
      <c r="D336" t="s">
        <v>306</v>
      </c>
      <c r="E336">
        <v>20017976</v>
      </c>
      <c r="F336" t="s">
        <v>370</v>
      </c>
      <c r="G336">
        <v>590627</v>
      </c>
      <c r="H336" s="184">
        <v>43880</v>
      </c>
      <c r="I336" s="184">
        <v>43889</v>
      </c>
      <c r="J336" t="s">
        <v>274</v>
      </c>
      <c r="K336">
        <v>60000</v>
      </c>
      <c r="L336" t="s">
        <v>233</v>
      </c>
    </row>
    <row r="337" spans="1:12" x14ac:dyDescent="0.4">
      <c r="A337" t="s">
        <v>165</v>
      </c>
      <c r="B337" t="s">
        <v>2</v>
      </c>
      <c r="C337" t="s">
        <v>305</v>
      </c>
      <c r="D337" t="s">
        <v>306</v>
      </c>
      <c r="E337">
        <v>20017976</v>
      </c>
      <c r="F337" t="s">
        <v>370</v>
      </c>
      <c r="G337">
        <v>590627</v>
      </c>
      <c r="H337" s="184">
        <v>43880</v>
      </c>
      <c r="I337" s="184">
        <v>43889</v>
      </c>
      <c r="J337" t="s">
        <v>274</v>
      </c>
      <c r="K337">
        <v>60000</v>
      </c>
      <c r="L337" t="s">
        <v>234</v>
      </c>
    </row>
    <row r="338" spans="1:12" x14ac:dyDescent="0.4">
      <c r="A338" t="s">
        <v>165</v>
      </c>
      <c r="B338" t="s">
        <v>2</v>
      </c>
      <c r="C338" t="s">
        <v>305</v>
      </c>
      <c r="D338" t="s">
        <v>306</v>
      </c>
      <c r="E338">
        <v>20017980</v>
      </c>
      <c r="F338" t="s">
        <v>371</v>
      </c>
      <c r="G338">
        <v>588840</v>
      </c>
      <c r="H338" s="184">
        <v>43797</v>
      </c>
      <c r="I338" s="184">
        <v>43798</v>
      </c>
      <c r="J338" t="s">
        <v>270</v>
      </c>
      <c r="K338">
        <v>60000</v>
      </c>
      <c r="L338" t="s">
        <v>268</v>
      </c>
    </row>
    <row r="339" spans="1:12" x14ac:dyDescent="0.4">
      <c r="A339" t="s">
        <v>165</v>
      </c>
      <c r="B339" t="s">
        <v>2</v>
      </c>
      <c r="C339" t="s">
        <v>305</v>
      </c>
      <c r="D339" t="s">
        <v>306</v>
      </c>
      <c r="E339">
        <v>20017980</v>
      </c>
      <c r="F339" t="s">
        <v>371</v>
      </c>
      <c r="G339">
        <v>588840</v>
      </c>
      <c r="H339" s="184">
        <v>43797</v>
      </c>
      <c r="I339" s="184">
        <v>43798</v>
      </c>
      <c r="J339" t="s">
        <v>270</v>
      </c>
      <c r="K339">
        <v>60000</v>
      </c>
      <c r="L339" t="s">
        <v>250</v>
      </c>
    </row>
    <row r="340" spans="1:12" x14ac:dyDescent="0.4">
      <c r="A340" t="s">
        <v>165</v>
      </c>
      <c r="B340" t="s">
        <v>2</v>
      </c>
      <c r="C340" t="s">
        <v>305</v>
      </c>
      <c r="D340" t="s">
        <v>306</v>
      </c>
      <c r="E340">
        <v>20017980</v>
      </c>
      <c r="F340" t="s">
        <v>371</v>
      </c>
      <c r="G340">
        <v>588840</v>
      </c>
      <c r="H340" s="184">
        <v>43797</v>
      </c>
      <c r="I340" s="184">
        <v>43798</v>
      </c>
      <c r="J340" t="s">
        <v>270</v>
      </c>
      <c r="K340">
        <v>60000</v>
      </c>
      <c r="L340" t="s">
        <v>211</v>
      </c>
    </row>
    <row r="341" spans="1:12" x14ac:dyDescent="0.4">
      <c r="A341" t="s">
        <v>165</v>
      </c>
      <c r="B341" t="s">
        <v>2</v>
      </c>
      <c r="C341" t="s">
        <v>305</v>
      </c>
      <c r="D341" t="s">
        <v>306</v>
      </c>
      <c r="E341">
        <v>20017980</v>
      </c>
      <c r="F341" t="s">
        <v>371</v>
      </c>
      <c r="G341">
        <v>588840</v>
      </c>
      <c r="H341" s="184">
        <v>43797</v>
      </c>
      <c r="I341" s="184">
        <v>43798</v>
      </c>
      <c r="J341" t="s">
        <v>270</v>
      </c>
      <c r="K341">
        <v>60000</v>
      </c>
      <c r="L341" t="s">
        <v>212</v>
      </c>
    </row>
    <row r="342" spans="1:12" x14ac:dyDescent="0.4">
      <c r="A342" t="s">
        <v>165</v>
      </c>
      <c r="B342" t="s">
        <v>2</v>
      </c>
      <c r="C342" t="s">
        <v>305</v>
      </c>
      <c r="D342" t="s">
        <v>306</v>
      </c>
      <c r="E342">
        <v>20017980</v>
      </c>
      <c r="F342" t="s">
        <v>371</v>
      </c>
      <c r="G342">
        <v>588840</v>
      </c>
      <c r="H342" s="184">
        <v>43797</v>
      </c>
      <c r="I342" s="184">
        <v>43798</v>
      </c>
      <c r="J342" t="s">
        <v>270</v>
      </c>
      <c r="K342">
        <v>60000</v>
      </c>
      <c r="L342" t="s">
        <v>213</v>
      </c>
    </row>
    <row r="343" spans="1:12" x14ac:dyDescent="0.4">
      <c r="A343" t="s">
        <v>165</v>
      </c>
      <c r="B343" t="s">
        <v>2</v>
      </c>
      <c r="C343" t="s">
        <v>305</v>
      </c>
      <c r="D343" t="s">
        <v>306</v>
      </c>
      <c r="E343">
        <v>20017980</v>
      </c>
      <c r="F343" t="s">
        <v>371</v>
      </c>
      <c r="G343">
        <v>588840</v>
      </c>
      <c r="H343" s="184">
        <v>43797</v>
      </c>
      <c r="I343" s="184">
        <v>43798</v>
      </c>
      <c r="J343" t="s">
        <v>270</v>
      </c>
      <c r="K343">
        <v>60000</v>
      </c>
      <c r="L343" t="s">
        <v>214</v>
      </c>
    </row>
    <row r="344" spans="1:12" x14ac:dyDescent="0.4">
      <c r="A344" t="s">
        <v>165</v>
      </c>
      <c r="B344" t="s">
        <v>2</v>
      </c>
      <c r="C344" t="s">
        <v>305</v>
      </c>
      <c r="D344" t="s">
        <v>306</v>
      </c>
      <c r="E344">
        <v>20017988</v>
      </c>
      <c r="F344" t="s">
        <v>372</v>
      </c>
      <c r="G344">
        <v>590764</v>
      </c>
      <c r="H344" s="184">
        <v>43892</v>
      </c>
      <c r="I344" s="184">
        <v>43894</v>
      </c>
      <c r="J344" t="s">
        <v>373</v>
      </c>
      <c r="K344">
        <v>60000</v>
      </c>
      <c r="L344" t="s">
        <v>281</v>
      </c>
    </row>
    <row r="345" spans="1:12" x14ac:dyDescent="0.4">
      <c r="A345" t="s">
        <v>165</v>
      </c>
      <c r="B345" t="s">
        <v>2</v>
      </c>
      <c r="C345" t="s">
        <v>305</v>
      </c>
      <c r="D345" t="s">
        <v>306</v>
      </c>
      <c r="E345">
        <v>20017988</v>
      </c>
      <c r="F345" t="s">
        <v>372</v>
      </c>
      <c r="G345">
        <v>590764</v>
      </c>
      <c r="H345" s="184">
        <v>43892</v>
      </c>
      <c r="I345" s="184">
        <v>43894</v>
      </c>
      <c r="J345" t="s">
        <v>373</v>
      </c>
      <c r="K345">
        <v>60000</v>
      </c>
      <c r="L345" t="s">
        <v>230</v>
      </c>
    </row>
    <row r="346" spans="1:12" x14ac:dyDescent="0.4">
      <c r="A346" t="s">
        <v>165</v>
      </c>
      <c r="B346" t="s">
        <v>2</v>
      </c>
      <c r="C346" t="s">
        <v>305</v>
      </c>
      <c r="D346" t="s">
        <v>306</v>
      </c>
      <c r="E346">
        <v>20017988</v>
      </c>
      <c r="F346" t="s">
        <v>372</v>
      </c>
      <c r="G346">
        <v>590764</v>
      </c>
      <c r="H346" s="184">
        <v>43892</v>
      </c>
      <c r="I346" s="184">
        <v>43894</v>
      </c>
      <c r="J346" t="s">
        <v>373</v>
      </c>
      <c r="K346">
        <v>60000</v>
      </c>
      <c r="L346" t="s">
        <v>243</v>
      </c>
    </row>
    <row r="347" spans="1:12" x14ac:dyDescent="0.4">
      <c r="A347" t="s">
        <v>165</v>
      </c>
      <c r="B347" t="s">
        <v>2</v>
      </c>
      <c r="C347" t="s">
        <v>305</v>
      </c>
      <c r="D347" t="s">
        <v>306</v>
      </c>
      <c r="E347">
        <v>20017988</v>
      </c>
      <c r="F347" t="s">
        <v>372</v>
      </c>
      <c r="G347">
        <v>590764</v>
      </c>
      <c r="H347" s="184">
        <v>43892</v>
      </c>
      <c r="I347" s="184">
        <v>43894</v>
      </c>
      <c r="J347" t="s">
        <v>373</v>
      </c>
      <c r="K347">
        <v>60000</v>
      </c>
      <c r="L347" t="s">
        <v>244</v>
      </c>
    </row>
    <row r="348" spans="1:12" x14ac:dyDescent="0.4">
      <c r="A348" t="s">
        <v>165</v>
      </c>
      <c r="B348" t="s">
        <v>2</v>
      </c>
      <c r="C348" t="s">
        <v>305</v>
      </c>
      <c r="D348" t="s">
        <v>306</v>
      </c>
      <c r="E348">
        <v>20017988</v>
      </c>
      <c r="F348" t="s">
        <v>372</v>
      </c>
      <c r="G348">
        <v>590764</v>
      </c>
      <c r="H348" s="184">
        <v>43892</v>
      </c>
      <c r="I348" s="184">
        <v>43894</v>
      </c>
      <c r="J348" t="s">
        <v>373</v>
      </c>
      <c r="K348">
        <v>60000</v>
      </c>
      <c r="L348" t="s">
        <v>245</v>
      </c>
    </row>
    <row r="349" spans="1:12" x14ac:dyDescent="0.4">
      <c r="A349" t="s">
        <v>165</v>
      </c>
      <c r="B349" t="s">
        <v>2</v>
      </c>
      <c r="C349" t="s">
        <v>305</v>
      </c>
      <c r="D349" t="s">
        <v>306</v>
      </c>
      <c r="E349">
        <v>20017988</v>
      </c>
      <c r="F349" t="s">
        <v>372</v>
      </c>
      <c r="G349">
        <v>590764</v>
      </c>
      <c r="H349" s="184">
        <v>43892</v>
      </c>
      <c r="I349" s="184">
        <v>43894</v>
      </c>
      <c r="J349" t="s">
        <v>373</v>
      </c>
      <c r="K349">
        <v>60000</v>
      </c>
      <c r="L349" t="s">
        <v>246</v>
      </c>
    </row>
    <row r="350" spans="1:12" x14ac:dyDescent="0.4">
      <c r="A350" t="s">
        <v>165</v>
      </c>
      <c r="B350" t="s">
        <v>2</v>
      </c>
      <c r="C350" t="s">
        <v>305</v>
      </c>
      <c r="D350" t="s">
        <v>306</v>
      </c>
      <c r="E350">
        <v>20018105</v>
      </c>
      <c r="F350" t="s">
        <v>374</v>
      </c>
      <c r="G350">
        <v>592474</v>
      </c>
      <c r="H350" s="184">
        <v>43973</v>
      </c>
      <c r="I350" s="184">
        <v>43980</v>
      </c>
      <c r="J350" t="s">
        <v>375</v>
      </c>
      <c r="K350">
        <v>60000</v>
      </c>
      <c r="L350" t="s">
        <v>376</v>
      </c>
    </row>
    <row r="351" spans="1:12" x14ac:dyDescent="0.4">
      <c r="A351" t="s">
        <v>165</v>
      </c>
      <c r="B351" t="s">
        <v>2</v>
      </c>
      <c r="C351" t="s">
        <v>305</v>
      </c>
      <c r="D351" t="s">
        <v>306</v>
      </c>
      <c r="E351">
        <v>20018105</v>
      </c>
      <c r="F351" t="s">
        <v>374</v>
      </c>
      <c r="G351">
        <v>592474</v>
      </c>
      <c r="H351" s="184">
        <v>43973</v>
      </c>
      <c r="I351" s="184">
        <v>43980</v>
      </c>
      <c r="J351" t="s">
        <v>375</v>
      </c>
      <c r="K351">
        <v>60000</v>
      </c>
      <c r="L351" t="s">
        <v>311</v>
      </c>
    </row>
    <row r="352" spans="1:12" x14ac:dyDescent="0.4">
      <c r="A352" t="s">
        <v>165</v>
      </c>
      <c r="B352" t="s">
        <v>2</v>
      </c>
      <c r="C352" t="s">
        <v>305</v>
      </c>
      <c r="D352" t="s">
        <v>306</v>
      </c>
      <c r="E352">
        <v>20018105</v>
      </c>
      <c r="F352" t="s">
        <v>374</v>
      </c>
      <c r="G352">
        <v>592474</v>
      </c>
      <c r="H352" s="184">
        <v>43973</v>
      </c>
      <c r="I352" s="184">
        <v>43980</v>
      </c>
      <c r="J352" t="s">
        <v>375</v>
      </c>
      <c r="K352">
        <v>60000</v>
      </c>
      <c r="L352" t="s">
        <v>259</v>
      </c>
    </row>
    <row r="353" spans="1:12" x14ac:dyDescent="0.4">
      <c r="A353" t="s">
        <v>165</v>
      </c>
      <c r="B353" t="s">
        <v>2</v>
      </c>
      <c r="C353" t="s">
        <v>305</v>
      </c>
      <c r="D353" t="s">
        <v>306</v>
      </c>
      <c r="E353">
        <v>20018105</v>
      </c>
      <c r="F353" t="s">
        <v>374</v>
      </c>
      <c r="G353">
        <v>592474</v>
      </c>
      <c r="H353" s="184">
        <v>43973</v>
      </c>
      <c r="I353" s="184">
        <v>43980</v>
      </c>
      <c r="J353" t="s">
        <v>375</v>
      </c>
      <c r="K353">
        <v>60000</v>
      </c>
      <c r="L353" t="s">
        <v>260</v>
      </c>
    </row>
    <row r="354" spans="1:12" x14ac:dyDescent="0.4">
      <c r="A354" t="s">
        <v>165</v>
      </c>
      <c r="B354" t="s">
        <v>2</v>
      </c>
      <c r="C354" t="s">
        <v>305</v>
      </c>
      <c r="D354" t="s">
        <v>306</v>
      </c>
      <c r="E354">
        <v>20018105</v>
      </c>
      <c r="F354" t="s">
        <v>374</v>
      </c>
      <c r="G354">
        <v>592474</v>
      </c>
      <c r="H354" s="184">
        <v>43973</v>
      </c>
      <c r="I354" s="184">
        <v>43980</v>
      </c>
      <c r="J354" t="s">
        <v>375</v>
      </c>
      <c r="K354">
        <v>60000</v>
      </c>
      <c r="L354" t="s">
        <v>261</v>
      </c>
    </row>
    <row r="355" spans="1:12" x14ac:dyDescent="0.4">
      <c r="A355" t="s">
        <v>165</v>
      </c>
      <c r="B355" t="s">
        <v>2</v>
      </c>
      <c r="C355" t="s">
        <v>305</v>
      </c>
      <c r="D355" t="s">
        <v>306</v>
      </c>
      <c r="E355">
        <v>20018105</v>
      </c>
      <c r="F355" t="s">
        <v>374</v>
      </c>
      <c r="G355">
        <v>592474</v>
      </c>
      <c r="H355" s="184">
        <v>43973</v>
      </c>
      <c r="I355" s="184">
        <v>43980</v>
      </c>
      <c r="J355" t="s">
        <v>375</v>
      </c>
      <c r="K355">
        <v>60000</v>
      </c>
      <c r="L355" t="s">
        <v>262</v>
      </c>
    </row>
    <row r="356" spans="1:12" x14ac:dyDescent="0.4">
      <c r="A356" t="s">
        <v>165</v>
      </c>
      <c r="B356" t="s">
        <v>2</v>
      </c>
      <c r="C356" t="s">
        <v>305</v>
      </c>
      <c r="D356" t="s">
        <v>306</v>
      </c>
      <c r="E356">
        <v>20018109</v>
      </c>
      <c r="F356" t="s">
        <v>377</v>
      </c>
      <c r="G356">
        <v>590618</v>
      </c>
      <c r="H356" s="184">
        <v>43880</v>
      </c>
      <c r="I356" s="184">
        <v>43889</v>
      </c>
      <c r="J356" t="s">
        <v>277</v>
      </c>
      <c r="K356">
        <v>60000</v>
      </c>
      <c r="L356" t="s">
        <v>275</v>
      </c>
    </row>
    <row r="357" spans="1:12" x14ac:dyDescent="0.4">
      <c r="A357" t="s">
        <v>165</v>
      </c>
      <c r="B357" t="s">
        <v>2</v>
      </c>
      <c r="C357" t="s">
        <v>305</v>
      </c>
      <c r="D357" t="s">
        <v>306</v>
      </c>
      <c r="E357">
        <v>20018109</v>
      </c>
      <c r="F357" t="s">
        <v>377</v>
      </c>
      <c r="G357">
        <v>590618</v>
      </c>
      <c r="H357" s="184">
        <v>43880</v>
      </c>
      <c r="I357" s="184">
        <v>43889</v>
      </c>
      <c r="J357" t="s">
        <v>277</v>
      </c>
      <c r="K357">
        <v>60000</v>
      </c>
      <c r="L357" t="s">
        <v>238</v>
      </c>
    </row>
    <row r="358" spans="1:12" x14ac:dyDescent="0.4">
      <c r="A358" t="s">
        <v>165</v>
      </c>
      <c r="B358" t="s">
        <v>2</v>
      </c>
      <c r="C358" t="s">
        <v>305</v>
      </c>
      <c r="D358" t="s">
        <v>306</v>
      </c>
      <c r="E358">
        <v>20018109</v>
      </c>
      <c r="F358" t="s">
        <v>377</v>
      </c>
      <c r="G358">
        <v>590618</v>
      </c>
      <c r="H358" s="184">
        <v>43880</v>
      </c>
      <c r="I358" s="184">
        <v>43889</v>
      </c>
      <c r="J358" t="s">
        <v>277</v>
      </c>
      <c r="K358">
        <v>60000</v>
      </c>
      <c r="L358" t="s">
        <v>231</v>
      </c>
    </row>
    <row r="359" spans="1:12" x14ac:dyDescent="0.4">
      <c r="A359" t="s">
        <v>165</v>
      </c>
      <c r="B359" t="s">
        <v>2</v>
      </c>
      <c r="C359" t="s">
        <v>305</v>
      </c>
      <c r="D359" t="s">
        <v>306</v>
      </c>
      <c r="E359">
        <v>20018109</v>
      </c>
      <c r="F359" t="s">
        <v>377</v>
      </c>
      <c r="G359">
        <v>590618</v>
      </c>
      <c r="H359" s="184">
        <v>43880</v>
      </c>
      <c r="I359" s="184">
        <v>43889</v>
      </c>
      <c r="J359" t="s">
        <v>277</v>
      </c>
      <c r="K359">
        <v>60000</v>
      </c>
      <c r="L359" t="s">
        <v>232</v>
      </c>
    </row>
    <row r="360" spans="1:12" x14ac:dyDescent="0.4">
      <c r="A360" t="s">
        <v>165</v>
      </c>
      <c r="B360" t="s">
        <v>2</v>
      </c>
      <c r="C360" t="s">
        <v>305</v>
      </c>
      <c r="D360" t="s">
        <v>306</v>
      </c>
      <c r="E360">
        <v>20018109</v>
      </c>
      <c r="F360" t="s">
        <v>377</v>
      </c>
      <c r="G360">
        <v>590618</v>
      </c>
      <c r="H360" s="184">
        <v>43880</v>
      </c>
      <c r="I360" s="184">
        <v>43889</v>
      </c>
      <c r="J360" t="s">
        <v>277</v>
      </c>
      <c r="K360">
        <v>60000</v>
      </c>
      <c r="L360" t="s">
        <v>233</v>
      </c>
    </row>
    <row r="361" spans="1:12" x14ac:dyDescent="0.4">
      <c r="A361" t="s">
        <v>165</v>
      </c>
      <c r="B361" t="s">
        <v>2</v>
      </c>
      <c r="C361" t="s">
        <v>305</v>
      </c>
      <c r="D361" t="s">
        <v>306</v>
      </c>
      <c r="E361">
        <v>20018109</v>
      </c>
      <c r="F361" t="s">
        <v>377</v>
      </c>
      <c r="G361">
        <v>590618</v>
      </c>
      <c r="H361" s="184">
        <v>43880</v>
      </c>
      <c r="I361" s="184">
        <v>43889</v>
      </c>
      <c r="J361" t="s">
        <v>277</v>
      </c>
      <c r="K361">
        <v>60000</v>
      </c>
      <c r="L361" t="s">
        <v>234</v>
      </c>
    </row>
    <row r="362" spans="1:12" x14ac:dyDescent="0.4">
      <c r="A362" t="s">
        <v>165</v>
      </c>
      <c r="B362" t="s">
        <v>2</v>
      </c>
      <c r="C362" t="s">
        <v>305</v>
      </c>
      <c r="D362" t="s">
        <v>306</v>
      </c>
      <c r="E362">
        <v>20018136</v>
      </c>
      <c r="F362" t="s">
        <v>378</v>
      </c>
      <c r="G362">
        <v>590840</v>
      </c>
      <c r="H362" s="184">
        <v>43934</v>
      </c>
      <c r="I362" s="184">
        <v>43937</v>
      </c>
      <c r="J362" t="s">
        <v>379</v>
      </c>
      <c r="K362">
        <v>60000</v>
      </c>
      <c r="L362" t="s">
        <v>363</v>
      </c>
    </row>
    <row r="363" spans="1:12" x14ac:dyDescent="0.4">
      <c r="A363" t="s">
        <v>165</v>
      </c>
      <c r="B363" t="s">
        <v>2</v>
      </c>
      <c r="C363" t="s">
        <v>305</v>
      </c>
      <c r="D363" t="s">
        <v>306</v>
      </c>
      <c r="E363">
        <v>20018136</v>
      </c>
      <c r="F363" t="s">
        <v>378</v>
      </c>
      <c r="G363">
        <v>590840</v>
      </c>
      <c r="H363" s="184">
        <v>43934</v>
      </c>
      <c r="I363" s="184">
        <v>43937</v>
      </c>
      <c r="J363" t="s">
        <v>379</v>
      </c>
      <c r="K363">
        <v>60000</v>
      </c>
      <c r="L363" t="s">
        <v>242</v>
      </c>
    </row>
    <row r="364" spans="1:12" x14ac:dyDescent="0.4">
      <c r="A364" t="s">
        <v>165</v>
      </c>
      <c r="B364" t="s">
        <v>2</v>
      </c>
      <c r="C364" t="s">
        <v>305</v>
      </c>
      <c r="D364" t="s">
        <v>306</v>
      </c>
      <c r="E364">
        <v>20018136</v>
      </c>
      <c r="F364" t="s">
        <v>378</v>
      </c>
      <c r="G364">
        <v>590840</v>
      </c>
      <c r="H364" s="184">
        <v>43934</v>
      </c>
      <c r="I364" s="184">
        <v>43937</v>
      </c>
      <c r="J364" t="s">
        <v>379</v>
      </c>
      <c r="K364">
        <v>60000</v>
      </c>
      <c r="L364" t="s">
        <v>312</v>
      </c>
    </row>
    <row r="365" spans="1:12" x14ac:dyDescent="0.4">
      <c r="A365" t="s">
        <v>165</v>
      </c>
      <c r="B365" t="s">
        <v>2</v>
      </c>
      <c r="C365" t="s">
        <v>305</v>
      </c>
      <c r="D365" t="s">
        <v>306</v>
      </c>
      <c r="E365">
        <v>20018136</v>
      </c>
      <c r="F365" t="s">
        <v>378</v>
      </c>
      <c r="G365">
        <v>590840</v>
      </c>
      <c r="H365" s="184">
        <v>43934</v>
      </c>
      <c r="I365" s="184">
        <v>43937</v>
      </c>
      <c r="J365" t="s">
        <v>379</v>
      </c>
      <c r="K365">
        <v>60000</v>
      </c>
      <c r="L365" t="s">
        <v>313</v>
      </c>
    </row>
    <row r="366" spans="1:12" x14ac:dyDescent="0.4">
      <c r="A366" t="s">
        <v>165</v>
      </c>
      <c r="B366" t="s">
        <v>2</v>
      </c>
      <c r="C366" t="s">
        <v>305</v>
      </c>
      <c r="D366" t="s">
        <v>306</v>
      </c>
      <c r="E366">
        <v>20018136</v>
      </c>
      <c r="F366" t="s">
        <v>378</v>
      </c>
      <c r="G366">
        <v>590840</v>
      </c>
      <c r="H366" s="184">
        <v>43934</v>
      </c>
      <c r="I366" s="184">
        <v>43937</v>
      </c>
      <c r="J366" t="s">
        <v>379</v>
      </c>
      <c r="K366">
        <v>60000</v>
      </c>
      <c r="L366" t="s">
        <v>314</v>
      </c>
    </row>
    <row r="367" spans="1:12" x14ac:dyDescent="0.4">
      <c r="A367" t="s">
        <v>165</v>
      </c>
      <c r="B367" t="s">
        <v>2</v>
      </c>
      <c r="C367" t="s">
        <v>305</v>
      </c>
      <c r="D367" t="s">
        <v>306</v>
      </c>
      <c r="E367">
        <v>20018136</v>
      </c>
      <c r="F367" t="s">
        <v>378</v>
      </c>
      <c r="G367">
        <v>590840</v>
      </c>
      <c r="H367" s="184">
        <v>43934</v>
      </c>
      <c r="I367" s="184">
        <v>43937</v>
      </c>
      <c r="J367" t="s">
        <v>379</v>
      </c>
      <c r="K367">
        <v>60000</v>
      </c>
      <c r="L367" t="s">
        <v>315</v>
      </c>
    </row>
    <row r="368" spans="1:12" x14ac:dyDescent="0.4">
      <c r="A368" t="s">
        <v>165</v>
      </c>
      <c r="B368" t="s">
        <v>2</v>
      </c>
      <c r="C368" t="s">
        <v>305</v>
      </c>
      <c r="D368" t="s">
        <v>306</v>
      </c>
      <c r="E368">
        <v>20018147</v>
      </c>
      <c r="F368" t="s">
        <v>380</v>
      </c>
      <c r="G368">
        <v>590971</v>
      </c>
      <c r="H368" s="184">
        <v>43902</v>
      </c>
      <c r="I368" s="184">
        <v>43949</v>
      </c>
      <c r="J368" t="s">
        <v>362</v>
      </c>
      <c r="K368">
        <v>60000</v>
      </c>
      <c r="L368" t="s">
        <v>363</v>
      </c>
    </row>
    <row r="369" spans="1:12" x14ac:dyDescent="0.4">
      <c r="A369" t="s">
        <v>165</v>
      </c>
      <c r="B369" t="s">
        <v>2</v>
      </c>
      <c r="C369" t="s">
        <v>305</v>
      </c>
      <c r="D369" t="s">
        <v>306</v>
      </c>
      <c r="E369">
        <v>20018147</v>
      </c>
      <c r="F369" t="s">
        <v>380</v>
      </c>
      <c r="G369">
        <v>590971</v>
      </c>
      <c r="H369" s="184">
        <v>43902</v>
      </c>
      <c r="I369" s="184">
        <v>43949</v>
      </c>
      <c r="J369" t="s">
        <v>362</v>
      </c>
      <c r="K369">
        <v>60000</v>
      </c>
      <c r="L369" t="s">
        <v>242</v>
      </c>
    </row>
    <row r="370" spans="1:12" x14ac:dyDescent="0.4">
      <c r="A370" t="s">
        <v>165</v>
      </c>
      <c r="B370" t="s">
        <v>2</v>
      </c>
      <c r="C370" t="s">
        <v>305</v>
      </c>
      <c r="D370" t="s">
        <v>306</v>
      </c>
      <c r="E370">
        <v>20018147</v>
      </c>
      <c r="F370" t="s">
        <v>380</v>
      </c>
      <c r="G370">
        <v>590971</v>
      </c>
      <c r="H370" s="184">
        <v>43902</v>
      </c>
      <c r="I370" s="184">
        <v>43949</v>
      </c>
      <c r="J370" t="s">
        <v>362</v>
      </c>
      <c r="K370">
        <v>60000</v>
      </c>
      <c r="L370" t="s">
        <v>312</v>
      </c>
    </row>
    <row r="371" spans="1:12" x14ac:dyDescent="0.4">
      <c r="A371" t="s">
        <v>165</v>
      </c>
      <c r="B371" t="s">
        <v>2</v>
      </c>
      <c r="C371" t="s">
        <v>305</v>
      </c>
      <c r="D371" t="s">
        <v>306</v>
      </c>
      <c r="E371">
        <v>20018147</v>
      </c>
      <c r="F371" t="s">
        <v>380</v>
      </c>
      <c r="G371">
        <v>590971</v>
      </c>
      <c r="H371" s="184">
        <v>43902</v>
      </c>
      <c r="I371" s="184">
        <v>43949</v>
      </c>
      <c r="J371" t="s">
        <v>362</v>
      </c>
      <c r="K371">
        <v>60000</v>
      </c>
      <c r="L371" t="s">
        <v>313</v>
      </c>
    </row>
    <row r="372" spans="1:12" x14ac:dyDescent="0.4">
      <c r="A372" t="s">
        <v>165</v>
      </c>
      <c r="B372" t="s">
        <v>2</v>
      </c>
      <c r="C372" t="s">
        <v>305</v>
      </c>
      <c r="D372" t="s">
        <v>306</v>
      </c>
      <c r="E372">
        <v>20018147</v>
      </c>
      <c r="F372" t="s">
        <v>380</v>
      </c>
      <c r="G372">
        <v>590971</v>
      </c>
      <c r="H372" s="184">
        <v>43902</v>
      </c>
      <c r="I372" s="184">
        <v>43949</v>
      </c>
      <c r="J372" t="s">
        <v>362</v>
      </c>
      <c r="K372">
        <v>60000</v>
      </c>
      <c r="L372" t="s">
        <v>314</v>
      </c>
    </row>
    <row r="373" spans="1:12" x14ac:dyDescent="0.4">
      <c r="A373" t="s">
        <v>165</v>
      </c>
      <c r="B373" t="s">
        <v>2</v>
      </c>
      <c r="C373" t="s">
        <v>305</v>
      </c>
      <c r="D373" t="s">
        <v>306</v>
      </c>
      <c r="E373">
        <v>20018147</v>
      </c>
      <c r="F373" t="s">
        <v>380</v>
      </c>
      <c r="G373">
        <v>590971</v>
      </c>
      <c r="H373" s="184">
        <v>43902</v>
      </c>
      <c r="I373" s="184">
        <v>43949</v>
      </c>
      <c r="J373" t="s">
        <v>362</v>
      </c>
      <c r="K373">
        <v>60000</v>
      </c>
      <c r="L373" t="s">
        <v>315</v>
      </c>
    </row>
    <row r="374" spans="1:12" x14ac:dyDescent="0.4">
      <c r="A374" t="s">
        <v>165</v>
      </c>
      <c r="B374" t="s">
        <v>2</v>
      </c>
      <c r="C374" t="s">
        <v>305</v>
      </c>
      <c r="D374" t="s">
        <v>306</v>
      </c>
      <c r="E374">
        <v>20018212</v>
      </c>
      <c r="F374" t="s">
        <v>381</v>
      </c>
      <c r="G374">
        <v>593363</v>
      </c>
      <c r="H374" s="184">
        <v>43998</v>
      </c>
      <c r="I374" s="184">
        <v>44013</v>
      </c>
      <c r="J374" t="s">
        <v>382</v>
      </c>
      <c r="K374">
        <v>60000</v>
      </c>
      <c r="L374" t="s">
        <v>220</v>
      </c>
    </row>
    <row r="375" spans="1:12" x14ac:dyDescent="0.4">
      <c r="A375" t="s">
        <v>165</v>
      </c>
      <c r="B375" t="s">
        <v>2</v>
      </c>
      <c r="C375" t="s">
        <v>305</v>
      </c>
      <c r="D375" t="s">
        <v>306</v>
      </c>
      <c r="E375">
        <v>20018212</v>
      </c>
      <c r="F375" t="s">
        <v>381</v>
      </c>
      <c r="G375">
        <v>593363</v>
      </c>
      <c r="H375" s="184">
        <v>43998</v>
      </c>
      <c r="I375" s="184">
        <v>44013</v>
      </c>
      <c r="J375" t="s">
        <v>382</v>
      </c>
      <c r="K375">
        <v>60000</v>
      </c>
      <c r="L375" t="s">
        <v>221</v>
      </c>
    </row>
    <row r="376" spans="1:12" x14ac:dyDescent="0.4">
      <c r="A376" t="s">
        <v>165</v>
      </c>
      <c r="B376" t="s">
        <v>2</v>
      </c>
      <c r="C376" t="s">
        <v>305</v>
      </c>
      <c r="D376" t="s">
        <v>306</v>
      </c>
      <c r="E376">
        <v>20018212</v>
      </c>
      <c r="F376" t="s">
        <v>381</v>
      </c>
      <c r="G376">
        <v>593363</v>
      </c>
      <c r="H376" s="184">
        <v>43998</v>
      </c>
      <c r="I376" s="184">
        <v>44013</v>
      </c>
      <c r="J376" t="s">
        <v>382</v>
      </c>
      <c r="K376">
        <v>60000</v>
      </c>
      <c r="L376" t="s">
        <v>222</v>
      </c>
    </row>
    <row r="377" spans="1:12" x14ac:dyDescent="0.4">
      <c r="A377" t="s">
        <v>165</v>
      </c>
      <c r="B377" t="s">
        <v>2</v>
      </c>
      <c r="C377" t="s">
        <v>305</v>
      </c>
      <c r="D377" t="s">
        <v>306</v>
      </c>
      <c r="E377">
        <v>20018212</v>
      </c>
      <c r="F377" t="s">
        <v>381</v>
      </c>
      <c r="G377">
        <v>593363</v>
      </c>
      <c r="H377" s="184">
        <v>43998</v>
      </c>
      <c r="I377" s="184">
        <v>44013</v>
      </c>
      <c r="J377" t="s">
        <v>382</v>
      </c>
      <c r="K377">
        <v>60000</v>
      </c>
      <c r="L377" t="s">
        <v>223</v>
      </c>
    </row>
    <row r="378" spans="1:12" x14ac:dyDescent="0.4">
      <c r="A378" t="s">
        <v>165</v>
      </c>
      <c r="B378" t="s">
        <v>2</v>
      </c>
      <c r="C378" t="s">
        <v>305</v>
      </c>
      <c r="D378" t="s">
        <v>306</v>
      </c>
      <c r="E378">
        <v>20018212</v>
      </c>
      <c r="F378" t="s">
        <v>381</v>
      </c>
      <c r="G378">
        <v>593363</v>
      </c>
      <c r="H378" s="184">
        <v>43998</v>
      </c>
      <c r="I378" s="184">
        <v>44013</v>
      </c>
      <c r="J378" t="s">
        <v>382</v>
      </c>
      <c r="K378">
        <v>60000</v>
      </c>
      <c r="L378" t="s">
        <v>224</v>
      </c>
    </row>
    <row r="379" spans="1:12" x14ac:dyDescent="0.4">
      <c r="A379" t="s">
        <v>165</v>
      </c>
      <c r="B379" t="s">
        <v>2</v>
      </c>
      <c r="C379" t="s">
        <v>305</v>
      </c>
      <c r="D379" t="s">
        <v>306</v>
      </c>
      <c r="E379">
        <v>20018212</v>
      </c>
      <c r="F379" t="s">
        <v>381</v>
      </c>
      <c r="G379">
        <v>593363</v>
      </c>
      <c r="H379" s="184">
        <v>43998</v>
      </c>
      <c r="I379" s="184">
        <v>44013</v>
      </c>
      <c r="J379" t="s">
        <v>382</v>
      </c>
      <c r="K379">
        <v>60000</v>
      </c>
      <c r="L379" t="s">
        <v>225</v>
      </c>
    </row>
    <row r="380" spans="1:12" x14ac:dyDescent="0.4">
      <c r="A380" t="s">
        <v>165</v>
      </c>
      <c r="B380" t="s">
        <v>2</v>
      </c>
      <c r="C380" t="s">
        <v>305</v>
      </c>
      <c r="D380" t="s">
        <v>306</v>
      </c>
      <c r="E380">
        <v>20018227</v>
      </c>
      <c r="F380" t="s">
        <v>383</v>
      </c>
      <c r="G380">
        <v>592213</v>
      </c>
      <c r="H380" s="184">
        <v>43923</v>
      </c>
      <c r="I380" s="184">
        <v>43958</v>
      </c>
      <c r="J380" t="s">
        <v>384</v>
      </c>
      <c r="K380">
        <v>60000</v>
      </c>
      <c r="L380" t="s">
        <v>376</v>
      </c>
    </row>
    <row r="381" spans="1:12" x14ac:dyDescent="0.4">
      <c r="A381" t="s">
        <v>165</v>
      </c>
      <c r="B381" t="s">
        <v>2</v>
      </c>
      <c r="C381" t="s">
        <v>305</v>
      </c>
      <c r="D381" t="s">
        <v>306</v>
      </c>
      <c r="E381">
        <v>20018227</v>
      </c>
      <c r="F381" t="s">
        <v>383</v>
      </c>
      <c r="G381">
        <v>592213</v>
      </c>
      <c r="H381" s="184">
        <v>43923</v>
      </c>
      <c r="I381" s="184">
        <v>43958</v>
      </c>
      <c r="J381" t="s">
        <v>384</v>
      </c>
      <c r="K381">
        <v>60000</v>
      </c>
      <c r="L381" t="s">
        <v>311</v>
      </c>
    </row>
    <row r="382" spans="1:12" x14ac:dyDescent="0.4">
      <c r="A382" t="s">
        <v>165</v>
      </c>
      <c r="B382" t="s">
        <v>2</v>
      </c>
      <c r="C382" t="s">
        <v>305</v>
      </c>
      <c r="D382" t="s">
        <v>306</v>
      </c>
      <c r="E382">
        <v>20018227</v>
      </c>
      <c r="F382" t="s">
        <v>383</v>
      </c>
      <c r="G382">
        <v>592213</v>
      </c>
      <c r="H382" s="184">
        <v>43923</v>
      </c>
      <c r="I382" s="184">
        <v>43958</v>
      </c>
      <c r="J382" t="s">
        <v>384</v>
      </c>
      <c r="K382">
        <v>60000</v>
      </c>
      <c r="L382" t="s">
        <v>259</v>
      </c>
    </row>
    <row r="383" spans="1:12" x14ac:dyDescent="0.4">
      <c r="A383" t="s">
        <v>165</v>
      </c>
      <c r="B383" t="s">
        <v>2</v>
      </c>
      <c r="C383" t="s">
        <v>305</v>
      </c>
      <c r="D383" t="s">
        <v>306</v>
      </c>
      <c r="E383">
        <v>20018227</v>
      </c>
      <c r="F383" t="s">
        <v>383</v>
      </c>
      <c r="G383">
        <v>592213</v>
      </c>
      <c r="H383" s="184">
        <v>43923</v>
      </c>
      <c r="I383" s="184">
        <v>43958</v>
      </c>
      <c r="J383" t="s">
        <v>384</v>
      </c>
      <c r="K383">
        <v>60000</v>
      </c>
      <c r="L383" t="s">
        <v>260</v>
      </c>
    </row>
    <row r="384" spans="1:12" x14ac:dyDescent="0.4">
      <c r="A384" t="s">
        <v>165</v>
      </c>
      <c r="B384" t="s">
        <v>2</v>
      </c>
      <c r="C384" t="s">
        <v>305</v>
      </c>
      <c r="D384" t="s">
        <v>306</v>
      </c>
      <c r="E384">
        <v>20018227</v>
      </c>
      <c r="F384" t="s">
        <v>383</v>
      </c>
      <c r="G384">
        <v>592213</v>
      </c>
      <c r="H384" s="184">
        <v>43923</v>
      </c>
      <c r="I384" s="184">
        <v>43958</v>
      </c>
      <c r="J384" t="s">
        <v>384</v>
      </c>
      <c r="K384">
        <v>60000</v>
      </c>
      <c r="L384" t="s">
        <v>261</v>
      </c>
    </row>
    <row r="385" spans="1:12" x14ac:dyDescent="0.4">
      <c r="A385" t="s">
        <v>165</v>
      </c>
      <c r="B385" t="s">
        <v>2</v>
      </c>
      <c r="C385" t="s">
        <v>305</v>
      </c>
      <c r="D385" t="s">
        <v>306</v>
      </c>
      <c r="E385">
        <v>20018227</v>
      </c>
      <c r="F385" t="s">
        <v>383</v>
      </c>
      <c r="G385">
        <v>592213</v>
      </c>
      <c r="H385" s="184">
        <v>43923</v>
      </c>
      <c r="I385" s="184">
        <v>43958</v>
      </c>
      <c r="J385" t="s">
        <v>384</v>
      </c>
      <c r="K385">
        <v>60000</v>
      </c>
      <c r="L385" t="s">
        <v>262</v>
      </c>
    </row>
    <row r="386" spans="1:12" x14ac:dyDescent="0.4">
      <c r="A386" t="s">
        <v>165</v>
      </c>
      <c r="B386" t="s">
        <v>2</v>
      </c>
      <c r="C386" t="s">
        <v>305</v>
      </c>
      <c r="D386" t="s">
        <v>306</v>
      </c>
      <c r="E386">
        <v>20018302</v>
      </c>
      <c r="F386" t="s">
        <v>385</v>
      </c>
      <c r="G386">
        <v>591282</v>
      </c>
      <c r="H386" s="184">
        <v>43906</v>
      </c>
      <c r="I386" s="184">
        <v>43907</v>
      </c>
      <c r="J386" t="s">
        <v>386</v>
      </c>
      <c r="K386">
        <v>60000</v>
      </c>
      <c r="L386" t="s">
        <v>281</v>
      </c>
    </row>
    <row r="387" spans="1:12" x14ac:dyDescent="0.4">
      <c r="A387" t="s">
        <v>165</v>
      </c>
      <c r="B387" t="s">
        <v>2</v>
      </c>
      <c r="C387" t="s">
        <v>305</v>
      </c>
      <c r="D387" t="s">
        <v>306</v>
      </c>
      <c r="E387">
        <v>20018302</v>
      </c>
      <c r="F387" t="s">
        <v>385</v>
      </c>
      <c r="G387">
        <v>591282</v>
      </c>
      <c r="H387" s="184">
        <v>43906</v>
      </c>
      <c r="I387" s="184">
        <v>43907</v>
      </c>
      <c r="J387" t="s">
        <v>386</v>
      </c>
      <c r="K387">
        <v>60000</v>
      </c>
      <c r="L387" t="s">
        <v>230</v>
      </c>
    </row>
    <row r="388" spans="1:12" x14ac:dyDescent="0.4">
      <c r="A388" t="s">
        <v>165</v>
      </c>
      <c r="B388" t="s">
        <v>2</v>
      </c>
      <c r="C388" t="s">
        <v>305</v>
      </c>
      <c r="D388" t="s">
        <v>306</v>
      </c>
      <c r="E388">
        <v>20018302</v>
      </c>
      <c r="F388" t="s">
        <v>385</v>
      </c>
      <c r="G388">
        <v>591282</v>
      </c>
      <c r="H388" s="184">
        <v>43906</v>
      </c>
      <c r="I388" s="184">
        <v>43907</v>
      </c>
      <c r="J388" t="s">
        <v>386</v>
      </c>
      <c r="K388">
        <v>60000</v>
      </c>
      <c r="L388" t="s">
        <v>243</v>
      </c>
    </row>
    <row r="389" spans="1:12" x14ac:dyDescent="0.4">
      <c r="A389" t="s">
        <v>165</v>
      </c>
      <c r="B389" t="s">
        <v>2</v>
      </c>
      <c r="C389" t="s">
        <v>305</v>
      </c>
      <c r="D389" t="s">
        <v>306</v>
      </c>
      <c r="E389">
        <v>20018302</v>
      </c>
      <c r="F389" t="s">
        <v>385</v>
      </c>
      <c r="G389">
        <v>591282</v>
      </c>
      <c r="H389" s="184">
        <v>43906</v>
      </c>
      <c r="I389" s="184">
        <v>43907</v>
      </c>
      <c r="J389" t="s">
        <v>386</v>
      </c>
      <c r="K389">
        <v>60000</v>
      </c>
      <c r="L389" t="s">
        <v>244</v>
      </c>
    </row>
    <row r="390" spans="1:12" x14ac:dyDescent="0.4">
      <c r="A390" t="s">
        <v>165</v>
      </c>
      <c r="B390" t="s">
        <v>2</v>
      </c>
      <c r="C390" t="s">
        <v>305</v>
      </c>
      <c r="D390" t="s">
        <v>306</v>
      </c>
      <c r="E390">
        <v>20018302</v>
      </c>
      <c r="F390" t="s">
        <v>385</v>
      </c>
      <c r="G390">
        <v>591282</v>
      </c>
      <c r="H390" s="184">
        <v>43906</v>
      </c>
      <c r="I390" s="184">
        <v>43907</v>
      </c>
      <c r="J390" t="s">
        <v>386</v>
      </c>
      <c r="K390">
        <v>60000</v>
      </c>
      <c r="L390" t="s">
        <v>245</v>
      </c>
    </row>
    <row r="391" spans="1:12" x14ac:dyDescent="0.4">
      <c r="A391" t="s">
        <v>165</v>
      </c>
      <c r="B391" t="s">
        <v>2</v>
      </c>
      <c r="C391" t="s">
        <v>305</v>
      </c>
      <c r="D391" t="s">
        <v>306</v>
      </c>
      <c r="E391">
        <v>20018302</v>
      </c>
      <c r="F391" t="s">
        <v>385</v>
      </c>
      <c r="G391">
        <v>591282</v>
      </c>
      <c r="H391" s="184">
        <v>43906</v>
      </c>
      <c r="I391" s="184">
        <v>43907</v>
      </c>
      <c r="J391" t="s">
        <v>386</v>
      </c>
      <c r="K391">
        <v>60000</v>
      </c>
      <c r="L391" t="s">
        <v>246</v>
      </c>
    </row>
    <row r="392" spans="1:12" x14ac:dyDescent="0.4">
      <c r="A392" t="s">
        <v>165</v>
      </c>
      <c r="B392" t="s">
        <v>2</v>
      </c>
      <c r="C392" t="s">
        <v>305</v>
      </c>
      <c r="D392" t="s">
        <v>306</v>
      </c>
      <c r="E392">
        <v>20018304</v>
      </c>
      <c r="F392" t="s">
        <v>387</v>
      </c>
      <c r="G392">
        <v>590963</v>
      </c>
      <c r="H392" s="184">
        <v>43864</v>
      </c>
      <c r="I392" s="184">
        <v>43866</v>
      </c>
      <c r="J392" t="s">
        <v>388</v>
      </c>
      <c r="K392">
        <v>60000</v>
      </c>
      <c r="L392" t="s">
        <v>275</v>
      </c>
    </row>
    <row r="393" spans="1:12" x14ac:dyDescent="0.4">
      <c r="A393" t="s">
        <v>165</v>
      </c>
      <c r="B393" t="s">
        <v>2</v>
      </c>
      <c r="C393" t="s">
        <v>305</v>
      </c>
      <c r="D393" t="s">
        <v>306</v>
      </c>
      <c r="E393">
        <v>20018304</v>
      </c>
      <c r="F393" t="s">
        <v>387</v>
      </c>
      <c r="G393">
        <v>590963</v>
      </c>
      <c r="H393" s="184">
        <v>43864</v>
      </c>
      <c r="I393" s="184">
        <v>43866</v>
      </c>
      <c r="J393" t="s">
        <v>388</v>
      </c>
      <c r="K393">
        <v>60000</v>
      </c>
      <c r="L393" t="s">
        <v>238</v>
      </c>
    </row>
    <row r="394" spans="1:12" x14ac:dyDescent="0.4">
      <c r="A394" t="s">
        <v>165</v>
      </c>
      <c r="B394" t="s">
        <v>2</v>
      </c>
      <c r="C394" t="s">
        <v>305</v>
      </c>
      <c r="D394" t="s">
        <v>306</v>
      </c>
      <c r="E394">
        <v>20018304</v>
      </c>
      <c r="F394" t="s">
        <v>387</v>
      </c>
      <c r="G394">
        <v>590963</v>
      </c>
      <c r="H394" s="184">
        <v>43864</v>
      </c>
      <c r="I394" s="184">
        <v>43866</v>
      </c>
      <c r="J394" t="s">
        <v>388</v>
      </c>
      <c r="K394">
        <v>60000</v>
      </c>
      <c r="L394" t="s">
        <v>231</v>
      </c>
    </row>
    <row r="395" spans="1:12" x14ac:dyDescent="0.4">
      <c r="A395" t="s">
        <v>165</v>
      </c>
      <c r="B395" t="s">
        <v>2</v>
      </c>
      <c r="C395" t="s">
        <v>305</v>
      </c>
      <c r="D395" t="s">
        <v>306</v>
      </c>
      <c r="E395">
        <v>20018304</v>
      </c>
      <c r="F395" t="s">
        <v>387</v>
      </c>
      <c r="G395">
        <v>590963</v>
      </c>
      <c r="H395" s="184">
        <v>43864</v>
      </c>
      <c r="I395" s="184">
        <v>43866</v>
      </c>
      <c r="J395" t="s">
        <v>388</v>
      </c>
      <c r="K395">
        <v>60000</v>
      </c>
      <c r="L395" t="s">
        <v>232</v>
      </c>
    </row>
    <row r="396" spans="1:12" x14ac:dyDescent="0.4">
      <c r="A396" t="s">
        <v>165</v>
      </c>
      <c r="B396" t="s">
        <v>2</v>
      </c>
      <c r="C396" t="s">
        <v>305</v>
      </c>
      <c r="D396" t="s">
        <v>306</v>
      </c>
      <c r="E396">
        <v>20018304</v>
      </c>
      <c r="F396" t="s">
        <v>387</v>
      </c>
      <c r="G396">
        <v>590963</v>
      </c>
      <c r="H396" s="184">
        <v>43864</v>
      </c>
      <c r="I396" s="184">
        <v>43866</v>
      </c>
      <c r="J396" t="s">
        <v>388</v>
      </c>
      <c r="K396">
        <v>60000</v>
      </c>
      <c r="L396" t="s">
        <v>233</v>
      </c>
    </row>
    <row r="397" spans="1:12" x14ac:dyDescent="0.4">
      <c r="A397" t="s">
        <v>165</v>
      </c>
      <c r="B397" t="s">
        <v>2</v>
      </c>
      <c r="C397" t="s">
        <v>305</v>
      </c>
      <c r="D397" t="s">
        <v>306</v>
      </c>
      <c r="E397">
        <v>20018304</v>
      </c>
      <c r="F397" t="s">
        <v>387</v>
      </c>
      <c r="G397">
        <v>590963</v>
      </c>
      <c r="H397" s="184">
        <v>43864</v>
      </c>
      <c r="I397" s="184">
        <v>43866</v>
      </c>
      <c r="J397" t="s">
        <v>388</v>
      </c>
      <c r="K397">
        <v>60000</v>
      </c>
      <c r="L397" t="s">
        <v>234</v>
      </c>
    </row>
    <row r="398" spans="1:12" x14ac:dyDescent="0.4">
      <c r="A398" t="s">
        <v>165</v>
      </c>
      <c r="B398" t="s">
        <v>2</v>
      </c>
      <c r="C398" t="s">
        <v>305</v>
      </c>
      <c r="D398" t="s">
        <v>306</v>
      </c>
      <c r="E398">
        <v>20018416</v>
      </c>
      <c r="F398" t="s">
        <v>389</v>
      </c>
      <c r="G398">
        <v>593973</v>
      </c>
      <c r="H398" s="184">
        <v>44034</v>
      </c>
      <c r="I398" s="184">
        <v>44050</v>
      </c>
      <c r="J398" t="s">
        <v>390</v>
      </c>
      <c r="K398">
        <v>60000</v>
      </c>
      <c r="L398" t="s">
        <v>203</v>
      </c>
    </row>
    <row r="399" spans="1:12" x14ac:dyDescent="0.4">
      <c r="A399" t="s">
        <v>165</v>
      </c>
      <c r="B399" t="s">
        <v>2</v>
      </c>
      <c r="C399" t="s">
        <v>305</v>
      </c>
      <c r="D399" t="s">
        <v>306</v>
      </c>
      <c r="E399">
        <v>20018416</v>
      </c>
      <c r="F399" t="s">
        <v>389</v>
      </c>
      <c r="G399">
        <v>593973</v>
      </c>
      <c r="H399" s="184">
        <v>44034</v>
      </c>
      <c r="I399" s="184">
        <v>44050</v>
      </c>
      <c r="J399" t="s">
        <v>390</v>
      </c>
      <c r="K399">
        <v>60000</v>
      </c>
      <c r="L399" t="s">
        <v>204</v>
      </c>
    </row>
    <row r="400" spans="1:12" x14ac:dyDescent="0.4">
      <c r="A400" t="s">
        <v>165</v>
      </c>
      <c r="B400" t="s">
        <v>2</v>
      </c>
      <c r="C400" t="s">
        <v>305</v>
      </c>
      <c r="D400" t="s">
        <v>306</v>
      </c>
      <c r="E400">
        <v>20018416</v>
      </c>
      <c r="F400" t="s">
        <v>389</v>
      </c>
      <c r="G400">
        <v>593973</v>
      </c>
      <c r="H400" s="184">
        <v>44034</v>
      </c>
      <c r="I400" s="184">
        <v>44050</v>
      </c>
      <c r="J400" t="s">
        <v>390</v>
      </c>
      <c r="K400">
        <v>60000</v>
      </c>
      <c r="L400" t="s">
        <v>205</v>
      </c>
    </row>
    <row r="401" spans="1:12" x14ac:dyDescent="0.4">
      <c r="A401" t="s">
        <v>165</v>
      </c>
      <c r="B401" t="s">
        <v>2</v>
      </c>
      <c r="C401" t="s">
        <v>305</v>
      </c>
      <c r="D401" t="s">
        <v>306</v>
      </c>
      <c r="E401">
        <v>20018416</v>
      </c>
      <c r="F401" t="s">
        <v>389</v>
      </c>
      <c r="G401">
        <v>593973</v>
      </c>
      <c r="H401" s="184">
        <v>44034</v>
      </c>
      <c r="I401" s="184">
        <v>44050</v>
      </c>
      <c r="J401" t="s">
        <v>390</v>
      </c>
      <c r="K401">
        <v>60000</v>
      </c>
      <c r="L401" t="s">
        <v>206</v>
      </c>
    </row>
    <row r="402" spans="1:12" x14ac:dyDescent="0.4">
      <c r="A402" t="s">
        <v>165</v>
      </c>
      <c r="B402" t="s">
        <v>2</v>
      </c>
      <c r="C402" t="s">
        <v>305</v>
      </c>
      <c r="D402" t="s">
        <v>306</v>
      </c>
      <c r="E402">
        <v>20018416</v>
      </c>
      <c r="F402" t="s">
        <v>389</v>
      </c>
      <c r="G402">
        <v>593973</v>
      </c>
      <c r="H402" s="184">
        <v>44034</v>
      </c>
      <c r="I402" s="184">
        <v>44050</v>
      </c>
      <c r="J402" t="s">
        <v>390</v>
      </c>
      <c r="K402">
        <v>60000</v>
      </c>
      <c r="L402" t="s">
        <v>207</v>
      </c>
    </row>
    <row r="403" spans="1:12" x14ac:dyDescent="0.4">
      <c r="A403" t="s">
        <v>165</v>
      </c>
      <c r="B403" t="s">
        <v>2</v>
      </c>
      <c r="C403" t="s">
        <v>305</v>
      </c>
      <c r="D403" t="s">
        <v>306</v>
      </c>
      <c r="E403">
        <v>20018416</v>
      </c>
      <c r="F403" t="s">
        <v>389</v>
      </c>
      <c r="G403">
        <v>593973</v>
      </c>
      <c r="H403" s="184">
        <v>44034</v>
      </c>
      <c r="I403" s="184">
        <v>44050</v>
      </c>
      <c r="J403" t="s">
        <v>390</v>
      </c>
      <c r="K403">
        <v>60000</v>
      </c>
      <c r="L403" t="s">
        <v>208</v>
      </c>
    </row>
    <row r="404" spans="1:12" x14ac:dyDescent="0.4">
      <c r="A404" t="s">
        <v>165</v>
      </c>
      <c r="B404" t="s">
        <v>2</v>
      </c>
      <c r="C404" t="s">
        <v>305</v>
      </c>
      <c r="D404" t="s">
        <v>306</v>
      </c>
      <c r="E404">
        <v>20018425</v>
      </c>
      <c r="F404" t="s">
        <v>391</v>
      </c>
      <c r="G404">
        <v>591910</v>
      </c>
      <c r="H404" s="184">
        <v>43895</v>
      </c>
      <c r="I404" s="184">
        <v>43909</v>
      </c>
      <c r="J404" t="s">
        <v>392</v>
      </c>
      <c r="K404">
        <v>60000</v>
      </c>
      <c r="L404" t="s">
        <v>281</v>
      </c>
    </row>
    <row r="405" spans="1:12" x14ac:dyDescent="0.4">
      <c r="A405" t="s">
        <v>165</v>
      </c>
      <c r="B405" t="s">
        <v>2</v>
      </c>
      <c r="C405" t="s">
        <v>305</v>
      </c>
      <c r="D405" t="s">
        <v>306</v>
      </c>
      <c r="E405">
        <v>20018425</v>
      </c>
      <c r="F405" t="s">
        <v>391</v>
      </c>
      <c r="G405">
        <v>591910</v>
      </c>
      <c r="H405" s="184">
        <v>43895</v>
      </c>
      <c r="I405" s="184">
        <v>43909</v>
      </c>
      <c r="J405" t="s">
        <v>392</v>
      </c>
      <c r="K405">
        <v>60000</v>
      </c>
      <c r="L405" t="s">
        <v>230</v>
      </c>
    </row>
    <row r="406" spans="1:12" x14ac:dyDescent="0.4">
      <c r="A406" t="s">
        <v>165</v>
      </c>
      <c r="B406" t="s">
        <v>2</v>
      </c>
      <c r="C406" t="s">
        <v>305</v>
      </c>
      <c r="D406" t="s">
        <v>306</v>
      </c>
      <c r="E406">
        <v>20018425</v>
      </c>
      <c r="F406" t="s">
        <v>391</v>
      </c>
      <c r="G406">
        <v>591910</v>
      </c>
      <c r="H406" s="184">
        <v>43895</v>
      </c>
      <c r="I406" s="184">
        <v>43909</v>
      </c>
      <c r="J406" t="s">
        <v>392</v>
      </c>
      <c r="K406">
        <v>60000</v>
      </c>
      <c r="L406" t="s">
        <v>243</v>
      </c>
    </row>
    <row r="407" spans="1:12" x14ac:dyDescent="0.4">
      <c r="A407" t="s">
        <v>165</v>
      </c>
      <c r="B407" t="s">
        <v>2</v>
      </c>
      <c r="C407" t="s">
        <v>305</v>
      </c>
      <c r="D407" t="s">
        <v>306</v>
      </c>
      <c r="E407">
        <v>20018425</v>
      </c>
      <c r="F407" t="s">
        <v>391</v>
      </c>
      <c r="G407">
        <v>591910</v>
      </c>
      <c r="H407" s="184">
        <v>43895</v>
      </c>
      <c r="I407" s="184">
        <v>43909</v>
      </c>
      <c r="J407" t="s">
        <v>392</v>
      </c>
      <c r="K407">
        <v>60000</v>
      </c>
      <c r="L407" t="s">
        <v>244</v>
      </c>
    </row>
    <row r="408" spans="1:12" x14ac:dyDescent="0.4">
      <c r="A408" t="s">
        <v>165</v>
      </c>
      <c r="B408" t="s">
        <v>2</v>
      </c>
      <c r="C408" t="s">
        <v>305</v>
      </c>
      <c r="D408" t="s">
        <v>306</v>
      </c>
      <c r="E408">
        <v>20018425</v>
      </c>
      <c r="F408" t="s">
        <v>391</v>
      </c>
      <c r="G408">
        <v>591910</v>
      </c>
      <c r="H408" s="184">
        <v>43895</v>
      </c>
      <c r="I408" s="184">
        <v>43909</v>
      </c>
      <c r="J408" t="s">
        <v>392</v>
      </c>
      <c r="K408">
        <v>60000</v>
      </c>
      <c r="L408" t="s">
        <v>245</v>
      </c>
    </row>
    <row r="409" spans="1:12" x14ac:dyDescent="0.4">
      <c r="A409" t="s">
        <v>165</v>
      </c>
      <c r="B409" t="s">
        <v>2</v>
      </c>
      <c r="C409" t="s">
        <v>305</v>
      </c>
      <c r="D409" t="s">
        <v>306</v>
      </c>
      <c r="E409">
        <v>20018425</v>
      </c>
      <c r="F409" t="s">
        <v>391</v>
      </c>
      <c r="G409">
        <v>591910</v>
      </c>
      <c r="H409" s="184">
        <v>43895</v>
      </c>
      <c r="I409" s="184">
        <v>43909</v>
      </c>
      <c r="J409" t="s">
        <v>392</v>
      </c>
      <c r="K409">
        <v>60000</v>
      </c>
      <c r="L409" t="s">
        <v>246</v>
      </c>
    </row>
    <row r="410" spans="1:12" x14ac:dyDescent="0.4">
      <c r="A410" t="s">
        <v>165</v>
      </c>
      <c r="B410" t="s">
        <v>2</v>
      </c>
      <c r="C410" t="s">
        <v>305</v>
      </c>
      <c r="D410" t="s">
        <v>306</v>
      </c>
      <c r="E410">
        <v>20018426</v>
      </c>
      <c r="F410" t="s">
        <v>393</v>
      </c>
      <c r="G410">
        <v>591911</v>
      </c>
      <c r="H410" s="184">
        <v>43895</v>
      </c>
      <c r="I410" s="184">
        <v>43924</v>
      </c>
      <c r="J410" t="s">
        <v>362</v>
      </c>
      <c r="K410">
        <v>60000</v>
      </c>
      <c r="L410" t="s">
        <v>363</v>
      </c>
    </row>
    <row r="411" spans="1:12" x14ac:dyDescent="0.4">
      <c r="A411" t="s">
        <v>165</v>
      </c>
      <c r="B411" t="s">
        <v>2</v>
      </c>
      <c r="C411" t="s">
        <v>305</v>
      </c>
      <c r="D411" t="s">
        <v>306</v>
      </c>
      <c r="E411">
        <v>20018426</v>
      </c>
      <c r="F411" t="s">
        <v>393</v>
      </c>
      <c r="G411">
        <v>591911</v>
      </c>
      <c r="H411" s="184">
        <v>43895</v>
      </c>
      <c r="I411" s="184">
        <v>43924</v>
      </c>
      <c r="J411" t="s">
        <v>362</v>
      </c>
      <c r="K411">
        <v>60000</v>
      </c>
      <c r="L411" t="s">
        <v>242</v>
      </c>
    </row>
    <row r="412" spans="1:12" x14ac:dyDescent="0.4">
      <c r="A412" t="s">
        <v>165</v>
      </c>
      <c r="B412" t="s">
        <v>2</v>
      </c>
      <c r="C412" t="s">
        <v>305</v>
      </c>
      <c r="D412" t="s">
        <v>306</v>
      </c>
      <c r="E412">
        <v>20018426</v>
      </c>
      <c r="F412" t="s">
        <v>393</v>
      </c>
      <c r="G412">
        <v>591911</v>
      </c>
      <c r="H412" s="184">
        <v>43895</v>
      </c>
      <c r="I412" s="184">
        <v>43924</v>
      </c>
      <c r="J412" t="s">
        <v>362</v>
      </c>
      <c r="K412">
        <v>60000</v>
      </c>
      <c r="L412" t="s">
        <v>312</v>
      </c>
    </row>
    <row r="413" spans="1:12" x14ac:dyDescent="0.4">
      <c r="A413" t="s">
        <v>165</v>
      </c>
      <c r="B413" t="s">
        <v>2</v>
      </c>
      <c r="C413" t="s">
        <v>305</v>
      </c>
      <c r="D413" t="s">
        <v>306</v>
      </c>
      <c r="E413">
        <v>20018426</v>
      </c>
      <c r="F413" t="s">
        <v>393</v>
      </c>
      <c r="G413">
        <v>591911</v>
      </c>
      <c r="H413" s="184">
        <v>43895</v>
      </c>
      <c r="I413" s="184">
        <v>43924</v>
      </c>
      <c r="J413" t="s">
        <v>362</v>
      </c>
      <c r="K413">
        <v>60000</v>
      </c>
      <c r="L413" t="s">
        <v>313</v>
      </c>
    </row>
    <row r="414" spans="1:12" x14ac:dyDescent="0.4">
      <c r="A414" t="s">
        <v>165</v>
      </c>
      <c r="B414" t="s">
        <v>2</v>
      </c>
      <c r="C414" t="s">
        <v>305</v>
      </c>
      <c r="D414" t="s">
        <v>306</v>
      </c>
      <c r="E414">
        <v>20018426</v>
      </c>
      <c r="F414" t="s">
        <v>393</v>
      </c>
      <c r="G414">
        <v>591911</v>
      </c>
      <c r="H414" s="184">
        <v>43895</v>
      </c>
      <c r="I414" s="184">
        <v>43924</v>
      </c>
      <c r="J414" t="s">
        <v>362</v>
      </c>
      <c r="K414">
        <v>60000</v>
      </c>
      <c r="L414" t="s">
        <v>314</v>
      </c>
    </row>
    <row r="415" spans="1:12" x14ac:dyDescent="0.4">
      <c r="A415" t="s">
        <v>165</v>
      </c>
      <c r="B415" t="s">
        <v>2</v>
      </c>
      <c r="C415" t="s">
        <v>305</v>
      </c>
      <c r="D415" t="s">
        <v>306</v>
      </c>
      <c r="E415">
        <v>20018426</v>
      </c>
      <c r="F415" t="s">
        <v>393</v>
      </c>
      <c r="G415">
        <v>591911</v>
      </c>
      <c r="H415" s="184">
        <v>43895</v>
      </c>
      <c r="I415" s="184">
        <v>43924</v>
      </c>
      <c r="J415" t="s">
        <v>362</v>
      </c>
      <c r="K415">
        <v>60000</v>
      </c>
      <c r="L415" t="s">
        <v>315</v>
      </c>
    </row>
    <row r="416" spans="1:12" x14ac:dyDescent="0.4">
      <c r="A416" t="s">
        <v>165</v>
      </c>
      <c r="B416" t="s">
        <v>2</v>
      </c>
      <c r="C416" t="s">
        <v>305</v>
      </c>
      <c r="D416" t="s">
        <v>306</v>
      </c>
      <c r="E416">
        <v>20018430</v>
      </c>
      <c r="F416" t="s">
        <v>394</v>
      </c>
      <c r="G416">
        <v>592981</v>
      </c>
      <c r="H416" s="184">
        <v>43945</v>
      </c>
      <c r="I416" s="184">
        <v>43991</v>
      </c>
      <c r="J416" t="s">
        <v>352</v>
      </c>
      <c r="K416">
        <v>60000</v>
      </c>
      <c r="L416" t="s">
        <v>353</v>
      </c>
    </row>
    <row r="417" spans="1:12" x14ac:dyDescent="0.4">
      <c r="A417" t="s">
        <v>165</v>
      </c>
      <c r="B417" t="s">
        <v>2</v>
      </c>
      <c r="C417" t="s">
        <v>305</v>
      </c>
      <c r="D417" t="s">
        <v>306</v>
      </c>
      <c r="E417">
        <v>20018430</v>
      </c>
      <c r="F417" t="s">
        <v>394</v>
      </c>
      <c r="G417">
        <v>592981</v>
      </c>
      <c r="H417" s="184">
        <v>43945</v>
      </c>
      <c r="I417" s="184">
        <v>43991</v>
      </c>
      <c r="J417" t="s">
        <v>352</v>
      </c>
      <c r="K417">
        <v>60000</v>
      </c>
      <c r="L417" t="s">
        <v>258</v>
      </c>
    </row>
    <row r="418" spans="1:12" x14ac:dyDescent="0.4">
      <c r="A418" t="s">
        <v>165</v>
      </c>
      <c r="B418" t="s">
        <v>2</v>
      </c>
      <c r="C418" t="s">
        <v>305</v>
      </c>
      <c r="D418" t="s">
        <v>306</v>
      </c>
      <c r="E418">
        <v>20018430</v>
      </c>
      <c r="F418" t="s">
        <v>394</v>
      </c>
      <c r="G418">
        <v>592981</v>
      </c>
      <c r="H418" s="184">
        <v>43945</v>
      </c>
      <c r="I418" s="184">
        <v>43991</v>
      </c>
      <c r="J418" t="s">
        <v>352</v>
      </c>
      <c r="K418">
        <v>60000</v>
      </c>
      <c r="L418" t="s">
        <v>327</v>
      </c>
    </row>
    <row r="419" spans="1:12" x14ac:dyDescent="0.4">
      <c r="A419" t="s">
        <v>165</v>
      </c>
      <c r="B419" t="s">
        <v>2</v>
      </c>
      <c r="C419" t="s">
        <v>305</v>
      </c>
      <c r="D419" t="s">
        <v>306</v>
      </c>
      <c r="E419">
        <v>20018430</v>
      </c>
      <c r="F419" t="s">
        <v>394</v>
      </c>
      <c r="G419">
        <v>592981</v>
      </c>
      <c r="H419" s="184">
        <v>43945</v>
      </c>
      <c r="I419" s="184">
        <v>43991</v>
      </c>
      <c r="J419" t="s">
        <v>352</v>
      </c>
      <c r="K419">
        <v>60000</v>
      </c>
      <c r="L419" t="s">
        <v>328</v>
      </c>
    </row>
    <row r="420" spans="1:12" x14ac:dyDescent="0.4">
      <c r="A420" t="s">
        <v>165</v>
      </c>
      <c r="B420" t="s">
        <v>2</v>
      </c>
      <c r="C420" t="s">
        <v>305</v>
      </c>
      <c r="D420" t="s">
        <v>306</v>
      </c>
      <c r="E420">
        <v>20018430</v>
      </c>
      <c r="F420" t="s">
        <v>394</v>
      </c>
      <c r="G420">
        <v>592981</v>
      </c>
      <c r="H420" s="184">
        <v>43945</v>
      </c>
      <c r="I420" s="184">
        <v>43991</v>
      </c>
      <c r="J420" t="s">
        <v>352</v>
      </c>
      <c r="K420">
        <v>60000</v>
      </c>
      <c r="L420" t="s">
        <v>329</v>
      </c>
    </row>
    <row r="421" spans="1:12" x14ac:dyDescent="0.4">
      <c r="A421" t="s">
        <v>165</v>
      </c>
      <c r="B421" t="s">
        <v>2</v>
      </c>
      <c r="C421" t="s">
        <v>305</v>
      </c>
      <c r="D421" t="s">
        <v>306</v>
      </c>
      <c r="E421">
        <v>20018430</v>
      </c>
      <c r="F421" t="s">
        <v>394</v>
      </c>
      <c r="G421">
        <v>592981</v>
      </c>
      <c r="H421" s="184">
        <v>43945</v>
      </c>
      <c r="I421" s="184">
        <v>43991</v>
      </c>
      <c r="J421" t="s">
        <v>352</v>
      </c>
      <c r="K421">
        <v>60000</v>
      </c>
      <c r="L421" t="s">
        <v>330</v>
      </c>
    </row>
    <row r="422" spans="1:12" x14ac:dyDescent="0.4">
      <c r="A422" t="s">
        <v>165</v>
      </c>
      <c r="B422" t="s">
        <v>2</v>
      </c>
      <c r="C422" t="s">
        <v>305</v>
      </c>
      <c r="D422" t="s">
        <v>306</v>
      </c>
      <c r="E422">
        <v>20018435</v>
      </c>
      <c r="F422" t="s">
        <v>395</v>
      </c>
      <c r="G422">
        <v>591959</v>
      </c>
      <c r="H422" s="184">
        <v>43901</v>
      </c>
      <c r="I422" s="184">
        <v>43907</v>
      </c>
      <c r="J422" t="s">
        <v>396</v>
      </c>
      <c r="K422">
        <v>60000</v>
      </c>
      <c r="L422" t="s">
        <v>281</v>
      </c>
    </row>
    <row r="423" spans="1:12" x14ac:dyDescent="0.4">
      <c r="A423" t="s">
        <v>165</v>
      </c>
      <c r="B423" t="s">
        <v>2</v>
      </c>
      <c r="C423" t="s">
        <v>305</v>
      </c>
      <c r="D423" t="s">
        <v>306</v>
      </c>
      <c r="E423">
        <v>20018435</v>
      </c>
      <c r="F423" t="s">
        <v>395</v>
      </c>
      <c r="G423">
        <v>591959</v>
      </c>
      <c r="H423" s="184">
        <v>43901</v>
      </c>
      <c r="I423" s="184">
        <v>43907</v>
      </c>
      <c r="J423" t="s">
        <v>396</v>
      </c>
      <c r="K423">
        <v>60000</v>
      </c>
      <c r="L423" t="s">
        <v>230</v>
      </c>
    </row>
    <row r="424" spans="1:12" x14ac:dyDescent="0.4">
      <c r="A424" t="s">
        <v>165</v>
      </c>
      <c r="B424" t="s">
        <v>2</v>
      </c>
      <c r="C424" t="s">
        <v>305</v>
      </c>
      <c r="D424" t="s">
        <v>306</v>
      </c>
      <c r="E424">
        <v>20018435</v>
      </c>
      <c r="F424" t="s">
        <v>395</v>
      </c>
      <c r="G424">
        <v>591959</v>
      </c>
      <c r="H424" s="184">
        <v>43901</v>
      </c>
      <c r="I424" s="184">
        <v>43907</v>
      </c>
      <c r="J424" t="s">
        <v>396</v>
      </c>
      <c r="K424">
        <v>60000</v>
      </c>
      <c r="L424" t="s">
        <v>243</v>
      </c>
    </row>
    <row r="425" spans="1:12" x14ac:dyDescent="0.4">
      <c r="A425" t="s">
        <v>165</v>
      </c>
      <c r="B425" t="s">
        <v>2</v>
      </c>
      <c r="C425" t="s">
        <v>305</v>
      </c>
      <c r="D425" t="s">
        <v>306</v>
      </c>
      <c r="E425">
        <v>20018435</v>
      </c>
      <c r="F425" t="s">
        <v>395</v>
      </c>
      <c r="G425">
        <v>591959</v>
      </c>
      <c r="H425" s="184">
        <v>43901</v>
      </c>
      <c r="I425" s="184">
        <v>43907</v>
      </c>
      <c r="J425" t="s">
        <v>396</v>
      </c>
      <c r="K425">
        <v>60000</v>
      </c>
      <c r="L425" t="s">
        <v>244</v>
      </c>
    </row>
    <row r="426" spans="1:12" x14ac:dyDescent="0.4">
      <c r="A426" t="s">
        <v>165</v>
      </c>
      <c r="B426" t="s">
        <v>2</v>
      </c>
      <c r="C426" t="s">
        <v>305</v>
      </c>
      <c r="D426" t="s">
        <v>306</v>
      </c>
      <c r="E426">
        <v>20018435</v>
      </c>
      <c r="F426" t="s">
        <v>395</v>
      </c>
      <c r="G426">
        <v>591959</v>
      </c>
      <c r="H426" s="184">
        <v>43901</v>
      </c>
      <c r="I426" s="184">
        <v>43907</v>
      </c>
      <c r="J426" t="s">
        <v>396</v>
      </c>
      <c r="K426">
        <v>60000</v>
      </c>
      <c r="L426" t="s">
        <v>245</v>
      </c>
    </row>
    <row r="427" spans="1:12" x14ac:dyDescent="0.4">
      <c r="A427" t="s">
        <v>165</v>
      </c>
      <c r="B427" t="s">
        <v>2</v>
      </c>
      <c r="C427" t="s">
        <v>305</v>
      </c>
      <c r="D427" t="s">
        <v>306</v>
      </c>
      <c r="E427">
        <v>20018435</v>
      </c>
      <c r="F427" t="s">
        <v>395</v>
      </c>
      <c r="G427">
        <v>591959</v>
      </c>
      <c r="H427" s="184">
        <v>43901</v>
      </c>
      <c r="I427" s="184">
        <v>43907</v>
      </c>
      <c r="J427" t="s">
        <v>396</v>
      </c>
      <c r="K427">
        <v>60000</v>
      </c>
      <c r="L427" t="s">
        <v>246</v>
      </c>
    </row>
    <row r="428" spans="1:12" x14ac:dyDescent="0.4">
      <c r="A428" t="s">
        <v>165</v>
      </c>
      <c r="B428" t="s">
        <v>2</v>
      </c>
      <c r="C428" t="s">
        <v>305</v>
      </c>
      <c r="D428" t="s">
        <v>306</v>
      </c>
      <c r="E428">
        <v>20018522</v>
      </c>
      <c r="F428" t="s">
        <v>397</v>
      </c>
      <c r="G428">
        <v>592572</v>
      </c>
      <c r="H428" s="184">
        <v>43934</v>
      </c>
      <c r="I428" s="184">
        <v>43958</v>
      </c>
      <c r="J428" t="s">
        <v>384</v>
      </c>
      <c r="K428">
        <v>60000</v>
      </c>
      <c r="L428" t="s">
        <v>376</v>
      </c>
    </row>
    <row r="429" spans="1:12" x14ac:dyDescent="0.4">
      <c r="A429" t="s">
        <v>165</v>
      </c>
      <c r="B429" t="s">
        <v>2</v>
      </c>
      <c r="C429" t="s">
        <v>305</v>
      </c>
      <c r="D429" t="s">
        <v>306</v>
      </c>
      <c r="E429">
        <v>20018522</v>
      </c>
      <c r="F429" t="s">
        <v>397</v>
      </c>
      <c r="G429">
        <v>592572</v>
      </c>
      <c r="H429" s="184">
        <v>43934</v>
      </c>
      <c r="I429" s="184">
        <v>43958</v>
      </c>
      <c r="J429" t="s">
        <v>384</v>
      </c>
      <c r="K429">
        <v>60000</v>
      </c>
      <c r="L429" t="s">
        <v>311</v>
      </c>
    </row>
    <row r="430" spans="1:12" x14ac:dyDescent="0.4">
      <c r="A430" t="s">
        <v>165</v>
      </c>
      <c r="B430" t="s">
        <v>2</v>
      </c>
      <c r="C430" t="s">
        <v>305</v>
      </c>
      <c r="D430" t="s">
        <v>306</v>
      </c>
      <c r="E430">
        <v>20018522</v>
      </c>
      <c r="F430" t="s">
        <v>397</v>
      </c>
      <c r="G430">
        <v>592572</v>
      </c>
      <c r="H430" s="184">
        <v>43934</v>
      </c>
      <c r="I430" s="184">
        <v>43958</v>
      </c>
      <c r="J430" t="s">
        <v>384</v>
      </c>
      <c r="K430">
        <v>60000</v>
      </c>
      <c r="L430" t="s">
        <v>259</v>
      </c>
    </row>
    <row r="431" spans="1:12" x14ac:dyDescent="0.4">
      <c r="A431" t="s">
        <v>165</v>
      </c>
      <c r="B431" t="s">
        <v>2</v>
      </c>
      <c r="C431" t="s">
        <v>305</v>
      </c>
      <c r="D431" t="s">
        <v>306</v>
      </c>
      <c r="E431">
        <v>20018522</v>
      </c>
      <c r="F431" t="s">
        <v>397</v>
      </c>
      <c r="G431">
        <v>592572</v>
      </c>
      <c r="H431" s="184">
        <v>43934</v>
      </c>
      <c r="I431" s="184">
        <v>43958</v>
      </c>
      <c r="J431" t="s">
        <v>384</v>
      </c>
      <c r="K431">
        <v>60000</v>
      </c>
      <c r="L431" t="s">
        <v>260</v>
      </c>
    </row>
    <row r="432" spans="1:12" x14ac:dyDescent="0.4">
      <c r="A432" t="s">
        <v>165</v>
      </c>
      <c r="B432" t="s">
        <v>2</v>
      </c>
      <c r="C432" t="s">
        <v>305</v>
      </c>
      <c r="D432" t="s">
        <v>306</v>
      </c>
      <c r="E432">
        <v>20018522</v>
      </c>
      <c r="F432" t="s">
        <v>397</v>
      </c>
      <c r="G432">
        <v>592572</v>
      </c>
      <c r="H432" s="184">
        <v>43934</v>
      </c>
      <c r="I432" s="184">
        <v>43958</v>
      </c>
      <c r="J432" t="s">
        <v>384</v>
      </c>
      <c r="K432">
        <v>60000</v>
      </c>
      <c r="L432" t="s">
        <v>261</v>
      </c>
    </row>
    <row r="433" spans="1:12" x14ac:dyDescent="0.4">
      <c r="A433" t="s">
        <v>165</v>
      </c>
      <c r="B433" t="s">
        <v>2</v>
      </c>
      <c r="C433" t="s">
        <v>305</v>
      </c>
      <c r="D433" t="s">
        <v>306</v>
      </c>
      <c r="E433">
        <v>20018522</v>
      </c>
      <c r="F433" t="s">
        <v>397</v>
      </c>
      <c r="G433">
        <v>592572</v>
      </c>
      <c r="H433" s="184">
        <v>43934</v>
      </c>
      <c r="I433" s="184">
        <v>43958</v>
      </c>
      <c r="J433" t="s">
        <v>384</v>
      </c>
      <c r="K433">
        <v>60000</v>
      </c>
      <c r="L433" t="s">
        <v>262</v>
      </c>
    </row>
    <row r="434" spans="1:12" x14ac:dyDescent="0.4">
      <c r="A434" t="s">
        <v>165</v>
      </c>
      <c r="B434" t="s">
        <v>2</v>
      </c>
      <c r="C434" t="s">
        <v>305</v>
      </c>
      <c r="D434" t="s">
        <v>306</v>
      </c>
      <c r="E434">
        <v>20018526</v>
      </c>
      <c r="F434" t="s">
        <v>398</v>
      </c>
      <c r="G434">
        <v>592498</v>
      </c>
      <c r="H434" s="184">
        <v>43921</v>
      </c>
      <c r="I434" s="184">
        <v>43958</v>
      </c>
      <c r="J434" t="s">
        <v>384</v>
      </c>
      <c r="K434">
        <v>60000</v>
      </c>
      <c r="L434" t="s">
        <v>376</v>
      </c>
    </row>
    <row r="435" spans="1:12" x14ac:dyDescent="0.4">
      <c r="A435" t="s">
        <v>165</v>
      </c>
      <c r="B435" t="s">
        <v>2</v>
      </c>
      <c r="C435" t="s">
        <v>305</v>
      </c>
      <c r="D435" t="s">
        <v>306</v>
      </c>
      <c r="E435">
        <v>20018526</v>
      </c>
      <c r="F435" t="s">
        <v>398</v>
      </c>
      <c r="G435">
        <v>592498</v>
      </c>
      <c r="H435" s="184">
        <v>43921</v>
      </c>
      <c r="I435" s="184">
        <v>43958</v>
      </c>
      <c r="J435" t="s">
        <v>384</v>
      </c>
      <c r="K435">
        <v>60000</v>
      </c>
      <c r="L435" t="s">
        <v>311</v>
      </c>
    </row>
    <row r="436" spans="1:12" x14ac:dyDescent="0.4">
      <c r="A436" t="s">
        <v>165</v>
      </c>
      <c r="B436" t="s">
        <v>2</v>
      </c>
      <c r="C436" t="s">
        <v>305</v>
      </c>
      <c r="D436" t="s">
        <v>306</v>
      </c>
      <c r="E436">
        <v>20018526</v>
      </c>
      <c r="F436" t="s">
        <v>398</v>
      </c>
      <c r="G436">
        <v>592498</v>
      </c>
      <c r="H436" s="184">
        <v>43921</v>
      </c>
      <c r="I436" s="184">
        <v>43958</v>
      </c>
      <c r="J436" t="s">
        <v>384</v>
      </c>
      <c r="K436">
        <v>60000</v>
      </c>
      <c r="L436" t="s">
        <v>259</v>
      </c>
    </row>
    <row r="437" spans="1:12" x14ac:dyDescent="0.4">
      <c r="A437" t="s">
        <v>165</v>
      </c>
      <c r="B437" t="s">
        <v>2</v>
      </c>
      <c r="C437" t="s">
        <v>305</v>
      </c>
      <c r="D437" t="s">
        <v>306</v>
      </c>
      <c r="E437">
        <v>20018526</v>
      </c>
      <c r="F437" t="s">
        <v>398</v>
      </c>
      <c r="G437">
        <v>592498</v>
      </c>
      <c r="H437" s="184">
        <v>43921</v>
      </c>
      <c r="I437" s="184">
        <v>43958</v>
      </c>
      <c r="J437" t="s">
        <v>384</v>
      </c>
      <c r="K437">
        <v>60000</v>
      </c>
      <c r="L437" t="s">
        <v>260</v>
      </c>
    </row>
    <row r="438" spans="1:12" x14ac:dyDescent="0.4">
      <c r="A438" t="s">
        <v>165</v>
      </c>
      <c r="B438" t="s">
        <v>2</v>
      </c>
      <c r="C438" t="s">
        <v>305</v>
      </c>
      <c r="D438" t="s">
        <v>306</v>
      </c>
      <c r="E438">
        <v>20018526</v>
      </c>
      <c r="F438" t="s">
        <v>398</v>
      </c>
      <c r="G438">
        <v>592498</v>
      </c>
      <c r="H438" s="184">
        <v>43921</v>
      </c>
      <c r="I438" s="184">
        <v>43958</v>
      </c>
      <c r="J438" t="s">
        <v>384</v>
      </c>
      <c r="K438">
        <v>60000</v>
      </c>
      <c r="L438" t="s">
        <v>261</v>
      </c>
    </row>
    <row r="439" spans="1:12" x14ac:dyDescent="0.4">
      <c r="A439" t="s">
        <v>165</v>
      </c>
      <c r="B439" t="s">
        <v>2</v>
      </c>
      <c r="C439" t="s">
        <v>305</v>
      </c>
      <c r="D439" t="s">
        <v>306</v>
      </c>
      <c r="E439">
        <v>20018526</v>
      </c>
      <c r="F439" t="s">
        <v>398</v>
      </c>
      <c r="G439">
        <v>592498</v>
      </c>
      <c r="H439" s="184">
        <v>43921</v>
      </c>
      <c r="I439" s="184">
        <v>43958</v>
      </c>
      <c r="J439" t="s">
        <v>384</v>
      </c>
      <c r="K439">
        <v>60000</v>
      </c>
      <c r="L439" t="s">
        <v>262</v>
      </c>
    </row>
    <row r="440" spans="1:12" x14ac:dyDescent="0.4">
      <c r="A440" t="s">
        <v>165</v>
      </c>
      <c r="B440" t="s">
        <v>2</v>
      </c>
      <c r="C440" t="s">
        <v>305</v>
      </c>
      <c r="D440" t="s">
        <v>306</v>
      </c>
      <c r="E440">
        <v>20018556</v>
      </c>
      <c r="F440" t="s">
        <v>399</v>
      </c>
      <c r="G440">
        <v>592821</v>
      </c>
      <c r="H440" s="184">
        <v>43976</v>
      </c>
      <c r="I440" s="184">
        <v>43980</v>
      </c>
      <c r="J440" t="s">
        <v>400</v>
      </c>
      <c r="K440">
        <v>60000</v>
      </c>
      <c r="L440" t="s">
        <v>376</v>
      </c>
    </row>
    <row r="441" spans="1:12" x14ac:dyDescent="0.4">
      <c r="A441" t="s">
        <v>165</v>
      </c>
      <c r="B441" t="s">
        <v>2</v>
      </c>
      <c r="C441" t="s">
        <v>305</v>
      </c>
      <c r="D441" t="s">
        <v>306</v>
      </c>
      <c r="E441">
        <v>20018556</v>
      </c>
      <c r="F441" t="s">
        <v>399</v>
      </c>
      <c r="G441">
        <v>592821</v>
      </c>
      <c r="H441" s="184">
        <v>43976</v>
      </c>
      <c r="I441" s="184">
        <v>43980</v>
      </c>
      <c r="J441" t="s">
        <v>400</v>
      </c>
      <c r="K441">
        <v>60000</v>
      </c>
      <c r="L441" t="s">
        <v>311</v>
      </c>
    </row>
    <row r="442" spans="1:12" x14ac:dyDescent="0.4">
      <c r="A442" t="s">
        <v>165</v>
      </c>
      <c r="B442" t="s">
        <v>2</v>
      </c>
      <c r="C442" t="s">
        <v>305</v>
      </c>
      <c r="D442" t="s">
        <v>306</v>
      </c>
      <c r="E442">
        <v>20018556</v>
      </c>
      <c r="F442" t="s">
        <v>399</v>
      </c>
      <c r="G442">
        <v>592821</v>
      </c>
      <c r="H442" s="184">
        <v>43976</v>
      </c>
      <c r="I442" s="184">
        <v>43980</v>
      </c>
      <c r="J442" t="s">
        <v>400</v>
      </c>
      <c r="K442">
        <v>60000</v>
      </c>
      <c r="L442" t="s">
        <v>259</v>
      </c>
    </row>
    <row r="443" spans="1:12" x14ac:dyDescent="0.4">
      <c r="A443" t="s">
        <v>165</v>
      </c>
      <c r="B443" t="s">
        <v>2</v>
      </c>
      <c r="C443" t="s">
        <v>305</v>
      </c>
      <c r="D443" t="s">
        <v>306</v>
      </c>
      <c r="E443">
        <v>20018556</v>
      </c>
      <c r="F443" t="s">
        <v>399</v>
      </c>
      <c r="G443">
        <v>592821</v>
      </c>
      <c r="H443" s="184">
        <v>43976</v>
      </c>
      <c r="I443" s="184">
        <v>43980</v>
      </c>
      <c r="J443" t="s">
        <v>400</v>
      </c>
      <c r="K443">
        <v>60000</v>
      </c>
      <c r="L443" t="s">
        <v>260</v>
      </c>
    </row>
    <row r="444" spans="1:12" x14ac:dyDescent="0.4">
      <c r="A444" t="s">
        <v>165</v>
      </c>
      <c r="B444" t="s">
        <v>2</v>
      </c>
      <c r="C444" t="s">
        <v>305</v>
      </c>
      <c r="D444" t="s">
        <v>306</v>
      </c>
      <c r="E444">
        <v>20018556</v>
      </c>
      <c r="F444" t="s">
        <v>399</v>
      </c>
      <c r="G444">
        <v>592821</v>
      </c>
      <c r="H444" s="184">
        <v>43976</v>
      </c>
      <c r="I444" s="184">
        <v>43980</v>
      </c>
      <c r="J444" t="s">
        <v>400</v>
      </c>
      <c r="K444">
        <v>60000</v>
      </c>
      <c r="L444" t="s">
        <v>261</v>
      </c>
    </row>
    <row r="445" spans="1:12" x14ac:dyDescent="0.4">
      <c r="A445" t="s">
        <v>165</v>
      </c>
      <c r="B445" t="s">
        <v>2</v>
      </c>
      <c r="C445" t="s">
        <v>305</v>
      </c>
      <c r="D445" t="s">
        <v>306</v>
      </c>
      <c r="E445">
        <v>20018556</v>
      </c>
      <c r="F445" t="s">
        <v>399</v>
      </c>
      <c r="G445">
        <v>592821</v>
      </c>
      <c r="H445" s="184">
        <v>43976</v>
      </c>
      <c r="I445" s="184">
        <v>43980</v>
      </c>
      <c r="J445" t="s">
        <v>400</v>
      </c>
      <c r="K445">
        <v>60000</v>
      </c>
      <c r="L445" t="s">
        <v>262</v>
      </c>
    </row>
    <row r="446" spans="1:12" x14ac:dyDescent="0.4">
      <c r="A446" t="s">
        <v>165</v>
      </c>
      <c r="B446" t="s">
        <v>2</v>
      </c>
      <c r="C446" t="s">
        <v>305</v>
      </c>
      <c r="D446" t="s">
        <v>306</v>
      </c>
      <c r="E446">
        <v>20018697</v>
      </c>
      <c r="F446" t="s">
        <v>401</v>
      </c>
      <c r="G446">
        <v>594068</v>
      </c>
      <c r="H446" s="184">
        <v>44041</v>
      </c>
      <c r="I446" s="184">
        <v>44046</v>
      </c>
      <c r="J446" t="s">
        <v>390</v>
      </c>
      <c r="K446">
        <v>60000</v>
      </c>
      <c r="L446" t="s">
        <v>203</v>
      </c>
    </row>
    <row r="447" spans="1:12" x14ac:dyDescent="0.4">
      <c r="A447" t="s">
        <v>165</v>
      </c>
      <c r="B447" t="s">
        <v>2</v>
      </c>
      <c r="C447" t="s">
        <v>305</v>
      </c>
      <c r="D447" t="s">
        <v>306</v>
      </c>
      <c r="E447">
        <v>20018697</v>
      </c>
      <c r="F447" t="s">
        <v>401</v>
      </c>
      <c r="G447">
        <v>594068</v>
      </c>
      <c r="H447" s="184">
        <v>44041</v>
      </c>
      <c r="I447" s="184">
        <v>44046</v>
      </c>
      <c r="J447" t="s">
        <v>390</v>
      </c>
      <c r="K447">
        <v>60000</v>
      </c>
      <c r="L447" t="s">
        <v>204</v>
      </c>
    </row>
    <row r="448" spans="1:12" x14ac:dyDescent="0.4">
      <c r="A448" t="s">
        <v>165</v>
      </c>
      <c r="B448" t="s">
        <v>2</v>
      </c>
      <c r="C448" t="s">
        <v>305</v>
      </c>
      <c r="D448" t="s">
        <v>306</v>
      </c>
      <c r="E448">
        <v>20018697</v>
      </c>
      <c r="F448" t="s">
        <v>401</v>
      </c>
      <c r="G448">
        <v>594068</v>
      </c>
      <c r="H448" s="184">
        <v>44041</v>
      </c>
      <c r="I448" s="184">
        <v>44046</v>
      </c>
      <c r="J448" t="s">
        <v>390</v>
      </c>
      <c r="K448">
        <v>60000</v>
      </c>
      <c r="L448" t="s">
        <v>205</v>
      </c>
    </row>
    <row r="449" spans="1:12" x14ac:dyDescent="0.4">
      <c r="A449" t="s">
        <v>165</v>
      </c>
      <c r="B449" t="s">
        <v>2</v>
      </c>
      <c r="C449" t="s">
        <v>305</v>
      </c>
      <c r="D449" t="s">
        <v>306</v>
      </c>
      <c r="E449">
        <v>20018697</v>
      </c>
      <c r="F449" t="s">
        <v>401</v>
      </c>
      <c r="G449">
        <v>594068</v>
      </c>
      <c r="H449" s="184">
        <v>44041</v>
      </c>
      <c r="I449" s="184">
        <v>44046</v>
      </c>
      <c r="J449" t="s">
        <v>390</v>
      </c>
      <c r="K449">
        <v>60000</v>
      </c>
      <c r="L449" t="s">
        <v>206</v>
      </c>
    </row>
    <row r="450" spans="1:12" x14ac:dyDescent="0.4">
      <c r="A450" t="s">
        <v>165</v>
      </c>
      <c r="B450" t="s">
        <v>2</v>
      </c>
      <c r="C450" t="s">
        <v>305</v>
      </c>
      <c r="D450" t="s">
        <v>306</v>
      </c>
      <c r="E450">
        <v>20018697</v>
      </c>
      <c r="F450" t="s">
        <v>401</v>
      </c>
      <c r="G450">
        <v>594068</v>
      </c>
      <c r="H450" s="184">
        <v>44041</v>
      </c>
      <c r="I450" s="184">
        <v>44046</v>
      </c>
      <c r="J450" t="s">
        <v>390</v>
      </c>
      <c r="K450">
        <v>60000</v>
      </c>
      <c r="L450" t="s">
        <v>207</v>
      </c>
    </row>
    <row r="451" spans="1:12" x14ac:dyDescent="0.4">
      <c r="A451" t="s">
        <v>165</v>
      </c>
      <c r="B451" t="s">
        <v>2</v>
      </c>
      <c r="C451" t="s">
        <v>305</v>
      </c>
      <c r="D451" t="s">
        <v>306</v>
      </c>
      <c r="E451">
        <v>20018697</v>
      </c>
      <c r="F451" t="s">
        <v>401</v>
      </c>
      <c r="G451">
        <v>594068</v>
      </c>
      <c r="H451" s="184">
        <v>44041</v>
      </c>
      <c r="I451" s="184">
        <v>44046</v>
      </c>
      <c r="J451" t="s">
        <v>390</v>
      </c>
      <c r="K451">
        <v>60000</v>
      </c>
      <c r="L451" t="s">
        <v>208</v>
      </c>
    </row>
    <row r="452" spans="1:12" x14ac:dyDescent="0.4">
      <c r="A452" t="s">
        <v>165</v>
      </c>
      <c r="B452" t="s">
        <v>2</v>
      </c>
      <c r="C452" t="s">
        <v>305</v>
      </c>
      <c r="D452" t="s">
        <v>306</v>
      </c>
      <c r="E452">
        <v>20018709</v>
      </c>
      <c r="F452" t="s">
        <v>402</v>
      </c>
      <c r="G452">
        <v>593475</v>
      </c>
      <c r="H452" s="184">
        <v>44005</v>
      </c>
      <c r="I452" s="184">
        <v>44025</v>
      </c>
      <c r="J452" t="s">
        <v>403</v>
      </c>
      <c r="K452">
        <v>60000</v>
      </c>
      <c r="L452" t="s">
        <v>220</v>
      </c>
    </row>
    <row r="453" spans="1:12" x14ac:dyDescent="0.4">
      <c r="A453" t="s">
        <v>165</v>
      </c>
      <c r="B453" t="s">
        <v>2</v>
      </c>
      <c r="C453" t="s">
        <v>305</v>
      </c>
      <c r="D453" t="s">
        <v>306</v>
      </c>
      <c r="E453">
        <v>20018709</v>
      </c>
      <c r="F453" t="s">
        <v>402</v>
      </c>
      <c r="G453">
        <v>593475</v>
      </c>
      <c r="H453" s="184">
        <v>44005</v>
      </c>
      <c r="I453" s="184">
        <v>44025</v>
      </c>
      <c r="J453" t="s">
        <v>403</v>
      </c>
      <c r="K453">
        <v>60000</v>
      </c>
      <c r="L453" t="s">
        <v>221</v>
      </c>
    </row>
    <row r="454" spans="1:12" x14ac:dyDescent="0.4">
      <c r="A454" t="s">
        <v>165</v>
      </c>
      <c r="B454" t="s">
        <v>2</v>
      </c>
      <c r="C454" t="s">
        <v>305</v>
      </c>
      <c r="D454" t="s">
        <v>306</v>
      </c>
      <c r="E454">
        <v>20018709</v>
      </c>
      <c r="F454" t="s">
        <v>402</v>
      </c>
      <c r="G454">
        <v>593475</v>
      </c>
      <c r="H454" s="184">
        <v>44005</v>
      </c>
      <c r="I454" s="184">
        <v>44025</v>
      </c>
      <c r="J454" t="s">
        <v>403</v>
      </c>
      <c r="K454">
        <v>60000</v>
      </c>
      <c r="L454" t="s">
        <v>222</v>
      </c>
    </row>
    <row r="455" spans="1:12" x14ac:dyDescent="0.4">
      <c r="A455" t="s">
        <v>165</v>
      </c>
      <c r="B455" t="s">
        <v>2</v>
      </c>
      <c r="C455" t="s">
        <v>305</v>
      </c>
      <c r="D455" t="s">
        <v>306</v>
      </c>
      <c r="E455">
        <v>20018709</v>
      </c>
      <c r="F455" t="s">
        <v>402</v>
      </c>
      <c r="G455">
        <v>593475</v>
      </c>
      <c r="H455" s="184">
        <v>44005</v>
      </c>
      <c r="I455" s="184">
        <v>44025</v>
      </c>
      <c r="J455" t="s">
        <v>403</v>
      </c>
      <c r="K455">
        <v>60000</v>
      </c>
      <c r="L455" t="s">
        <v>223</v>
      </c>
    </row>
    <row r="456" spans="1:12" x14ac:dyDescent="0.4">
      <c r="A456" t="s">
        <v>165</v>
      </c>
      <c r="B456" t="s">
        <v>2</v>
      </c>
      <c r="C456" t="s">
        <v>305</v>
      </c>
      <c r="D456" t="s">
        <v>306</v>
      </c>
      <c r="E456">
        <v>20018709</v>
      </c>
      <c r="F456" t="s">
        <v>402</v>
      </c>
      <c r="G456">
        <v>593475</v>
      </c>
      <c r="H456" s="184">
        <v>44005</v>
      </c>
      <c r="I456" s="184">
        <v>44025</v>
      </c>
      <c r="J456" t="s">
        <v>403</v>
      </c>
      <c r="K456">
        <v>60000</v>
      </c>
      <c r="L456" t="s">
        <v>224</v>
      </c>
    </row>
    <row r="457" spans="1:12" x14ac:dyDescent="0.4">
      <c r="A457" t="s">
        <v>165</v>
      </c>
      <c r="B457" t="s">
        <v>2</v>
      </c>
      <c r="C457" t="s">
        <v>305</v>
      </c>
      <c r="D457" t="s">
        <v>306</v>
      </c>
      <c r="E457">
        <v>20018709</v>
      </c>
      <c r="F457" t="s">
        <v>402</v>
      </c>
      <c r="G457">
        <v>593475</v>
      </c>
      <c r="H457" s="184">
        <v>44005</v>
      </c>
      <c r="I457" s="184">
        <v>44025</v>
      </c>
      <c r="J457" t="s">
        <v>403</v>
      </c>
      <c r="K457">
        <v>60000</v>
      </c>
      <c r="L457" t="s">
        <v>225</v>
      </c>
    </row>
    <row r="458" spans="1:12" x14ac:dyDescent="0.4">
      <c r="A458" t="s">
        <v>165</v>
      </c>
      <c r="B458" t="s">
        <v>2</v>
      </c>
      <c r="C458" t="s">
        <v>305</v>
      </c>
      <c r="D458" t="s">
        <v>306</v>
      </c>
      <c r="E458">
        <v>20018842</v>
      </c>
      <c r="F458" t="s">
        <v>404</v>
      </c>
      <c r="G458">
        <v>594276</v>
      </c>
      <c r="H458" s="184">
        <v>44062</v>
      </c>
      <c r="I458" s="184">
        <v>44081</v>
      </c>
      <c r="J458" t="s">
        <v>405</v>
      </c>
      <c r="K458">
        <v>60000</v>
      </c>
      <c r="L458" t="s">
        <v>290</v>
      </c>
    </row>
    <row r="459" spans="1:12" x14ac:dyDescent="0.4">
      <c r="A459" t="s">
        <v>165</v>
      </c>
      <c r="B459" t="s">
        <v>2</v>
      </c>
      <c r="C459" t="s">
        <v>305</v>
      </c>
      <c r="D459" t="s">
        <v>306</v>
      </c>
      <c r="E459">
        <v>20018842</v>
      </c>
      <c r="F459" t="s">
        <v>404</v>
      </c>
      <c r="G459">
        <v>594276</v>
      </c>
      <c r="H459" s="184">
        <v>44062</v>
      </c>
      <c r="I459" s="184">
        <v>44081</v>
      </c>
      <c r="J459" t="s">
        <v>405</v>
      </c>
      <c r="K459">
        <v>60000</v>
      </c>
      <c r="L459" t="s">
        <v>291</v>
      </c>
    </row>
    <row r="460" spans="1:12" x14ac:dyDescent="0.4">
      <c r="A460" t="s">
        <v>165</v>
      </c>
      <c r="B460" t="s">
        <v>2</v>
      </c>
      <c r="C460" t="s">
        <v>305</v>
      </c>
      <c r="D460" t="s">
        <v>306</v>
      </c>
      <c r="E460">
        <v>20018842</v>
      </c>
      <c r="F460" t="s">
        <v>404</v>
      </c>
      <c r="G460">
        <v>594276</v>
      </c>
      <c r="H460" s="184">
        <v>44062</v>
      </c>
      <c r="I460" s="184">
        <v>44081</v>
      </c>
      <c r="J460" t="s">
        <v>405</v>
      </c>
      <c r="K460">
        <v>60000</v>
      </c>
      <c r="L460" t="s">
        <v>292</v>
      </c>
    </row>
    <row r="461" spans="1:12" x14ac:dyDescent="0.4">
      <c r="A461" t="s">
        <v>165</v>
      </c>
      <c r="B461" t="s">
        <v>2</v>
      </c>
      <c r="C461" t="s">
        <v>305</v>
      </c>
      <c r="D461" t="s">
        <v>306</v>
      </c>
      <c r="E461">
        <v>20018842</v>
      </c>
      <c r="F461" t="s">
        <v>404</v>
      </c>
      <c r="G461">
        <v>594276</v>
      </c>
      <c r="H461" s="184">
        <v>44062</v>
      </c>
      <c r="I461" s="184">
        <v>44081</v>
      </c>
      <c r="J461" t="s">
        <v>405</v>
      </c>
      <c r="K461">
        <v>60000</v>
      </c>
      <c r="L461" t="s">
        <v>293</v>
      </c>
    </row>
    <row r="462" spans="1:12" x14ac:dyDescent="0.4">
      <c r="A462" t="s">
        <v>165</v>
      </c>
      <c r="B462" t="s">
        <v>2</v>
      </c>
      <c r="C462" t="s">
        <v>305</v>
      </c>
      <c r="D462" t="s">
        <v>306</v>
      </c>
      <c r="E462">
        <v>20018842</v>
      </c>
      <c r="F462" t="s">
        <v>404</v>
      </c>
      <c r="G462">
        <v>594276</v>
      </c>
      <c r="H462" s="184">
        <v>44062</v>
      </c>
      <c r="I462" s="184">
        <v>44081</v>
      </c>
      <c r="J462" t="s">
        <v>405</v>
      </c>
      <c r="K462">
        <v>60000</v>
      </c>
      <c r="L462" t="s">
        <v>294</v>
      </c>
    </row>
    <row r="463" spans="1:12" x14ac:dyDescent="0.4">
      <c r="A463" t="s">
        <v>165</v>
      </c>
      <c r="B463" t="s">
        <v>2</v>
      </c>
      <c r="C463" t="s">
        <v>305</v>
      </c>
      <c r="D463" t="s">
        <v>306</v>
      </c>
      <c r="E463">
        <v>20018842</v>
      </c>
      <c r="F463" t="s">
        <v>404</v>
      </c>
      <c r="G463">
        <v>594276</v>
      </c>
      <c r="H463" s="184">
        <v>44062</v>
      </c>
      <c r="I463" s="184">
        <v>44081</v>
      </c>
      <c r="J463" t="s">
        <v>405</v>
      </c>
      <c r="K463">
        <v>60000</v>
      </c>
      <c r="L463" t="s">
        <v>295</v>
      </c>
    </row>
    <row r="464" spans="1:12" x14ac:dyDescent="0.4">
      <c r="A464" t="s">
        <v>165</v>
      </c>
      <c r="B464" t="s">
        <v>2</v>
      </c>
      <c r="C464" t="s">
        <v>305</v>
      </c>
      <c r="D464" t="s">
        <v>306</v>
      </c>
      <c r="E464">
        <v>20018859</v>
      </c>
      <c r="F464" t="s">
        <v>406</v>
      </c>
      <c r="G464">
        <v>593730</v>
      </c>
      <c r="H464" s="184">
        <v>43998</v>
      </c>
      <c r="I464" s="184">
        <v>44000</v>
      </c>
      <c r="J464" t="s">
        <v>407</v>
      </c>
      <c r="K464">
        <v>60000</v>
      </c>
      <c r="L464" t="s">
        <v>353</v>
      </c>
    </row>
    <row r="465" spans="1:12" x14ac:dyDescent="0.4">
      <c r="A465" t="s">
        <v>165</v>
      </c>
      <c r="B465" t="s">
        <v>2</v>
      </c>
      <c r="C465" t="s">
        <v>305</v>
      </c>
      <c r="D465" t="s">
        <v>306</v>
      </c>
      <c r="E465">
        <v>20018859</v>
      </c>
      <c r="F465" t="s">
        <v>406</v>
      </c>
      <c r="G465">
        <v>593730</v>
      </c>
      <c r="H465" s="184">
        <v>43998</v>
      </c>
      <c r="I465" s="184">
        <v>44000</v>
      </c>
      <c r="J465" t="s">
        <v>407</v>
      </c>
      <c r="K465">
        <v>60000</v>
      </c>
      <c r="L465" t="s">
        <v>258</v>
      </c>
    </row>
    <row r="466" spans="1:12" x14ac:dyDescent="0.4">
      <c r="A466" t="s">
        <v>165</v>
      </c>
      <c r="B466" t="s">
        <v>2</v>
      </c>
      <c r="C466" t="s">
        <v>305</v>
      </c>
      <c r="D466" t="s">
        <v>306</v>
      </c>
      <c r="E466">
        <v>20018859</v>
      </c>
      <c r="F466" t="s">
        <v>406</v>
      </c>
      <c r="G466">
        <v>593730</v>
      </c>
      <c r="H466" s="184">
        <v>43998</v>
      </c>
      <c r="I466" s="184">
        <v>44000</v>
      </c>
      <c r="J466" t="s">
        <v>407</v>
      </c>
      <c r="K466">
        <v>60000</v>
      </c>
      <c r="L466" t="s">
        <v>327</v>
      </c>
    </row>
    <row r="467" spans="1:12" x14ac:dyDescent="0.4">
      <c r="A467" t="s">
        <v>165</v>
      </c>
      <c r="B467" t="s">
        <v>2</v>
      </c>
      <c r="C467" t="s">
        <v>305</v>
      </c>
      <c r="D467" t="s">
        <v>306</v>
      </c>
      <c r="E467">
        <v>20018859</v>
      </c>
      <c r="F467" t="s">
        <v>406</v>
      </c>
      <c r="G467">
        <v>593730</v>
      </c>
      <c r="H467" s="184">
        <v>43998</v>
      </c>
      <c r="I467" s="184">
        <v>44000</v>
      </c>
      <c r="J467" t="s">
        <v>407</v>
      </c>
      <c r="K467">
        <v>60000</v>
      </c>
      <c r="L467" t="s">
        <v>328</v>
      </c>
    </row>
    <row r="468" spans="1:12" x14ac:dyDescent="0.4">
      <c r="A468" t="s">
        <v>165</v>
      </c>
      <c r="B468" t="s">
        <v>2</v>
      </c>
      <c r="C468" t="s">
        <v>305</v>
      </c>
      <c r="D468" t="s">
        <v>306</v>
      </c>
      <c r="E468">
        <v>20018859</v>
      </c>
      <c r="F468" t="s">
        <v>406</v>
      </c>
      <c r="G468">
        <v>593730</v>
      </c>
      <c r="H468" s="184">
        <v>43998</v>
      </c>
      <c r="I468" s="184">
        <v>44000</v>
      </c>
      <c r="J468" t="s">
        <v>407</v>
      </c>
      <c r="K468">
        <v>60000</v>
      </c>
      <c r="L468" t="s">
        <v>329</v>
      </c>
    </row>
    <row r="469" spans="1:12" x14ac:dyDescent="0.4">
      <c r="A469" t="s">
        <v>165</v>
      </c>
      <c r="B469" t="s">
        <v>2</v>
      </c>
      <c r="C469" t="s">
        <v>305</v>
      </c>
      <c r="D469" t="s">
        <v>306</v>
      </c>
      <c r="E469">
        <v>20018859</v>
      </c>
      <c r="F469" t="s">
        <v>406</v>
      </c>
      <c r="G469">
        <v>593730</v>
      </c>
      <c r="H469" s="184">
        <v>43998</v>
      </c>
      <c r="I469" s="184">
        <v>44000</v>
      </c>
      <c r="J469" t="s">
        <v>407</v>
      </c>
      <c r="K469">
        <v>60000</v>
      </c>
      <c r="L469" t="s">
        <v>330</v>
      </c>
    </row>
    <row r="470" spans="1:12" x14ac:dyDescent="0.4">
      <c r="A470" t="s">
        <v>165</v>
      </c>
      <c r="B470" t="s">
        <v>2</v>
      </c>
      <c r="C470" t="s">
        <v>305</v>
      </c>
      <c r="D470" t="s">
        <v>306</v>
      </c>
      <c r="E470">
        <v>20018902</v>
      </c>
      <c r="F470" t="s">
        <v>408</v>
      </c>
      <c r="G470">
        <v>598716</v>
      </c>
      <c r="H470" s="184">
        <v>44308</v>
      </c>
      <c r="I470" s="184">
        <v>44328</v>
      </c>
      <c r="J470" t="s">
        <v>409</v>
      </c>
      <c r="K470">
        <v>60000</v>
      </c>
      <c r="L470" t="s">
        <v>258</v>
      </c>
    </row>
    <row r="471" spans="1:12" x14ac:dyDescent="0.4">
      <c r="A471" t="s">
        <v>165</v>
      </c>
      <c r="B471" t="s">
        <v>2</v>
      </c>
      <c r="C471" t="s">
        <v>305</v>
      </c>
      <c r="D471" t="s">
        <v>306</v>
      </c>
      <c r="E471">
        <v>20018902</v>
      </c>
      <c r="F471" t="s">
        <v>408</v>
      </c>
      <c r="G471">
        <v>598716</v>
      </c>
      <c r="H471" s="184">
        <v>44308</v>
      </c>
      <c r="I471" s="184">
        <v>44328</v>
      </c>
      <c r="J471" t="s">
        <v>409</v>
      </c>
      <c r="K471">
        <v>60000</v>
      </c>
      <c r="L471" t="s">
        <v>259</v>
      </c>
    </row>
    <row r="472" spans="1:12" x14ac:dyDescent="0.4">
      <c r="A472" t="s">
        <v>165</v>
      </c>
      <c r="B472" t="s">
        <v>2</v>
      </c>
      <c r="C472" t="s">
        <v>305</v>
      </c>
      <c r="D472" t="s">
        <v>306</v>
      </c>
      <c r="E472">
        <v>20018902</v>
      </c>
      <c r="F472" t="s">
        <v>408</v>
      </c>
      <c r="G472">
        <v>598716</v>
      </c>
      <c r="H472" s="184">
        <v>44308</v>
      </c>
      <c r="I472" s="184">
        <v>44328</v>
      </c>
      <c r="J472" t="s">
        <v>409</v>
      </c>
      <c r="K472">
        <v>60000</v>
      </c>
      <c r="L472" t="s">
        <v>260</v>
      </c>
    </row>
    <row r="473" spans="1:12" x14ac:dyDescent="0.4">
      <c r="A473" t="s">
        <v>165</v>
      </c>
      <c r="B473" t="s">
        <v>2</v>
      </c>
      <c r="C473" t="s">
        <v>305</v>
      </c>
      <c r="D473" t="s">
        <v>306</v>
      </c>
      <c r="E473">
        <v>20018902</v>
      </c>
      <c r="F473" t="s">
        <v>408</v>
      </c>
      <c r="G473">
        <v>598716</v>
      </c>
      <c r="H473" s="184">
        <v>44308</v>
      </c>
      <c r="I473" s="184">
        <v>44328</v>
      </c>
      <c r="J473" t="s">
        <v>409</v>
      </c>
      <c r="K473">
        <v>60000</v>
      </c>
      <c r="L473" t="s">
        <v>261</v>
      </c>
    </row>
    <row r="474" spans="1:12" x14ac:dyDescent="0.4">
      <c r="A474" t="s">
        <v>165</v>
      </c>
      <c r="B474" t="s">
        <v>2</v>
      </c>
      <c r="C474" t="s">
        <v>305</v>
      </c>
      <c r="D474" t="s">
        <v>306</v>
      </c>
      <c r="E474">
        <v>20018902</v>
      </c>
      <c r="F474" t="s">
        <v>408</v>
      </c>
      <c r="G474">
        <v>598716</v>
      </c>
      <c r="H474" s="184">
        <v>44308</v>
      </c>
      <c r="I474" s="184">
        <v>44328</v>
      </c>
      <c r="J474" t="s">
        <v>409</v>
      </c>
      <c r="K474">
        <v>60000</v>
      </c>
      <c r="L474" t="s">
        <v>262</v>
      </c>
    </row>
    <row r="475" spans="1:12" x14ac:dyDescent="0.4">
      <c r="A475" t="s">
        <v>165</v>
      </c>
      <c r="B475" t="s">
        <v>2</v>
      </c>
      <c r="C475" t="s">
        <v>305</v>
      </c>
      <c r="D475" t="s">
        <v>306</v>
      </c>
      <c r="E475">
        <v>20018902</v>
      </c>
      <c r="F475" t="s">
        <v>408</v>
      </c>
      <c r="G475">
        <v>598716</v>
      </c>
      <c r="H475" s="184">
        <v>44308</v>
      </c>
      <c r="I475" s="184">
        <v>44328</v>
      </c>
      <c r="J475" t="s">
        <v>409</v>
      </c>
      <c r="K475">
        <v>60000</v>
      </c>
      <c r="L475" t="s">
        <v>263</v>
      </c>
    </row>
    <row r="476" spans="1:12" x14ac:dyDescent="0.4">
      <c r="A476" t="s">
        <v>165</v>
      </c>
      <c r="B476" t="s">
        <v>2</v>
      </c>
      <c r="C476" t="s">
        <v>305</v>
      </c>
      <c r="D476" t="s">
        <v>306</v>
      </c>
      <c r="E476">
        <v>20018908</v>
      </c>
      <c r="F476" t="s">
        <v>410</v>
      </c>
      <c r="G476">
        <v>594664</v>
      </c>
      <c r="H476" s="184">
        <v>44077</v>
      </c>
      <c r="I476" s="184">
        <v>44098</v>
      </c>
      <c r="J476" t="s">
        <v>411</v>
      </c>
      <c r="K476">
        <v>60000</v>
      </c>
      <c r="L476" t="s">
        <v>290</v>
      </c>
    </row>
    <row r="477" spans="1:12" x14ac:dyDescent="0.4">
      <c r="A477" t="s">
        <v>165</v>
      </c>
      <c r="B477" t="s">
        <v>2</v>
      </c>
      <c r="C477" t="s">
        <v>305</v>
      </c>
      <c r="D477" t="s">
        <v>306</v>
      </c>
      <c r="E477">
        <v>20018908</v>
      </c>
      <c r="F477" t="s">
        <v>410</v>
      </c>
      <c r="G477">
        <v>594664</v>
      </c>
      <c r="H477" s="184">
        <v>44077</v>
      </c>
      <c r="I477" s="184">
        <v>44098</v>
      </c>
      <c r="J477" t="s">
        <v>411</v>
      </c>
      <c r="K477">
        <v>60000</v>
      </c>
      <c r="L477" t="s">
        <v>291</v>
      </c>
    </row>
    <row r="478" spans="1:12" x14ac:dyDescent="0.4">
      <c r="A478" t="s">
        <v>165</v>
      </c>
      <c r="B478" t="s">
        <v>2</v>
      </c>
      <c r="C478" t="s">
        <v>305</v>
      </c>
      <c r="D478" t="s">
        <v>306</v>
      </c>
      <c r="E478">
        <v>20018908</v>
      </c>
      <c r="F478" t="s">
        <v>410</v>
      </c>
      <c r="G478">
        <v>594664</v>
      </c>
      <c r="H478" s="184">
        <v>44077</v>
      </c>
      <c r="I478" s="184">
        <v>44098</v>
      </c>
      <c r="J478" t="s">
        <v>411</v>
      </c>
      <c r="K478">
        <v>60000</v>
      </c>
      <c r="L478" t="s">
        <v>292</v>
      </c>
    </row>
    <row r="479" spans="1:12" x14ac:dyDescent="0.4">
      <c r="A479" t="s">
        <v>165</v>
      </c>
      <c r="B479" t="s">
        <v>2</v>
      </c>
      <c r="C479" t="s">
        <v>305</v>
      </c>
      <c r="D479" t="s">
        <v>306</v>
      </c>
      <c r="E479">
        <v>20018908</v>
      </c>
      <c r="F479" t="s">
        <v>410</v>
      </c>
      <c r="G479">
        <v>594664</v>
      </c>
      <c r="H479" s="184">
        <v>44077</v>
      </c>
      <c r="I479" s="184">
        <v>44098</v>
      </c>
      <c r="J479" t="s">
        <v>411</v>
      </c>
      <c r="K479">
        <v>60000</v>
      </c>
      <c r="L479" t="s">
        <v>293</v>
      </c>
    </row>
    <row r="480" spans="1:12" x14ac:dyDescent="0.4">
      <c r="A480" t="s">
        <v>165</v>
      </c>
      <c r="B480" t="s">
        <v>2</v>
      </c>
      <c r="C480" t="s">
        <v>305</v>
      </c>
      <c r="D480" t="s">
        <v>306</v>
      </c>
      <c r="E480">
        <v>20018908</v>
      </c>
      <c r="F480" t="s">
        <v>410</v>
      </c>
      <c r="G480">
        <v>594664</v>
      </c>
      <c r="H480" s="184">
        <v>44077</v>
      </c>
      <c r="I480" s="184">
        <v>44098</v>
      </c>
      <c r="J480" t="s">
        <v>411</v>
      </c>
      <c r="K480">
        <v>60000</v>
      </c>
      <c r="L480" t="s">
        <v>294</v>
      </c>
    </row>
    <row r="481" spans="1:12" x14ac:dyDescent="0.4">
      <c r="A481" t="s">
        <v>165</v>
      </c>
      <c r="B481" t="s">
        <v>2</v>
      </c>
      <c r="C481" t="s">
        <v>305</v>
      </c>
      <c r="D481" t="s">
        <v>306</v>
      </c>
      <c r="E481">
        <v>20018908</v>
      </c>
      <c r="F481" t="s">
        <v>410</v>
      </c>
      <c r="G481">
        <v>594664</v>
      </c>
      <c r="H481" s="184">
        <v>44077</v>
      </c>
      <c r="I481" s="184">
        <v>44098</v>
      </c>
      <c r="J481" t="s">
        <v>411</v>
      </c>
      <c r="K481">
        <v>60000</v>
      </c>
      <c r="L481" t="s">
        <v>295</v>
      </c>
    </row>
    <row r="482" spans="1:12" x14ac:dyDescent="0.4">
      <c r="A482" t="s">
        <v>165</v>
      </c>
      <c r="B482" t="s">
        <v>2</v>
      </c>
      <c r="C482" t="s">
        <v>305</v>
      </c>
      <c r="D482" t="s">
        <v>306</v>
      </c>
      <c r="E482">
        <v>20018917</v>
      </c>
      <c r="F482" t="s">
        <v>412</v>
      </c>
      <c r="G482">
        <v>594356</v>
      </c>
      <c r="H482" s="184">
        <v>44062</v>
      </c>
      <c r="I482" s="184">
        <v>44064</v>
      </c>
      <c r="J482" t="s">
        <v>413</v>
      </c>
      <c r="K482">
        <v>60000</v>
      </c>
      <c r="L482" t="s">
        <v>203</v>
      </c>
    </row>
    <row r="483" spans="1:12" x14ac:dyDescent="0.4">
      <c r="A483" t="s">
        <v>165</v>
      </c>
      <c r="B483" t="s">
        <v>2</v>
      </c>
      <c r="C483" t="s">
        <v>305</v>
      </c>
      <c r="D483" t="s">
        <v>306</v>
      </c>
      <c r="E483">
        <v>20018917</v>
      </c>
      <c r="F483" t="s">
        <v>412</v>
      </c>
      <c r="G483">
        <v>594356</v>
      </c>
      <c r="H483" s="184">
        <v>44062</v>
      </c>
      <c r="I483" s="184">
        <v>44064</v>
      </c>
      <c r="J483" t="s">
        <v>413</v>
      </c>
      <c r="K483">
        <v>60000</v>
      </c>
      <c r="L483" t="s">
        <v>204</v>
      </c>
    </row>
    <row r="484" spans="1:12" x14ac:dyDescent="0.4">
      <c r="A484" t="s">
        <v>165</v>
      </c>
      <c r="B484" t="s">
        <v>2</v>
      </c>
      <c r="C484" t="s">
        <v>305</v>
      </c>
      <c r="D484" t="s">
        <v>306</v>
      </c>
      <c r="E484">
        <v>20018917</v>
      </c>
      <c r="F484" t="s">
        <v>412</v>
      </c>
      <c r="G484">
        <v>594356</v>
      </c>
      <c r="H484" s="184">
        <v>44062</v>
      </c>
      <c r="I484" s="184">
        <v>44064</v>
      </c>
      <c r="J484" t="s">
        <v>413</v>
      </c>
      <c r="K484">
        <v>60000</v>
      </c>
      <c r="L484" t="s">
        <v>205</v>
      </c>
    </row>
    <row r="485" spans="1:12" x14ac:dyDescent="0.4">
      <c r="A485" t="s">
        <v>165</v>
      </c>
      <c r="B485" t="s">
        <v>2</v>
      </c>
      <c r="C485" t="s">
        <v>305</v>
      </c>
      <c r="D485" t="s">
        <v>306</v>
      </c>
      <c r="E485">
        <v>20018917</v>
      </c>
      <c r="F485" t="s">
        <v>412</v>
      </c>
      <c r="G485">
        <v>594356</v>
      </c>
      <c r="H485" s="184">
        <v>44062</v>
      </c>
      <c r="I485" s="184">
        <v>44064</v>
      </c>
      <c r="J485" t="s">
        <v>413</v>
      </c>
      <c r="K485">
        <v>60000</v>
      </c>
      <c r="L485" t="s">
        <v>206</v>
      </c>
    </row>
    <row r="486" spans="1:12" x14ac:dyDescent="0.4">
      <c r="A486" t="s">
        <v>165</v>
      </c>
      <c r="B486" t="s">
        <v>2</v>
      </c>
      <c r="C486" t="s">
        <v>305</v>
      </c>
      <c r="D486" t="s">
        <v>306</v>
      </c>
      <c r="E486">
        <v>20018917</v>
      </c>
      <c r="F486" t="s">
        <v>412</v>
      </c>
      <c r="G486">
        <v>594356</v>
      </c>
      <c r="H486" s="184">
        <v>44062</v>
      </c>
      <c r="I486" s="184">
        <v>44064</v>
      </c>
      <c r="J486" t="s">
        <v>413</v>
      </c>
      <c r="K486">
        <v>60000</v>
      </c>
      <c r="L486" t="s">
        <v>207</v>
      </c>
    </row>
    <row r="487" spans="1:12" x14ac:dyDescent="0.4">
      <c r="A487" t="s">
        <v>165</v>
      </c>
      <c r="B487" t="s">
        <v>2</v>
      </c>
      <c r="C487" t="s">
        <v>305</v>
      </c>
      <c r="D487" t="s">
        <v>306</v>
      </c>
      <c r="E487">
        <v>20018917</v>
      </c>
      <c r="F487" t="s">
        <v>412</v>
      </c>
      <c r="G487">
        <v>594356</v>
      </c>
      <c r="H487" s="184">
        <v>44062</v>
      </c>
      <c r="I487" s="184">
        <v>44064</v>
      </c>
      <c r="J487" t="s">
        <v>413</v>
      </c>
      <c r="K487">
        <v>60000</v>
      </c>
      <c r="L487" t="s">
        <v>208</v>
      </c>
    </row>
    <row r="488" spans="1:12" x14ac:dyDescent="0.4">
      <c r="A488" t="s">
        <v>165</v>
      </c>
      <c r="B488" t="s">
        <v>2</v>
      </c>
      <c r="C488" t="s">
        <v>305</v>
      </c>
      <c r="D488" t="s">
        <v>306</v>
      </c>
      <c r="E488">
        <v>20019013</v>
      </c>
      <c r="F488" t="s">
        <v>414</v>
      </c>
      <c r="G488">
        <v>597433</v>
      </c>
      <c r="H488" s="184">
        <v>44287</v>
      </c>
      <c r="I488" s="184">
        <v>44299</v>
      </c>
      <c r="J488" t="s">
        <v>415</v>
      </c>
      <c r="K488">
        <v>60000</v>
      </c>
      <c r="L488" t="s">
        <v>311</v>
      </c>
    </row>
    <row r="489" spans="1:12" x14ac:dyDescent="0.4">
      <c r="A489" t="s">
        <v>165</v>
      </c>
      <c r="B489" t="s">
        <v>2</v>
      </c>
      <c r="C489" t="s">
        <v>305</v>
      </c>
      <c r="D489" t="s">
        <v>306</v>
      </c>
      <c r="E489">
        <v>20019013</v>
      </c>
      <c r="F489" t="s">
        <v>414</v>
      </c>
      <c r="G489">
        <v>597433</v>
      </c>
      <c r="H489" s="184">
        <v>44287</v>
      </c>
      <c r="I489" s="184">
        <v>44299</v>
      </c>
      <c r="J489" t="s">
        <v>415</v>
      </c>
      <c r="K489">
        <v>60000</v>
      </c>
      <c r="L489" t="s">
        <v>312</v>
      </c>
    </row>
    <row r="490" spans="1:12" x14ac:dyDescent="0.4">
      <c r="A490" t="s">
        <v>165</v>
      </c>
      <c r="B490" t="s">
        <v>2</v>
      </c>
      <c r="C490" t="s">
        <v>305</v>
      </c>
      <c r="D490" t="s">
        <v>306</v>
      </c>
      <c r="E490">
        <v>20019013</v>
      </c>
      <c r="F490" t="s">
        <v>414</v>
      </c>
      <c r="G490">
        <v>597433</v>
      </c>
      <c r="H490" s="184">
        <v>44287</v>
      </c>
      <c r="I490" s="184">
        <v>44299</v>
      </c>
      <c r="J490" t="s">
        <v>415</v>
      </c>
      <c r="K490">
        <v>60000</v>
      </c>
      <c r="L490" t="s">
        <v>313</v>
      </c>
    </row>
    <row r="491" spans="1:12" x14ac:dyDescent="0.4">
      <c r="A491" t="s">
        <v>165</v>
      </c>
      <c r="B491" t="s">
        <v>2</v>
      </c>
      <c r="C491" t="s">
        <v>305</v>
      </c>
      <c r="D491" t="s">
        <v>306</v>
      </c>
      <c r="E491">
        <v>20019013</v>
      </c>
      <c r="F491" t="s">
        <v>414</v>
      </c>
      <c r="G491">
        <v>597433</v>
      </c>
      <c r="H491" s="184">
        <v>44287</v>
      </c>
      <c r="I491" s="184">
        <v>44299</v>
      </c>
      <c r="J491" t="s">
        <v>415</v>
      </c>
      <c r="K491">
        <v>60000</v>
      </c>
      <c r="L491" t="s">
        <v>314</v>
      </c>
    </row>
    <row r="492" spans="1:12" x14ac:dyDescent="0.4">
      <c r="A492" t="s">
        <v>165</v>
      </c>
      <c r="B492" t="s">
        <v>2</v>
      </c>
      <c r="C492" t="s">
        <v>305</v>
      </c>
      <c r="D492" t="s">
        <v>306</v>
      </c>
      <c r="E492">
        <v>20019013</v>
      </c>
      <c r="F492" t="s">
        <v>414</v>
      </c>
      <c r="G492">
        <v>597433</v>
      </c>
      <c r="H492" s="184">
        <v>44287</v>
      </c>
      <c r="I492" s="184">
        <v>44299</v>
      </c>
      <c r="J492" t="s">
        <v>415</v>
      </c>
      <c r="K492">
        <v>60000</v>
      </c>
      <c r="L492" t="s">
        <v>315</v>
      </c>
    </row>
    <row r="493" spans="1:12" x14ac:dyDescent="0.4">
      <c r="A493" t="s">
        <v>165</v>
      </c>
      <c r="B493" t="s">
        <v>2</v>
      </c>
      <c r="C493" t="s">
        <v>305</v>
      </c>
      <c r="D493" t="s">
        <v>306</v>
      </c>
      <c r="E493">
        <v>20019013</v>
      </c>
      <c r="F493" t="s">
        <v>414</v>
      </c>
      <c r="G493">
        <v>597433</v>
      </c>
      <c r="H493" s="184">
        <v>44287</v>
      </c>
      <c r="I493" s="184">
        <v>44299</v>
      </c>
      <c r="J493" t="s">
        <v>415</v>
      </c>
      <c r="K493">
        <v>60000</v>
      </c>
      <c r="L493" t="s">
        <v>316</v>
      </c>
    </row>
    <row r="494" spans="1:12" x14ac:dyDescent="0.4">
      <c r="A494" t="s">
        <v>165</v>
      </c>
      <c r="B494" t="s">
        <v>2</v>
      </c>
      <c r="C494" t="s">
        <v>305</v>
      </c>
      <c r="D494" t="s">
        <v>306</v>
      </c>
      <c r="E494">
        <v>20019017</v>
      </c>
      <c r="F494" t="s">
        <v>416</v>
      </c>
      <c r="G494">
        <v>594901</v>
      </c>
      <c r="H494" s="184">
        <v>44092</v>
      </c>
      <c r="I494" s="184">
        <v>44105</v>
      </c>
      <c r="J494" t="s">
        <v>417</v>
      </c>
      <c r="K494">
        <v>60000</v>
      </c>
      <c r="L494" t="s">
        <v>250</v>
      </c>
    </row>
    <row r="495" spans="1:12" x14ac:dyDescent="0.4">
      <c r="A495" t="s">
        <v>165</v>
      </c>
      <c r="B495" t="s">
        <v>2</v>
      </c>
      <c r="C495" t="s">
        <v>305</v>
      </c>
      <c r="D495" t="s">
        <v>306</v>
      </c>
      <c r="E495">
        <v>20019017</v>
      </c>
      <c r="F495" t="s">
        <v>416</v>
      </c>
      <c r="G495">
        <v>594901</v>
      </c>
      <c r="H495" s="184">
        <v>44092</v>
      </c>
      <c r="I495" s="184">
        <v>44105</v>
      </c>
      <c r="J495" t="s">
        <v>417</v>
      </c>
      <c r="K495">
        <v>60000</v>
      </c>
      <c r="L495" t="s">
        <v>251</v>
      </c>
    </row>
    <row r="496" spans="1:12" x14ac:dyDescent="0.4">
      <c r="A496" t="s">
        <v>165</v>
      </c>
      <c r="B496" t="s">
        <v>2</v>
      </c>
      <c r="C496" t="s">
        <v>305</v>
      </c>
      <c r="D496" t="s">
        <v>306</v>
      </c>
      <c r="E496">
        <v>20019017</v>
      </c>
      <c r="F496" t="s">
        <v>416</v>
      </c>
      <c r="G496">
        <v>594901</v>
      </c>
      <c r="H496" s="184">
        <v>44092</v>
      </c>
      <c r="I496" s="184">
        <v>44105</v>
      </c>
      <c r="J496" t="s">
        <v>417</v>
      </c>
      <c r="K496">
        <v>60000</v>
      </c>
      <c r="L496" t="s">
        <v>252</v>
      </c>
    </row>
    <row r="497" spans="1:12" x14ac:dyDescent="0.4">
      <c r="A497" t="s">
        <v>165</v>
      </c>
      <c r="B497" t="s">
        <v>2</v>
      </c>
      <c r="C497" t="s">
        <v>305</v>
      </c>
      <c r="D497" t="s">
        <v>306</v>
      </c>
      <c r="E497">
        <v>20019017</v>
      </c>
      <c r="F497" t="s">
        <v>416</v>
      </c>
      <c r="G497">
        <v>594901</v>
      </c>
      <c r="H497" s="184">
        <v>44092</v>
      </c>
      <c r="I497" s="184">
        <v>44105</v>
      </c>
      <c r="J497" t="s">
        <v>417</v>
      </c>
      <c r="K497">
        <v>60000</v>
      </c>
      <c r="L497" t="s">
        <v>253</v>
      </c>
    </row>
    <row r="498" spans="1:12" x14ac:dyDescent="0.4">
      <c r="A498" t="s">
        <v>165</v>
      </c>
      <c r="B498" t="s">
        <v>2</v>
      </c>
      <c r="C498" t="s">
        <v>305</v>
      </c>
      <c r="D498" t="s">
        <v>306</v>
      </c>
      <c r="E498">
        <v>20019017</v>
      </c>
      <c r="F498" t="s">
        <v>416</v>
      </c>
      <c r="G498">
        <v>594901</v>
      </c>
      <c r="H498" s="184">
        <v>44092</v>
      </c>
      <c r="I498" s="184">
        <v>44105</v>
      </c>
      <c r="J498" t="s">
        <v>417</v>
      </c>
      <c r="K498">
        <v>60000</v>
      </c>
      <c r="L498" t="s">
        <v>254</v>
      </c>
    </row>
    <row r="499" spans="1:12" x14ac:dyDescent="0.4">
      <c r="A499" t="s">
        <v>165</v>
      </c>
      <c r="B499" t="s">
        <v>2</v>
      </c>
      <c r="C499" t="s">
        <v>305</v>
      </c>
      <c r="D499" t="s">
        <v>306</v>
      </c>
      <c r="E499">
        <v>20019017</v>
      </c>
      <c r="F499" t="s">
        <v>416</v>
      </c>
      <c r="G499">
        <v>594901</v>
      </c>
      <c r="H499" s="184">
        <v>44092</v>
      </c>
      <c r="I499" s="184">
        <v>44105</v>
      </c>
      <c r="J499" t="s">
        <v>417</v>
      </c>
      <c r="K499">
        <v>60000</v>
      </c>
      <c r="L499" t="s">
        <v>255</v>
      </c>
    </row>
    <row r="500" spans="1:12" x14ac:dyDescent="0.4">
      <c r="A500" t="s">
        <v>165</v>
      </c>
      <c r="B500" t="s">
        <v>2</v>
      </c>
      <c r="C500" t="s">
        <v>305</v>
      </c>
      <c r="D500" t="s">
        <v>306</v>
      </c>
      <c r="E500">
        <v>20019029</v>
      </c>
      <c r="F500" t="s">
        <v>418</v>
      </c>
      <c r="G500">
        <v>594953</v>
      </c>
      <c r="H500" s="184">
        <v>44105</v>
      </c>
      <c r="I500" s="184">
        <v>44109</v>
      </c>
      <c r="J500" t="s">
        <v>419</v>
      </c>
      <c r="K500">
        <v>60000</v>
      </c>
      <c r="L500" t="s">
        <v>250</v>
      </c>
    </row>
    <row r="501" spans="1:12" x14ac:dyDescent="0.4">
      <c r="A501" t="s">
        <v>165</v>
      </c>
      <c r="B501" t="s">
        <v>2</v>
      </c>
      <c r="C501" t="s">
        <v>305</v>
      </c>
      <c r="D501" t="s">
        <v>306</v>
      </c>
      <c r="E501">
        <v>20019029</v>
      </c>
      <c r="F501" t="s">
        <v>418</v>
      </c>
      <c r="G501">
        <v>594953</v>
      </c>
      <c r="H501" s="184">
        <v>44105</v>
      </c>
      <c r="I501" s="184">
        <v>44109</v>
      </c>
      <c r="J501" t="s">
        <v>419</v>
      </c>
      <c r="K501">
        <v>60000</v>
      </c>
      <c r="L501" t="s">
        <v>251</v>
      </c>
    </row>
    <row r="502" spans="1:12" x14ac:dyDescent="0.4">
      <c r="A502" t="s">
        <v>165</v>
      </c>
      <c r="B502" t="s">
        <v>2</v>
      </c>
      <c r="C502" t="s">
        <v>305</v>
      </c>
      <c r="D502" t="s">
        <v>306</v>
      </c>
      <c r="E502">
        <v>20019029</v>
      </c>
      <c r="F502" t="s">
        <v>418</v>
      </c>
      <c r="G502">
        <v>594953</v>
      </c>
      <c r="H502" s="184">
        <v>44105</v>
      </c>
      <c r="I502" s="184">
        <v>44109</v>
      </c>
      <c r="J502" t="s">
        <v>419</v>
      </c>
      <c r="K502">
        <v>60000</v>
      </c>
      <c r="L502" t="s">
        <v>252</v>
      </c>
    </row>
    <row r="503" spans="1:12" x14ac:dyDescent="0.4">
      <c r="A503" t="s">
        <v>165</v>
      </c>
      <c r="B503" t="s">
        <v>2</v>
      </c>
      <c r="C503" t="s">
        <v>305</v>
      </c>
      <c r="D503" t="s">
        <v>306</v>
      </c>
      <c r="E503">
        <v>20019029</v>
      </c>
      <c r="F503" t="s">
        <v>418</v>
      </c>
      <c r="G503">
        <v>594953</v>
      </c>
      <c r="H503" s="184">
        <v>44105</v>
      </c>
      <c r="I503" s="184">
        <v>44109</v>
      </c>
      <c r="J503" t="s">
        <v>419</v>
      </c>
      <c r="K503">
        <v>60000</v>
      </c>
      <c r="L503" t="s">
        <v>253</v>
      </c>
    </row>
    <row r="504" spans="1:12" x14ac:dyDescent="0.4">
      <c r="A504" t="s">
        <v>165</v>
      </c>
      <c r="B504" t="s">
        <v>2</v>
      </c>
      <c r="C504" t="s">
        <v>305</v>
      </c>
      <c r="D504" t="s">
        <v>306</v>
      </c>
      <c r="E504">
        <v>20019029</v>
      </c>
      <c r="F504" t="s">
        <v>418</v>
      </c>
      <c r="G504">
        <v>594953</v>
      </c>
      <c r="H504" s="184">
        <v>44105</v>
      </c>
      <c r="I504" s="184">
        <v>44109</v>
      </c>
      <c r="J504" t="s">
        <v>419</v>
      </c>
      <c r="K504">
        <v>60000</v>
      </c>
      <c r="L504" t="s">
        <v>254</v>
      </c>
    </row>
    <row r="505" spans="1:12" x14ac:dyDescent="0.4">
      <c r="A505" t="s">
        <v>165</v>
      </c>
      <c r="B505" t="s">
        <v>2</v>
      </c>
      <c r="C505" t="s">
        <v>305</v>
      </c>
      <c r="D505" t="s">
        <v>306</v>
      </c>
      <c r="E505">
        <v>20019029</v>
      </c>
      <c r="F505" t="s">
        <v>418</v>
      </c>
      <c r="G505">
        <v>594953</v>
      </c>
      <c r="H505" s="184">
        <v>44105</v>
      </c>
      <c r="I505" s="184">
        <v>44109</v>
      </c>
      <c r="J505" t="s">
        <v>419</v>
      </c>
      <c r="K505">
        <v>60000</v>
      </c>
      <c r="L505" t="s">
        <v>255</v>
      </c>
    </row>
    <row r="506" spans="1:12" x14ac:dyDescent="0.4">
      <c r="A506" t="s">
        <v>165</v>
      </c>
      <c r="B506" t="s">
        <v>2</v>
      </c>
      <c r="C506" t="s">
        <v>305</v>
      </c>
      <c r="D506" t="s">
        <v>306</v>
      </c>
      <c r="E506">
        <v>20019108</v>
      </c>
      <c r="F506" t="s">
        <v>420</v>
      </c>
      <c r="G506">
        <v>595865</v>
      </c>
      <c r="H506" s="184">
        <v>44242</v>
      </c>
      <c r="I506" s="184">
        <v>44252</v>
      </c>
      <c r="J506" t="s">
        <v>360</v>
      </c>
      <c r="K506">
        <v>60000</v>
      </c>
      <c r="L506" t="s">
        <v>230</v>
      </c>
    </row>
    <row r="507" spans="1:12" x14ac:dyDescent="0.4">
      <c r="A507" t="s">
        <v>165</v>
      </c>
      <c r="B507" t="s">
        <v>2</v>
      </c>
      <c r="C507" t="s">
        <v>305</v>
      </c>
      <c r="D507" t="s">
        <v>306</v>
      </c>
      <c r="E507">
        <v>20019108</v>
      </c>
      <c r="F507" t="s">
        <v>420</v>
      </c>
      <c r="G507">
        <v>595865</v>
      </c>
      <c r="H507" s="184">
        <v>44242</v>
      </c>
      <c r="I507" s="184">
        <v>44252</v>
      </c>
      <c r="J507" t="s">
        <v>360</v>
      </c>
      <c r="K507">
        <v>60000</v>
      </c>
      <c r="L507" t="s">
        <v>231</v>
      </c>
    </row>
    <row r="508" spans="1:12" x14ac:dyDescent="0.4">
      <c r="A508" t="s">
        <v>165</v>
      </c>
      <c r="B508" t="s">
        <v>2</v>
      </c>
      <c r="C508" t="s">
        <v>305</v>
      </c>
      <c r="D508" t="s">
        <v>306</v>
      </c>
      <c r="E508">
        <v>20019108</v>
      </c>
      <c r="F508" t="s">
        <v>420</v>
      </c>
      <c r="G508">
        <v>595865</v>
      </c>
      <c r="H508" s="184">
        <v>44242</v>
      </c>
      <c r="I508" s="184">
        <v>44252</v>
      </c>
      <c r="J508" t="s">
        <v>360</v>
      </c>
      <c r="K508">
        <v>60000</v>
      </c>
      <c r="L508" t="s">
        <v>232</v>
      </c>
    </row>
    <row r="509" spans="1:12" x14ac:dyDescent="0.4">
      <c r="A509" t="s">
        <v>165</v>
      </c>
      <c r="B509" t="s">
        <v>2</v>
      </c>
      <c r="C509" t="s">
        <v>305</v>
      </c>
      <c r="D509" t="s">
        <v>306</v>
      </c>
      <c r="E509">
        <v>20019108</v>
      </c>
      <c r="F509" t="s">
        <v>420</v>
      </c>
      <c r="G509">
        <v>595865</v>
      </c>
      <c r="H509" s="184">
        <v>44242</v>
      </c>
      <c r="I509" s="184">
        <v>44252</v>
      </c>
      <c r="J509" t="s">
        <v>360</v>
      </c>
      <c r="K509">
        <v>60000</v>
      </c>
      <c r="L509" t="s">
        <v>233</v>
      </c>
    </row>
    <row r="510" spans="1:12" x14ac:dyDescent="0.4">
      <c r="A510" t="s">
        <v>165</v>
      </c>
      <c r="B510" t="s">
        <v>2</v>
      </c>
      <c r="C510" t="s">
        <v>305</v>
      </c>
      <c r="D510" t="s">
        <v>306</v>
      </c>
      <c r="E510">
        <v>20019108</v>
      </c>
      <c r="F510" t="s">
        <v>420</v>
      </c>
      <c r="G510">
        <v>595865</v>
      </c>
      <c r="H510" s="184">
        <v>44242</v>
      </c>
      <c r="I510" s="184">
        <v>44252</v>
      </c>
      <c r="J510" t="s">
        <v>360</v>
      </c>
      <c r="K510">
        <v>60000</v>
      </c>
      <c r="L510" t="s">
        <v>234</v>
      </c>
    </row>
    <row r="511" spans="1:12" x14ac:dyDescent="0.4">
      <c r="A511" t="s">
        <v>165</v>
      </c>
      <c r="B511" t="s">
        <v>2</v>
      </c>
      <c r="C511" t="s">
        <v>305</v>
      </c>
      <c r="D511" t="s">
        <v>306</v>
      </c>
      <c r="E511">
        <v>20019108</v>
      </c>
      <c r="F511" t="s">
        <v>420</v>
      </c>
      <c r="G511">
        <v>595865</v>
      </c>
      <c r="H511" s="184">
        <v>44242</v>
      </c>
      <c r="I511" s="184">
        <v>44252</v>
      </c>
      <c r="J511" t="s">
        <v>360</v>
      </c>
      <c r="K511">
        <v>60000</v>
      </c>
      <c r="L511" t="s">
        <v>235</v>
      </c>
    </row>
    <row r="512" spans="1:12" x14ac:dyDescent="0.4">
      <c r="A512" t="s">
        <v>165</v>
      </c>
      <c r="B512" t="s">
        <v>2</v>
      </c>
      <c r="C512" t="s">
        <v>305</v>
      </c>
      <c r="D512" t="s">
        <v>306</v>
      </c>
      <c r="E512">
        <v>20019205</v>
      </c>
      <c r="F512" t="s">
        <v>421</v>
      </c>
      <c r="G512">
        <v>596095</v>
      </c>
      <c r="H512" s="184">
        <v>44249</v>
      </c>
      <c r="I512" s="184">
        <v>44260</v>
      </c>
      <c r="J512" t="s">
        <v>342</v>
      </c>
      <c r="K512">
        <v>60000</v>
      </c>
      <c r="L512" t="s">
        <v>242</v>
      </c>
    </row>
    <row r="513" spans="1:12" x14ac:dyDescent="0.4">
      <c r="A513" t="s">
        <v>165</v>
      </c>
      <c r="B513" t="s">
        <v>2</v>
      </c>
      <c r="C513" t="s">
        <v>305</v>
      </c>
      <c r="D513" t="s">
        <v>306</v>
      </c>
      <c r="E513">
        <v>20019205</v>
      </c>
      <c r="F513" t="s">
        <v>421</v>
      </c>
      <c r="G513">
        <v>596095</v>
      </c>
      <c r="H513" s="184">
        <v>44249</v>
      </c>
      <c r="I513" s="184">
        <v>44260</v>
      </c>
      <c r="J513" t="s">
        <v>342</v>
      </c>
      <c r="K513">
        <v>60000</v>
      </c>
      <c r="L513" t="s">
        <v>243</v>
      </c>
    </row>
    <row r="514" spans="1:12" x14ac:dyDescent="0.4">
      <c r="A514" t="s">
        <v>165</v>
      </c>
      <c r="B514" t="s">
        <v>2</v>
      </c>
      <c r="C514" t="s">
        <v>305</v>
      </c>
      <c r="D514" t="s">
        <v>306</v>
      </c>
      <c r="E514">
        <v>20019205</v>
      </c>
      <c r="F514" t="s">
        <v>421</v>
      </c>
      <c r="G514">
        <v>596095</v>
      </c>
      <c r="H514" s="184">
        <v>44249</v>
      </c>
      <c r="I514" s="184">
        <v>44260</v>
      </c>
      <c r="J514" t="s">
        <v>342</v>
      </c>
      <c r="K514">
        <v>60000</v>
      </c>
      <c r="L514" t="s">
        <v>244</v>
      </c>
    </row>
    <row r="515" spans="1:12" x14ac:dyDescent="0.4">
      <c r="A515" t="s">
        <v>165</v>
      </c>
      <c r="B515" t="s">
        <v>2</v>
      </c>
      <c r="C515" t="s">
        <v>305</v>
      </c>
      <c r="D515" t="s">
        <v>306</v>
      </c>
      <c r="E515">
        <v>20019205</v>
      </c>
      <c r="F515" t="s">
        <v>421</v>
      </c>
      <c r="G515">
        <v>596095</v>
      </c>
      <c r="H515" s="184">
        <v>44249</v>
      </c>
      <c r="I515" s="184">
        <v>44260</v>
      </c>
      <c r="J515" t="s">
        <v>342</v>
      </c>
      <c r="K515">
        <v>60000</v>
      </c>
      <c r="L515" t="s">
        <v>245</v>
      </c>
    </row>
    <row r="516" spans="1:12" x14ac:dyDescent="0.4">
      <c r="A516" t="s">
        <v>165</v>
      </c>
      <c r="B516" t="s">
        <v>2</v>
      </c>
      <c r="C516" t="s">
        <v>305</v>
      </c>
      <c r="D516" t="s">
        <v>306</v>
      </c>
      <c r="E516">
        <v>20019205</v>
      </c>
      <c r="F516" t="s">
        <v>421</v>
      </c>
      <c r="G516">
        <v>596095</v>
      </c>
      <c r="H516" s="184">
        <v>44249</v>
      </c>
      <c r="I516" s="184">
        <v>44260</v>
      </c>
      <c r="J516" t="s">
        <v>342</v>
      </c>
      <c r="K516">
        <v>60000</v>
      </c>
      <c r="L516" t="s">
        <v>246</v>
      </c>
    </row>
    <row r="517" spans="1:12" x14ac:dyDescent="0.4">
      <c r="A517" t="s">
        <v>165</v>
      </c>
      <c r="B517" t="s">
        <v>2</v>
      </c>
      <c r="C517" t="s">
        <v>305</v>
      </c>
      <c r="D517" t="s">
        <v>306</v>
      </c>
      <c r="E517">
        <v>20019205</v>
      </c>
      <c r="F517" t="s">
        <v>421</v>
      </c>
      <c r="G517">
        <v>596095</v>
      </c>
      <c r="H517" s="184">
        <v>44249</v>
      </c>
      <c r="I517" s="184">
        <v>44260</v>
      </c>
      <c r="J517" t="s">
        <v>342</v>
      </c>
      <c r="K517">
        <v>60000</v>
      </c>
      <c r="L517" t="s">
        <v>247</v>
      </c>
    </row>
    <row r="518" spans="1:12" x14ac:dyDescent="0.4">
      <c r="A518" t="s">
        <v>165</v>
      </c>
      <c r="B518" t="s">
        <v>2</v>
      </c>
      <c r="C518" t="s">
        <v>305</v>
      </c>
      <c r="D518" t="s">
        <v>306</v>
      </c>
      <c r="E518">
        <v>20019322</v>
      </c>
      <c r="F518" t="s">
        <v>422</v>
      </c>
      <c r="G518">
        <v>597580</v>
      </c>
      <c r="H518" s="184">
        <v>44231</v>
      </c>
      <c r="I518" s="184">
        <v>44235</v>
      </c>
      <c r="J518" t="s">
        <v>423</v>
      </c>
      <c r="K518">
        <v>60000</v>
      </c>
      <c r="L518" t="s">
        <v>230</v>
      </c>
    </row>
    <row r="519" spans="1:12" x14ac:dyDescent="0.4">
      <c r="A519" t="s">
        <v>165</v>
      </c>
      <c r="B519" t="s">
        <v>2</v>
      </c>
      <c r="C519" t="s">
        <v>305</v>
      </c>
      <c r="D519" t="s">
        <v>306</v>
      </c>
      <c r="E519">
        <v>20019322</v>
      </c>
      <c r="F519" t="s">
        <v>422</v>
      </c>
      <c r="G519">
        <v>597580</v>
      </c>
      <c r="H519" s="184">
        <v>44231</v>
      </c>
      <c r="I519" s="184">
        <v>44235</v>
      </c>
      <c r="J519" t="s">
        <v>423</v>
      </c>
      <c r="K519">
        <v>60000</v>
      </c>
      <c r="L519" t="s">
        <v>231</v>
      </c>
    </row>
    <row r="520" spans="1:12" x14ac:dyDescent="0.4">
      <c r="A520" t="s">
        <v>165</v>
      </c>
      <c r="B520" t="s">
        <v>2</v>
      </c>
      <c r="C520" t="s">
        <v>305</v>
      </c>
      <c r="D520" t="s">
        <v>306</v>
      </c>
      <c r="E520">
        <v>20019322</v>
      </c>
      <c r="F520" t="s">
        <v>422</v>
      </c>
      <c r="G520">
        <v>597580</v>
      </c>
      <c r="H520" s="184">
        <v>44231</v>
      </c>
      <c r="I520" s="184">
        <v>44235</v>
      </c>
      <c r="J520" t="s">
        <v>423</v>
      </c>
      <c r="K520">
        <v>60000</v>
      </c>
      <c r="L520" t="s">
        <v>232</v>
      </c>
    </row>
    <row r="521" spans="1:12" x14ac:dyDescent="0.4">
      <c r="A521" t="s">
        <v>165</v>
      </c>
      <c r="B521" t="s">
        <v>2</v>
      </c>
      <c r="C521" t="s">
        <v>305</v>
      </c>
      <c r="D521" t="s">
        <v>306</v>
      </c>
      <c r="E521">
        <v>20019322</v>
      </c>
      <c r="F521" t="s">
        <v>422</v>
      </c>
      <c r="G521">
        <v>597580</v>
      </c>
      <c r="H521" s="184">
        <v>44231</v>
      </c>
      <c r="I521" s="184">
        <v>44235</v>
      </c>
      <c r="J521" t="s">
        <v>423</v>
      </c>
      <c r="K521">
        <v>60000</v>
      </c>
      <c r="L521" t="s">
        <v>233</v>
      </c>
    </row>
    <row r="522" spans="1:12" x14ac:dyDescent="0.4">
      <c r="A522" t="s">
        <v>165</v>
      </c>
      <c r="B522" t="s">
        <v>2</v>
      </c>
      <c r="C522" t="s">
        <v>305</v>
      </c>
      <c r="D522" t="s">
        <v>306</v>
      </c>
      <c r="E522">
        <v>20019322</v>
      </c>
      <c r="F522" t="s">
        <v>422</v>
      </c>
      <c r="G522">
        <v>597580</v>
      </c>
      <c r="H522" s="184">
        <v>44231</v>
      </c>
      <c r="I522" s="184">
        <v>44235</v>
      </c>
      <c r="J522" t="s">
        <v>423</v>
      </c>
      <c r="K522">
        <v>60000</v>
      </c>
      <c r="L522" t="s">
        <v>234</v>
      </c>
    </row>
    <row r="523" spans="1:12" x14ac:dyDescent="0.4">
      <c r="A523" t="s">
        <v>165</v>
      </c>
      <c r="B523" t="s">
        <v>2</v>
      </c>
      <c r="C523" t="s">
        <v>305</v>
      </c>
      <c r="D523" t="s">
        <v>306</v>
      </c>
      <c r="E523">
        <v>20019322</v>
      </c>
      <c r="F523" t="s">
        <v>422</v>
      </c>
      <c r="G523">
        <v>597580</v>
      </c>
      <c r="H523" s="184">
        <v>44231</v>
      </c>
      <c r="I523" s="184">
        <v>44235</v>
      </c>
      <c r="J523" t="s">
        <v>423</v>
      </c>
      <c r="K523">
        <v>60000</v>
      </c>
      <c r="L523" t="s">
        <v>235</v>
      </c>
    </row>
    <row r="524" spans="1:12" x14ac:dyDescent="0.4">
      <c r="A524" t="s">
        <v>165</v>
      </c>
      <c r="B524" t="s">
        <v>2</v>
      </c>
      <c r="C524" t="s">
        <v>305</v>
      </c>
      <c r="D524" t="s">
        <v>306</v>
      </c>
      <c r="E524">
        <v>20019323</v>
      </c>
      <c r="F524" t="s">
        <v>424</v>
      </c>
      <c r="G524">
        <v>597581</v>
      </c>
      <c r="H524" s="184">
        <v>44231</v>
      </c>
      <c r="I524" s="184">
        <v>44249</v>
      </c>
      <c r="J524" t="s">
        <v>425</v>
      </c>
      <c r="K524">
        <v>60000</v>
      </c>
      <c r="L524" t="s">
        <v>230</v>
      </c>
    </row>
    <row r="525" spans="1:12" x14ac:dyDescent="0.4">
      <c r="A525" t="s">
        <v>165</v>
      </c>
      <c r="B525" t="s">
        <v>2</v>
      </c>
      <c r="C525" t="s">
        <v>305</v>
      </c>
      <c r="D525" t="s">
        <v>306</v>
      </c>
      <c r="E525">
        <v>20019323</v>
      </c>
      <c r="F525" t="s">
        <v>424</v>
      </c>
      <c r="G525">
        <v>597581</v>
      </c>
      <c r="H525" s="184">
        <v>44231</v>
      </c>
      <c r="I525" s="184">
        <v>44249</v>
      </c>
      <c r="J525" t="s">
        <v>425</v>
      </c>
      <c r="K525">
        <v>60000</v>
      </c>
      <c r="L525" t="s">
        <v>231</v>
      </c>
    </row>
    <row r="526" spans="1:12" x14ac:dyDescent="0.4">
      <c r="A526" t="s">
        <v>165</v>
      </c>
      <c r="B526" t="s">
        <v>2</v>
      </c>
      <c r="C526" t="s">
        <v>305</v>
      </c>
      <c r="D526" t="s">
        <v>306</v>
      </c>
      <c r="E526">
        <v>20019323</v>
      </c>
      <c r="F526" t="s">
        <v>424</v>
      </c>
      <c r="G526">
        <v>597581</v>
      </c>
      <c r="H526" s="184">
        <v>44231</v>
      </c>
      <c r="I526" s="184">
        <v>44249</v>
      </c>
      <c r="J526" t="s">
        <v>425</v>
      </c>
      <c r="K526">
        <v>60000</v>
      </c>
      <c r="L526" t="s">
        <v>232</v>
      </c>
    </row>
    <row r="527" spans="1:12" x14ac:dyDescent="0.4">
      <c r="A527" t="s">
        <v>165</v>
      </c>
      <c r="B527" t="s">
        <v>2</v>
      </c>
      <c r="C527" t="s">
        <v>305</v>
      </c>
      <c r="D527" t="s">
        <v>306</v>
      </c>
      <c r="E527">
        <v>20019323</v>
      </c>
      <c r="F527" t="s">
        <v>424</v>
      </c>
      <c r="G527">
        <v>597581</v>
      </c>
      <c r="H527" s="184">
        <v>44231</v>
      </c>
      <c r="I527" s="184">
        <v>44249</v>
      </c>
      <c r="J527" t="s">
        <v>425</v>
      </c>
      <c r="K527">
        <v>60000</v>
      </c>
      <c r="L527" t="s">
        <v>233</v>
      </c>
    </row>
    <row r="528" spans="1:12" x14ac:dyDescent="0.4">
      <c r="A528" t="s">
        <v>165</v>
      </c>
      <c r="B528" t="s">
        <v>2</v>
      </c>
      <c r="C528" t="s">
        <v>305</v>
      </c>
      <c r="D528" t="s">
        <v>306</v>
      </c>
      <c r="E528">
        <v>20019323</v>
      </c>
      <c r="F528" t="s">
        <v>424</v>
      </c>
      <c r="G528">
        <v>597581</v>
      </c>
      <c r="H528" s="184">
        <v>44231</v>
      </c>
      <c r="I528" s="184">
        <v>44249</v>
      </c>
      <c r="J528" t="s">
        <v>425</v>
      </c>
      <c r="K528">
        <v>60000</v>
      </c>
      <c r="L528" t="s">
        <v>234</v>
      </c>
    </row>
    <row r="529" spans="1:12" x14ac:dyDescent="0.4">
      <c r="A529" t="s">
        <v>165</v>
      </c>
      <c r="B529" t="s">
        <v>2</v>
      </c>
      <c r="C529" t="s">
        <v>305</v>
      </c>
      <c r="D529" t="s">
        <v>306</v>
      </c>
      <c r="E529">
        <v>20019323</v>
      </c>
      <c r="F529" t="s">
        <v>424</v>
      </c>
      <c r="G529">
        <v>597581</v>
      </c>
      <c r="H529" s="184">
        <v>44231</v>
      </c>
      <c r="I529" s="184">
        <v>44249</v>
      </c>
      <c r="J529" t="s">
        <v>425</v>
      </c>
      <c r="K529">
        <v>60000</v>
      </c>
      <c r="L529" t="s">
        <v>235</v>
      </c>
    </row>
    <row r="530" spans="1:12" x14ac:dyDescent="0.4">
      <c r="A530" t="s">
        <v>165</v>
      </c>
      <c r="B530" t="s">
        <v>2</v>
      </c>
      <c r="C530" t="s">
        <v>305</v>
      </c>
      <c r="D530" t="s">
        <v>306</v>
      </c>
      <c r="E530">
        <v>20019383</v>
      </c>
      <c r="F530" t="s">
        <v>426</v>
      </c>
      <c r="G530">
        <v>597965</v>
      </c>
      <c r="H530" s="184">
        <v>44260</v>
      </c>
      <c r="I530" s="184">
        <v>44264</v>
      </c>
      <c r="J530" t="s">
        <v>427</v>
      </c>
      <c r="K530">
        <v>60000</v>
      </c>
      <c r="L530" t="s">
        <v>242</v>
      </c>
    </row>
    <row r="531" spans="1:12" x14ac:dyDescent="0.4">
      <c r="A531" t="s">
        <v>165</v>
      </c>
      <c r="B531" t="s">
        <v>2</v>
      </c>
      <c r="C531" t="s">
        <v>305</v>
      </c>
      <c r="D531" t="s">
        <v>306</v>
      </c>
      <c r="E531">
        <v>20019383</v>
      </c>
      <c r="F531" t="s">
        <v>426</v>
      </c>
      <c r="G531">
        <v>597965</v>
      </c>
      <c r="H531" s="184">
        <v>44260</v>
      </c>
      <c r="I531" s="184">
        <v>44264</v>
      </c>
      <c r="J531" t="s">
        <v>427</v>
      </c>
      <c r="K531">
        <v>60000</v>
      </c>
      <c r="L531" t="s">
        <v>243</v>
      </c>
    </row>
    <row r="532" spans="1:12" x14ac:dyDescent="0.4">
      <c r="A532" t="s">
        <v>165</v>
      </c>
      <c r="B532" t="s">
        <v>2</v>
      </c>
      <c r="C532" t="s">
        <v>305</v>
      </c>
      <c r="D532" t="s">
        <v>306</v>
      </c>
      <c r="E532">
        <v>20019383</v>
      </c>
      <c r="F532" t="s">
        <v>426</v>
      </c>
      <c r="G532">
        <v>597965</v>
      </c>
      <c r="H532" s="184">
        <v>44260</v>
      </c>
      <c r="I532" s="184">
        <v>44264</v>
      </c>
      <c r="J532" t="s">
        <v>427</v>
      </c>
      <c r="K532">
        <v>60000</v>
      </c>
      <c r="L532" t="s">
        <v>244</v>
      </c>
    </row>
    <row r="533" spans="1:12" x14ac:dyDescent="0.4">
      <c r="A533" t="s">
        <v>165</v>
      </c>
      <c r="B533" t="s">
        <v>2</v>
      </c>
      <c r="C533" t="s">
        <v>305</v>
      </c>
      <c r="D533" t="s">
        <v>306</v>
      </c>
      <c r="E533">
        <v>20019383</v>
      </c>
      <c r="F533" t="s">
        <v>426</v>
      </c>
      <c r="G533">
        <v>597965</v>
      </c>
      <c r="H533" s="184">
        <v>44260</v>
      </c>
      <c r="I533" s="184">
        <v>44264</v>
      </c>
      <c r="J533" t="s">
        <v>427</v>
      </c>
      <c r="K533">
        <v>60000</v>
      </c>
      <c r="L533" t="s">
        <v>245</v>
      </c>
    </row>
    <row r="534" spans="1:12" x14ac:dyDescent="0.4">
      <c r="A534" t="s">
        <v>165</v>
      </c>
      <c r="B534" t="s">
        <v>2</v>
      </c>
      <c r="C534" t="s">
        <v>305</v>
      </c>
      <c r="D534" t="s">
        <v>306</v>
      </c>
      <c r="E534">
        <v>20019383</v>
      </c>
      <c r="F534" t="s">
        <v>426</v>
      </c>
      <c r="G534">
        <v>597965</v>
      </c>
      <c r="H534" s="184">
        <v>44260</v>
      </c>
      <c r="I534" s="184">
        <v>44264</v>
      </c>
      <c r="J534" t="s">
        <v>427</v>
      </c>
      <c r="K534">
        <v>60000</v>
      </c>
      <c r="L534" t="s">
        <v>246</v>
      </c>
    </row>
    <row r="535" spans="1:12" x14ac:dyDescent="0.4">
      <c r="A535" t="s">
        <v>165</v>
      </c>
      <c r="B535" t="s">
        <v>2</v>
      </c>
      <c r="C535" t="s">
        <v>305</v>
      </c>
      <c r="D535" t="s">
        <v>306</v>
      </c>
      <c r="E535">
        <v>20019383</v>
      </c>
      <c r="F535" t="s">
        <v>426</v>
      </c>
      <c r="G535">
        <v>597965</v>
      </c>
      <c r="H535" s="184">
        <v>44260</v>
      </c>
      <c r="I535" s="184">
        <v>44264</v>
      </c>
      <c r="J535" t="s">
        <v>427</v>
      </c>
      <c r="K535">
        <v>60000</v>
      </c>
      <c r="L535" t="s">
        <v>247</v>
      </c>
    </row>
    <row r="536" spans="1:12" x14ac:dyDescent="0.4">
      <c r="A536" t="s">
        <v>165</v>
      </c>
      <c r="B536" t="s">
        <v>2</v>
      </c>
      <c r="C536" t="s">
        <v>305</v>
      </c>
      <c r="D536" t="s">
        <v>306</v>
      </c>
      <c r="E536">
        <v>20020133</v>
      </c>
      <c r="F536" t="s">
        <v>428</v>
      </c>
      <c r="G536">
        <v>596130</v>
      </c>
      <c r="H536" s="184">
        <v>44155</v>
      </c>
      <c r="I536" s="184">
        <v>44172</v>
      </c>
      <c r="J536" t="s">
        <v>429</v>
      </c>
      <c r="K536">
        <v>60000</v>
      </c>
      <c r="L536" t="s">
        <v>186</v>
      </c>
    </row>
    <row r="537" spans="1:12" x14ac:dyDescent="0.4">
      <c r="A537" t="s">
        <v>165</v>
      </c>
      <c r="B537" t="s">
        <v>2</v>
      </c>
      <c r="C537" t="s">
        <v>305</v>
      </c>
      <c r="D537" t="s">
        <v>306</v>
      </c>
      <c r="E537">
        <v>20020133</v>
      </c>
      <c r="F537" t="s">
        <v>428</v>
      </c>
      <c r="G537">
        <v>596130</v>
      </c>
      <c r="H537" s="184">
        <v>44155</v>
      </c>
      <c r="I537" s="184">
        <v>44172</v>
      </c>
      <c r="J537" t="s">
        <v>429</v>
      </c>
      <c r="K537">
        <v>60000</v>
      </c>
      <c r="L537" t="s">
        <v>197</v>
      </c>
    </row>
    <row r="538" spans="1:12" x14ac:dyDescent="0.4">
      <c r="A538" t="s">
        <v>165</v>
      </c>
      <c r="B538" t="s">
        <v>2</v>
      </c>
      <c r="C538" t="s">
        <v>305</v>
      </c>
      <c r="D538" t="s">
        <v>306</v>
      </c>
      <c r="E538">
        <v>20020133</v>
      </c>
      <c r="F538" t="s">
        <v>428</v>
      </c>
      <c r="G538">
        <v>596130</v>
      </c>
      <c r="H538" s="184">
        <v>44155</v>
      </c>
      <c r="I538" s="184">
        <v>44172</v>
      </c>
      <c r="J538" t="s">
        <v>429</v>
      </c>
      <c r="K538">
        <v>60000</v>
      </c>
      <c r="L538" t="s">
        <v>198</v>
      </c>
    </row>
    <row r="539" spans="1:12" x14ac:dyDescent="0.4">
      <c r="A539" t="s">
        <v>165</v>
      </c>
      <c r="B539" t="s">
        <v>2</v>
      </c>
      <c r="C539" t="s">
        <v>305</v>
      </c>
      <c r="D539" t="s">
        <v>306</v>
      </c>
      <c r="E539">
        <v>20020133</v>
      </c>
      <c r="F539" t="s">
        <v>428</v>
      </c>
      <c r="G539">
        <v>596130</v>
      </c>
      <c r="H539" s="184">
        <v>44155</v>
      </c>
      <c r="I539" s="184">
        <v>44172</v>
      </c>
      <c r="J539" t="s">
        <v>429</v>
      </c>
      <c r="K539">
        <v>60000</v>
      </c>
      <c r="L539" t="s">
        <v>199</v>
      </c>
    </row>
    <row r="540" spans="1:12" x14ac:dyDescent="0.4">
      <c r="A540" t="s">
        <v>165</v>
      </c>
      <c r="B540" t="s">
        <v>2</v>
      </c>
      <c r="C540" t="s">
        <v>305</v>
      </c>
      <c r="D540" t="s">
        <v>306</v>
      </c>
      <c r="E540">
        <v>20020133</v>
      </c>
      <c r="F540" t="s">
        <v>428</v>
      </c>
      <c r="G540">
        <v>596130</v>
      </c>
      <c r="H540" s="184">
        <v>44155</v>
      </c>
      <c r="I540" s="184">
        <v>44172</v>
      </c>
      <c r="J540" t="s">
        <v>429</v>
      </c>
      <c r="K540">
        <v>60000</v>
      </c>
      <c r="L540" t="s">
        <v>200</v>
      </c>
    </row>
    <row r="541" spans="1:12" x14ac:dyDescent="0.4">
      <c r="A541" t="s">
        <v>165</v>
      </c>
      <c r="B541" t="s">
        <v>2</v>
      </c>
      <c r="C541" t="s">
        <v>305</v>
      </c>
      <c r="D541" t="s">
        <v>306</v>
      </c>
      <c r="E541">
        <v>20020133</v>
      </c>
      <c r="F541" t="s">
        <v>428</v>
      </c>
      <c r="G541">
        <v>596130</v>
      </c>
      <c r="H541" s="184">
        <v>44155</v>
      </c>
      <c r="I541" s="184">
        <v>44172</v>
      </c>
      <c r="J541" t="s">
        <v>429</v>
      </c>
      <c r="K541">
        <v>60000</v>
      </c>
      <c r="L541" t="s">
        <v>302</v>
      </c>
    </row>
    <row r="542" spans="1:12" x14ac:dyDescent="0.4">
      <c r="A542" t="s">
        <v>165</v>
      </c>
      <c r="B542" t="s">
        <v>2</v>
      </c>
      <c r="C542" t="s">
        <v>305</v>
      </c>
      <c r="D542" t="s">
        <v>306</v>
      </c>
      <c r="E542">
        <v>20020214</v>
      </c>
      <c r="F542" t="s">
        <v>430</v>
      </c>
      <c r="G542">
        <v>596176</v>
      </c>
      <c r="H542" s="184">
        <v>44155</v>
      </c>
      <c r="I542" s="184">
        <v>44165</v>
      </c>
      <c r="J542" t="s">
        <v>210</v>
      </c>
      <c r="K542">
        <v>60000</v>
      </c>
      <c r="L542" t="s">
        <v>196</v>
      </c>
    </row>
    <row r="543" spans="1:12" x14ac:dyDescent="0.4">
      <c r="A543" t="s">
        <v>165</v>
      </c>
      <c r="B543" t="s">
        <v>2</v>
      </c>
      <c r="C543" t="s">
        <v>305</v>
      </c>
      <c r="D543" t="s">
        <v>306</v>
      </c>
      <c r="E543">
        <v>20020214</v>
      </c>
      <c r="F543" t="s">
        <v>430</v>
      </c>
      <c r="G543">
        <v>596176</v>
      </c>
      <c r="H543" s="184">
        <v>44155</v>
      </c>
      <c r="I543" s="184">
        <v>44165</v>
      </c>
      <c r="J543" t="s">
        <v>210</v>
      </c>
      <c r="K543">
        <v>60000</v>
      </c>
      <c r="L543" t="s">
        <v>211</v>
      </c>
    </row>
    <row r="544" spans="1:12" x14ac:dyDescent="0.4">
      <c r="A544" t="s">
        <v>165</v>
      </c>
      <c r="B544" t="s">
        <v>2</v>
      </c>
      <c r="C544" t="s">
        <v>305</v>
      </c>
      <c r="D544" t="s">
        <v>306</v>
      </c>
      <c r="E544">
        <v>20020214</v>
      </c>
      <c r="F544" t="s">
        <v>430</v>
      </c>
      <c r="G544">
        <v>596176</v>
      </c>
      <c r="H544" s="184">
        <v>44155</v>
      </c>
      <c r="I544" s="184">
        <v>44165</v>
      </c>
      <c r="J544" t="s">
        <v>210</v>
      </c>
      <c r="K544">
        <v>60000</v>
      </c>
      <c r="L544" t="s">
        <v>212</v>
      </c>
    </row>
    <row r="545" spans="1:12" x14ac:dyDescent="0.4">
      <c r="A545" t="s">
        <v>165</v>
      </c>
      <c r="B545" t="s">
        <v>2</v>
      </c>
      <c r="C545" t="s">
        <v>305</v>
      </c>
      <c r="D545" t="s">
        <v>306</v>
      </c>
      <c r="E545">
        <v>20020214</v>
      </c>
      <c r="F545" t="s">
        <v>430</v>
      </c>
      <c r="G545">
        <v>596176</v>
      </c>
      <c r="H545" s="184">
        <v>44155</v>
      </c>
      <c r="I545" s="184">
        <v>44165</v>
      </c>
      <c r="J545" t="s">
        <v>210</v>
      </c>
      <c r="K545">
        <v>60000</v>
      </c>
      <c r="L545" t="s">
        <v>213</v>
      </c>
    </row>
    <row r="546" spans="1:12" x14ac:dyDescent="0.4">
      <c r="A546" t="s">
        <v>165</v>
      </c>
      <c r="B546" t="s">
        <v>2</v>
      </c>
      <c r="C546" t="s">
        <v>305</v>
      </c>
      <c r="D546" t="s">
        <v>306</v>
      </c>
      <c r="E546">
        <v>20020214</v>
      </c>
      <c r="F546" t="s">
        <v>430</v>
      </c>
      <c r="G546">
        <v>596176</v>
      </c>
      <c r="H546" s="184">
        <v>44155</v>
      </c>
      <c r="I546" s="184">
        <v>44165</v>
      </c>
      <c r="J546" t="s">
        <v>210</v>
      </c>
      <c r="K546">
        <v>60000</v>
      </c>
      <c r="L546" t="s">
        <v>214</v>
      </c>
    </row>
    <row r="547" spans="1:12" x14ac:dyDescent="0.4">
      <c r="A547" t="s">
        <v>165</v>
      </c>
      <c r="B547" t="s">
        <v>2</v>
      </c>
      <c r="C547" t="s">
        <v>305</v>
      </c>
      <c r="D547" t="s">
        <v>306</v>
      </c>
      <c r="E547">
        <v>20020214</v>
      </c>
      <c r="F547" t="s">
        <v>430</v>
      </c>
      <c r="G547">
        <v>596176</v>
      </c>
      <c r="H547" s="184">
        <v>44155</v>
      </c>
      <c r="I547" s="184">
        <v>44165</v>
      </c>
      <c r="J547" t="s">
        <v>210</v>
      </c>
      <c r="K547">
        <v>60000</v>
      </c>
      <c r="L547" t="s">
        <v>215</v>
      </c>
    </row>
    <row r="548" spans="1:12" x14ac:dyDescent="0.4">
      <c r="A548" t="s">
        <v>165</v>
      </c>
      <c r="B548" t="s">
        <v>2</v>
      </c>
      <c r="C548" t="s">
        <v>305</v>
      </c>
      <c r="D548" t="s">
        <v>306</v>
      </c>
      <c r="E548">
        <v>20020258</v>
      </c>
      <c r="F548" t="s">
        <v>431</v>
      </c>
      <c r="G548">
        <v>597374</v>
      </c>
      <c r="H548" s="184">
        <v>44231</v>
      </c>
      <c r="I548" s="184">
        <v>44251</v>
      </c>
      <c r="J548" t="s">
        <v>432</v>
      </c>
      <c r="K548">
        <v>60000</v>
      </c>
      <c r="L548" t="s">
        <v>230</v>
      </c>
    </row>
    <row r="549" spans="1:12" x14ac:dyDescent="0.4">
      <c r="A549" t="s">
        <v>165</v>
      </c>
      <c r="B549" t="s">
        <v>2</v>
      </c>
      <c r="C549" t="s">
        <v>305</v>
      </c>
      <c r="D549" t="s">
        <v>306</v>
      </c>
      <c r="E549">
        <v>20020258</v>
      </c>
      <c r="F549" t="s">
        <v>431</v>
      </c>
      <c r="G549">
        <v>597374</v>
      </c>
      <c r="H549" s="184">
        <v>44231</v>
      </c>
      <c r="I549" s="184">
        <v>44251</v>
      </c>
      <c r="J549" t="s">
        <v>432</v>
      </c>
      <c r="K549">
        <v>60000</v>
      </c>
      <c r="L549" t="s">
        <v>231</v>
      </c>
    </row>
    <row r="550" spans="1:12" x14ac:dyDescent="0.4">
      <c r="A550" t="s">
        <v>165</v>
      </c>
      <c r="B550" t="s">
        <v>2</v>
      </c>
      <c r="C550" t="s">
        <v>305</v>
      </c>
      <c r="D550" t="s">
        <v>306</v>
      </c>
      <c r="E550">
        <v>20020258</v>
      </c>
      <c r="F550" t="s">
        <v>431</v>
      </c>
      <c r="G550">
        <v>597374</v>
      </c>
      <c r="H550" s="184">
        <v>44231</v>
      </c>
      <c r="I550" s="184">
        <v>44251</v>
      </c>
      <c r="J550" t="s">
        <v>432</v>
      </c>
      <c r="K550">
        <v>60000</v>
      </c>
      <c r="L550" t="s">
        <v>232</v>
      </c>
    </row>
    <row r="551" spans="1:12" x14ac:dyDescent="0.4">
      <c r="A551" t="s">
        <v>165</v>
      </c>
      <c r="B551" t="s">
        <v>2</v>
      </c>
      <c r="C551" t="s">
        <v>305</v>
      </c>
      <c r="D551" t="s">
        <v>306</v>
      </c>
      <c r="E551">
        <v>20020258</v>
      </c>
      <c r="F551" t="s">
        <v>431</v>
      </c>
      <c r="G551">
        <v>597374</v>
      </c>
      <c r="H551" s="184">
        <v>44231</v>
      </c>
      <c r="I551" s="184">
        <v>44251</v>
      </c>
      <c r="J551" t="s">
        <v>432</v>
      </c>
      <c r="K551">
        <v>60000</v>
      </c>
      <c r="L551" t="s">
        <v>233</v>
      </c>
    </row>
    <row r="552" spans="1:12" x14ac:dyDescent="0.4">
      <c r="A552" t="s">
        <v>165</v>
      </c>
      <c r="B552" t="s">
        <v>2</v>
      </c>
      <c r="C552" t="s">
        <v>305</v>
      </c>
      <c r="D552" t="s">
        <v>306</v>
      </c>
      <c r="E552">
        <v>20020258</v>
      </c>
      <c r="F552" t="s">
        <v>431</v>
      </c>
      <c r="G552">
        <v>597374</v>
      </c>
      <c r="H552" s="184">
        <v>44231</v>
      </c>
      <c r="I552" s="184">
        <v>44251</v>
      </c>
      <c r="J552" t="s">
        <v>432</v>
      </c>
      <c r="K552">
        <v>60000</v>
      </c>
      <c r="L552" t="s">
        <v>234</v>
      </c>
    </row>
    <row r="553" spans="1:12" x14ac:dyDescent="0.4">
      <c r="A553" t="s">
        <v>165</v>
      </c>
      <c r="B553" t="s">
        <v>2</v>
      </c>
      <c r="C553" t="s">
        <v>305</v>
      </c>
      <c r="D553" t="s">
        <v>306</v>
      </c>
      <c r="E553">
        <v>20020258</v>
      </c>
      <c r="F553" t="s">
        <v>431</v>
      </c>
      <c r="G553">
        <v>597374</v>
      </c>
      <c r="H553" s="184">
        <v>44231</v>
      </c>
      <c r="I553" s="184">
        <v>44251</v>
      </c>
      <c r="J553" t="s">
        <v>432</v>
      </c>
      <c r="K553">
        <v>60000</v>
      </c>
      <c r="L553" t="s">
        <v>235</v>
      </c>
    </row>
    <row r="554" spans="1:12" x14ac:dyDescent="0.4">
      <c r="A554" t="s">
        <v>165</v>
      </c>
      <c r="B554" t="s">
        <v>2</v>
      </c>
      <c r="C554" t="s">
        <v>305</v>
      </c>
      <c r="D554" t="s">
        <v>306</v>
      </c>
      <c r="E554">
        <v>20020259</v>
      </c>
      <c r="F554" t="s">
        <v>433</v>
      </c>
      <c r="G554">
        <v>597865</v>
      </c>
      <c r="H554" s="184">
        <v>44256</v>
      </c>
      <c r="I554" s="184">
        <v>44265</v>
      </c>
      <c r="J554" t="s">
        <v>434</v>
      </c>
      <c r="K554">
        <v>60000</v>
      </c>
      <c r="L554" t="s">
        <v>242</v>
      </c>
    </row>
    <row r="555" spans="1:12" x14ac:dyDescent="0.4">
      <c r="A555" t="s">
        <v>165</v>
      </c>
      <c r="B555" t="s">
        <v>2</v>
      </c>
      <c r="C555" t="s">
        <v>305</v>
      </c>
      <c r="D555" t="s">
        <v>306</v>
      </c>
      <c r="E555">
        <v>20020259</v>
      </c>
      <c r="F555" t="s">
        <v>433</v>
      </c>
      <c r="G555">
        <v>597865</v>
      </c>
      <c r="H555" s="184">
        <v>44256</v>
      </c>
      <c r="I555" s="184">
        <v>44265</v>
      </c>
      <c r="J555" t="s">
        <v>434</v>
      </c>
      <c r="K555">
        <v>60000</v>
      </c>
      <c r="L555" t="s">
        <v>243</v>
      </c>
    </row>
    <row r="556" spans="1:12" x14ac:dyDescent="0.4">
      <c r="A556" t="s">
        <v>165</v>
      </c>
      <c r="B556" t="s">
        <v>2</v>
      </c>
      <c r="C556" t="s">
        <v>305</v>
      </c>
      <c r="D556" t="s">
        <v>306</v>
      </c>
      <c r="E556">
        <v>20020259</v>
      </c>
      <c r="F556" t="s">
        <v>433</v>
      </c>
      <c r="G556">
        <v>597865</v>
      </c>
      <c r="H556" s="184">
        <v>44256</v>
      </c>
      <c r="I556" s="184">
        <v>44265</v>
      </c>
      <c r="J556" t="s">
        <v>434</v>
      </c>
      <c r="K556">
        <v>60000</v>
      </c>
      <c r="L556" t="s">
        <v>244</v>
      </c>
    </row>
    <row r="557" spans="1:12" x14ac:dyDescent="0.4">
      <c r="A557" t="s">
        <v>165</v>
      </c>
      <c r="B557" t="s">
        <v>2</v>
      </c>
      <c r="C557" t="s">
        <v>305</v>
      </c>
      <c r="D557" t="s">
        <v>306</v>
      </c>
      <c r="E557">
        <v>20020259</v>
      </c>
      <c r="F557" t="s">
        <v>433</v>
      </c>
      <c r="G557">
        <v>597865</v>
      </c>
      <c r="H557" s="184">
        <v>44256</v>
      </c>
      <c r="I557" s="184">
        <v>44265</v>
      </c>
      <c r="J557" t="s">
        <v>434</v>
      </c>
      <c r="K557">
        <v>60000</v>
      </c>
      <c r="L557" t="s">
        <v>245</v>
      </c>
    </row>
    <row r="558" spans="1:12" x14ac:dyDescent="0.4">
      <c r="A558" t="s">
        <v>165</v>
      </c>
      <c r="B558" t="s">
        <v>2</v>
      </c>
      <c r="C558" t="s">
        <v>305</v>
      </c>
      <c r="D558" t="s">
        <v>306</v>
      </c>
      <c r="E558">
        <v>20020259</v>
      </c>
      <c r="F558" t="s">
        <v>433</v>
      </c>
      <c r="G558">
        <v>597865</v>
      </c>
      <c r="H558" s="184">
        <v>44256</v>
      </c>
      <c r="I558" s="184">
        <v>44265</v>
      </c>
      <c r="J558" t="s">
        <v>434</v>
      </c>
      <c r="K558">
        <v>60000</v>
      </c>
      <c r="L558" t="s">
        <v>246</v>
      </c>
    </row>
    <row r="559" spans="1:12" x14ac:dyDescent="0.4">
      <c r="A559" t="s">
        <v>165</v>
      </c>
      <c r="B559" t="s">
        <v>2</v>
      </c>
      <c r="C559" t="s">
        <v>305</v>
      </c>
      <c r="D559" t="s">
        <v>306</v>
      </c>
      <c r="E559">
        <v>20020259</v>
      </c>
      <c r="F559" t="s">
        <v>433</v>
      </c>
      <c r="G559">
        <v>597865</v>
      </c>
      <c r="H559" s="184">
        <v>44256</v>
      </c>
      <c r="I559" s="184">
        <v>44265</v>
      </c>
      <c r="J559" t="s">
        <v>434</v>
      </c>
      <c r="K559">
        <v>60000</v>
      </c>
      <c r="L559" t="s">
        <v>247</v>
      </c>
    </row>
    <row r="560" spans="1:12" x14ac:dyDescent="0.4">
      <c r="A560" t="s">
        <v>165</v>
      </c>
      <c r="B560" t="s">
        <v>2</v>
      </c>
      <c r="C560" t="s">
        <v>305</v>
      </c>
      <c r="D560" t="s">
        <v>306</v>
      </c>
      <c r="E560">
        <v>20020415</v>
      </c>
      <c r="F560" t="s">
        <v>435</v>
      </c>
      <c r="G560">
        <v>597334</v>
      </c>
      <c r="H560" s="184">
        <v>44217</v>
      </c>
      <c r="I560" s="184">
        <v>44223</v>
      </c>
      <c r="J560" t="s">
        <v>436</v>
      </c>
      <c r="K560">
        <v>60000</v>
      </c>
      <c r="L560" t="s">
        <v>238</v>
      </c>
    </row>
    <row r="561" spans="1:12" x14ac:dyDescent="0.4">
      <c r="A561" t="s">
        <v>165</v>
      </c>
      <c r="B561" t="s">
        <v>2</v>
      </c>
      <c r="C561" t="s">
        <v>305</v>
      </c>
      <c r="D561" t="s">
        <v>306</v>
      </c>
      <c r="E561">
        <v>20020415</v>
      </c>
      <c r="F561" t="s">
        <v>435</v>
      </c>
      <c r="G561">
        <v>597334</v>
      </c>
      <c r="H561" s="184">
        <v>44217</v>
      </c>
      <c r="I561" s="184">
        <v>44223</v>
      </c>
      <c r="J561" t="s">
        <v>436</v>
      </c>
      <c r="K561">
        <v>60000</v>
      </c>
      <c r="L561" t="s">
        <v>187</v>
      </c>
    </row>
    <row r="562" spans="1:12" x14ac:dyDescent="0.4">
      <c r="A562" t="s">
        <v>165</v>
      </c>
      <c r="B562" t="s">
        <v>2</v>
      </c>
      <c r="C562" t="s">
        <v>305</v>
      </c>
      <c r="D562" t="s">
        <v>306</v>
      </c>
      <c r="E562">
        <v>20020415</v>
      </c>
      <c r="F562" t="s">
        <v>435</v>
      </c>
      <c r="G562">
        <v>597334</v>
      </c>
      <c r="H562" s="184">
        <v>44217</v>
      </c>
      <c r="I562" s="184">
        <v>44223</v>
      </c>
      <c r="J562" t="s">
        <v>436</v>
      </c>
      <c r="K562">
        <v>60000</v>
      </c>
      <c r="L562" t="s">
        <v>188</v>
      </c>
    </row>
    <row r="563" spans="1:12" x14ac:dyDescent="0.4">
      <c r="A563" t="s">
        <v>165</v>
      </c>
      <c r="B563" t="s">
        <v>2</v>
      </c>
      <c r="C563" t="s">
        <v>305</v>
      </c>
      <c r="D563" t="s">
        <v>306</v>
      </c>
      <c r="E563">
        <v>20020415</v>
      </c>
      <c r="F563" t="s">
        <v>435</v>
      </c>
      <c r="G563">
        <v>597334</v>
      </c>
      <c r="H563" s="184">
        <v>44217</v>
      </c>
      <c r="I563" s="184">
        <v>44223</v>
      </c>
      <c r="J563" t="s">
        <v>436</v>
      </c>
      <c r="K563">
        <v>60000</v>
      </c>
      <c r="L563" t="s">
        <v>189</v>
      </c>
    </row>
    <row r="564" spans="1:12" x14ac:dyDescent="0.4">
      <c r="A564" t="s">
        <v>165</v>
      </c>
      <c r="B564" t="s">
        <v>2</v>
      </c>
      <c r="C564" t="s">
        <v>305</v>
      </c>
      <c r="D564" t="s">
        <v>306</v>
      </c>
      <c r="E564">
        <v>20020415</v>
      </c>
      <c r="F564" t="s">
        <v>435</v>
      </c>
      <c r="G564">
        <v>597334</v>
      </c>
      <c r="H564" s="184">
        <v>44217</v>
      </c>
      <c r="I564" s="184">
        <v>44223</v>
      </c>
      <c r="J564" t="s">
        <v>436</v>
      </c>
      <c r="K564">
        <v>60000</v>
      </c>
      <c r="L564" t="s">
        <v>190</v>
      </c>
    </row>
    <row r="565" spans="1:12" x14ac:dyDescent="0.4">
      <c r="A565" t="s">
        <v>165</v>
      </c>
      <c r="B565" t="s">
        <v>2</v>
      </c>
      <c r="C565" t="s">
        <v>305</v>
      </c>
      <c r="D565" t="s">
        <v>306</v>
      </c>
      <c r="E565">
        <v>20020415</v>
      </c>
      <c r="F565" t="s">
        <v>435</v>
      </c>
      <c r="G565">
        <v>597334</v>
      </c>
      <c r="H565" s="184">
        <v>44217</v>
      </c>
      <c r="I565" s="184">
        <v>44223</v>
      </c>
      <c r="J565" t="s">
        <v>436</v>
      </c>
      <c r="K565">
        <v>60000</v>
      </c>
      <c r="L565" t="s">
        <v>239</v>
      </c>
    </row>
    <row r="566" spans="1:12" x14ac:dyDescent="0.4">
      <c r="A566" t="s">
        <v>165</v>
      </c>
      <c r="B566" t="s">
        <v>2</v>
      </c>
      <c r="C566" t="s">
        <v>305</v>
      </c>
      <c r="D566" t="s">
        <v>306</v>
      </c>
      <c r="E566">
        <v>20020417</v>
      </c>
      <c r="F566" t="s">
        <v>437</v>
      </c>
      <c r="G566">
        <v>598497</v>
      </c>
      <c r="H566" s="184">
        <v>44326</v>
      </c>
      <c r="I566" s="184">
        <v>44333</v>
      </c>
      <c r="J566" t="s">
        <v>438</v>
      </c>
      <c r="K566">
        <v>60000</v>
      </c>
      <c r="L566" t="s">
        <v>258</v>
      </c>
    </row>
    <row r="567" spans="1:12" x14ac:dyDescent="0.4">
      <c r="A567" t="s">
        <v>165</v>
      </c>
      <c r="B567" t="s">
        <v>2</v>
      </c>
      <c r="C567" t="s">
        <v>305</v>
      </c>
      <c r="D567" t="s">
        <v>306</v>
      </c>
      <c r="E567">
        <v>20020417</v>
      </c>
      <c r="F567" t="s">
        <v>437</v>
      </c>
      <c r="G567">
        <v>598497</v>
      </c>
      <c r="H567" s="184">
        <v>44326</v>
      </c>
      <c r="I567" s="184">
        <v>44333</v>
      </c>
      <c r="J567" t="s">
        <v>438</v>
      </c>
      <c r="K567">
        <v>60000</v>
      </c>
      <c r="L567" t="s">
        <v>259</v>
      </c>
    </row>
    <row r="568" spans="1:12" x14ac:dyDescent="0.4">
      <c r="A568" t="s">
        <v>165</v>
      </c>
      <c r="B568" t="s">
        <v>2</v>
      </c>
      <c r="C568" t="s">
        <v>305</v>
      </c>
      <c r="D568" t="s">
        <v>306</v>
      </c>
      <c r="E568">
        <v>20020417</v>
      </c>
      <c r="F568" t="s">
        <v>437</v>
      </c>
      <c r="G568">
        <v>598497</v>
      </c>
      <c r="H568" s="184">
        <v>44326</v>
      </c>
      <c r="I568" s="184">
        <v>44333</v>
      </c>
      <c r="J568" t="s">
        <v>438</v>
      </c>
      <c r="K568">
        <v>60000</v>
      </c>
      <c r="L568" t="s">
        <v>260</v>
      </c>
    </row>
    <row r="569" spans="1:12" x14ac:dyDescent="0.4">
      <c r="A569" t="s">
        <v>165</v>
      </c>
      <c r="B569" t="s">
        <v>2</v>
      </c>
      <c r="C569" t="s">
        <v>305</v>
      </c>
      <c r="D569" t="s">
        <v>306</v>
      </c>
      <c r="E569">
        <v>20020417</v>
      </c>
      <c r="F569" t="s">
        <v>437</v>
      </c>
      <c r="G569">
        <v>598497</v>
      </c>
      <c r="H569" s="184">
        <v>44326</v>
      </c>
      <c r="I569" s="184">
        <v>44333</v>
      </c>
      <c r="J569" t="s">
        <v>438</v>
      </c>
      <c r="K569">
        <v>60000</v>
      </c>
      <c r="L569" t="s">
        <v>261</v>
      </c>
    </row>
    <row r="570" spans="1:12" x14ac:dyDescent="0.4">
      <c r="A570" t="s">
        <v>165</v>
      </c>
      <c r="B570" t="s">
        <v>2</v>
      </c>
      <c r="C570" t="s">
        <v>305</v>
      </c>
      <c r="D570" t="s">
        <v>306</v>
      </c>
      <c r="E570">
        <v>20020417</v>
      </c>
      <c r="F570" t="s">
        <v>437</v>
      </c>
      <c r="G570">
        <v>598497</v>
      </c>
      <c r="H570" s="184">
        <v>44326</v>
      </c>
      <c r="I570" s="184">
        <v>44333</v>
      </c>
      <c r="J570" t="s">
        <v>438</v>
      </c>
      <c r="K570">
        <v>60000</v>
      </c>
      <c r="L570" t="s">
        <v>262</v>
      </c>
    </row>
    <row r="571" spans="1:12" x14ac:dyDescent="0.4">
      <c r="A571" t="s">
        <v>165</v>
      </c>
      <c r="B571" t="s">
        <v>2</v>
      </c>
      <c r="C571" t="s">
        <v>305</v>
      </c>
      <c r="D571" t="s">
        <v>306</v>
      </c>
      <c r="E571">
        <v>20020417</v>
      </c>
      <c r="F571" t="s">
        <v>437</v>
      </c>
      <c r="G571">
        <v>598497</v>
      </c>
      <c r="H571" s="184">
        <v>44326</v>
      </c>
      <c r="I571" s="184">
        <v>44333</v>
      </c>
      <c r="J571" t="s">
        <v>438</v>
      </c>
      <c r="K571">
        <v>60000</v>
      </c>
      <c r="L571" t="s">
        <v>263</v>
      </c>
    </row>
    <row r="572" spans="1:12" x14ac:dyDescent="0.4">
      <c r="A572" t="s">
        <v>165</v>
      </c>
      <c r="B572" t="s">
        <v>2</v>
      </c>
      <c r="C572" t="s">
        <v>305</v>
      </c>
      <c r="D572" t="s">
        <v>306</v>
      </c>
      <c r="E572">
        <v>20020422</v>
      </c>
      <c r="F572" t="s">
        <v>439</v>
      </c>
      <c r="G572">
        <v>597651</v>
      </c>
      <c r="H572" s="184">
        <v>44258</v>
      </c>
      <c r="I572" s="184">
        <v>44279</v>
      </c>
      <c r="J572" t="s">
        <v>440</v>
      </c>
      <c r="K572">
        <v>60000</v>
      </c>
      <c r="L572" t="s">
        <v>242</v>
      </c>
    </row>
    <row r="573" spans="1:12" x14ac:dyDescent="0.4">
      <c r="A573" t="s">
        <v>165</v>
      </c>
      <c r="B573" t="s">
        <v>2</v>
      </c>
      <c r="C573" t="s">
        <v>305</v>
      </c>
      <c r="D573" t="s">
        <v>306</v>
      </c>
      <c r="E573">
        <v>20020422</v>
      </c>
      <c r="F573" t="s">
        <v>439</v>
      </c>
      <c r="G573">
        <v>597651</v>
      </c>
      <c r="H573" s="184">
        <v>44258</v>
      </c>
      <c r="I573" s="184">
        <v>44279</v>
      </c>
      <c r="J573" t="s">
        <v>440</v>
      </c>
      <c r="K573">
        <v>60000</v>
      </c>
      <c r="L573" t="s">
        <v>243</v>
      </c>
    </row>
    <row r="574" spans="1:12" x14ac:dyDescent="0.4">
      <c r="A574" t="s">
        <v>165</v>
      </c>
      <c r="B574" t="s">
        <v>2</v>
      </c>
      <c r="C574" t="s">
        <v>305</v>
      </c>
      <c r="D574" t="s">
        <v>306</v>
      </c>
      <c r="E574">
        <v>20020422</v>
      </c>
      <c r="F574" t="s">
        <v>439</v>
      </c>
      <c r="G574">
        <v>597651</v>
      </c>
      <c r="H574" s="184">
        <v>44258</v>
      </c>
      <c r="I574" s="184">
        <v>44279</v>
      </c>
      <c r="J574" t="s">
        <v>440</v>
      </c>
      <c r="K574">
        <v>60000</v>
      </c>
      <c r="L574" t="s">
        <v>244</v>
      </c>
    </row>
    <row r="575" spans="1:12" x14ac:dyDescent="0.4">
      <c r="A575" t="s">
        <v>165</v>
      </c>
      <c r="B575" t="s">
        <v>2</v>
      </c>
      <c r="C575" t="s">
        <v>305</v>
      </c>
      <c r="D575" t="s">
        <v>306</v>
      </c>
      <c r="E575">
        <v>20020422</v>
      </c>
      <c r="F575" t="s">
        <v>439</v>
      </c>
      <c r="G575">
        <v>597651</v>
      </c>
      <c r="H575" s="184">
        <v>44258</v>
      </c>
      <c r="I575" s="184">
        <v>44279</v>
      </c>
      <c r="J575" t="s">
        <v>440</v>
      </c>
      <c r="K575">
        <v>60000</v>
      </c>
      <c r="L575" t="s">
        <v>245</v>
      </c>
    </row>
    <row r="576" spans="1:12" x14ac:dyDescent="0.4">
      <c r="A576" t="s">
        <v>165</v>
      </c>
      <c r="B576" t="s">
        <v>2</v>
      </c>
      <c r="C576" t="s">
        <v>305</v>
      </c>
      <c r="D576" t="s">
        <v>306</v>
      </c>
      <c r="E576">
        <v>20020422</v>
      </c>
      <c r="F576" t="s">
        <v>439</v>
      </c>
      <c r="G576">
        <v>597651</v>
      </c>
      <c r="H576" s="184">
        <v>44258</v>
      </c>
      <c r="I576" s="184">
        <v>44279</v>
      </c>
      <c r="J576" t="s">
        <v>440</v>
      </c>
      <c r="K576">
        <v>60000</v>
      </c>
      <c r="L576" t="s">
        <v>246</v>
      </c>
    </row>
    <row r="577" spans="1:12" x14ac:dyDescent="0.4">
      <c r="A577" t="s">
        <v>165</v>
      </c>
      <c r="B577" t="s">
        <v>2</v>
      </c>
      <c r="C577" t="s">
        <v>305</v>
      </c>
      <c r="D577" t="s">
        <v>306</v>
      </c>
      <c r="E577">
        <v>20020422</v>
      </c>
      <c r="F577" t="s">
        <v>439</v>
      </c>
      <c r="G577">
        <v>597651</v>
      </c>
      <c r="H577" s="184">
        <v>44258</v>
      </c>
      <c r="I577" s="184">
        <v>44279</v>
      </c>
      <c r="J577" t="s">
        <v>440</v>
      </c>
      <c r="K577">
        <v>60000</v>
      </c>
      <c r="L577" t="s">
        <v>247</v>
      </c>
    </row>
    <row r="578" spans="1:12" x14ac:dyDescent="0.4">
      <c r="A578" t="s">
        <v>165</v>
      </c>
      <c r="B578" t="s">
        <v>2</v>
      </c>
      <c r="C578" t="s">
        <v>305</v>
      </c>
      <c r="D578" t="s">
        <v>306</v>
      </c>
      <c r="E578">
        <v>20020435</v>
      </c>
      <c r="F578" t="s">
        <v>441</v>
      </c>
      <c r="G578">
        <v>598419</v>
      </c>
      <c r="H578" s="184">
        <v>44278</v>
      </c>
      <c r="I578" s="184">
        <v>44322</v>
      </c>
      <c r="J578" t="s">
        <v>442</v>
      </c>
      <c r="K578">
        <v>60000</v>
      </c>
      <c r="L578" t="s">
        <v>258</v>
      </c>
    </row>
    <row r="579" spans="1:12" x14ac:dyDescent="0.4">
      <c r="A579" t="s">
        <v>165</v>
      </c>
      <c r="B579" t="s">
        <v>2</v>
      </c>
      <c r="C579" t="s">
        <v>305</v>
      </c>
      <c r="D579" t="s">
        <v>306</v>
      </c>
      <c r="E579">
        <v>20020435</v>
      </c>
      <c r="F579" t="s">
        <v>441</v>
      </c>
      <c r="G579">
        <v>598419</v>
      </c>
      <c r="H579" s="184">
        <v>44278</v>
      </c>
      <c r="I579" s="184">
        <v>44322</v>
      </c>
      <c r="J579" t="s">
        <v>442</v>
      </c>
      <c r="K579">
        <v>60000</v>
      </c>
      <c r="L579" t="s">
        <v>259</v>
      </c>
    </row>
    <row r="580" spans="1:12" x14ac:dyDescent="0.4">
      <c r="A580" t="s">
        <v>165</v>
      </c>
      <c r="B580" t="s">
        <v>2</v>
      </c>
      <c r="C580" t="s">
        <v>305</v>
      </c>
      <c r="D580" t="s">
        <v>306</v>
      </c>
      <c r="E580">
        <v>20020435</v>
      </c>
      <c r="F580" t="s">
        <v>441</v>
      </c>
      <c r="G580">
        <v>598419</v>
      </c>
      <c r="H580" s="184">
        <v>44278</v>
      </c>
      <c r="I580" s="184">
        <v>44322</v>
      </c>
      <c r="J580" t="s">
        <v>442</v>
      </c>
      <c r="K580">
        <v>60000</v>
      </c>
      <c r="L580" t="s">
        <v>260</v>
      </c>
    </row>
    <row r="581" spans="1:12" x14ac:dyDescent="0.4">
      <c r="A581" t="s">
        <v>165</v>
      </c>
      <c r="B581" t="s">
        <v>2</v>
      </c>
      <c r="C581" t="s">
        <v>305</v>
      </c>
      <c r="D581" t="s">
        <v>306</v>
      </c>
      <c r="E581">
        <v>20020435</v>
      </c>
      <c r="F581" t="s">
        <v>441</v>
      </c>
      <c r="G581">
        <v>598419</v>
      </c>
      <c r="H581" s="184">
        <v>44278</v>
      </c>
      <c r="I581" s="184">
        <v>44322</v>
      </c>
      <c r="J581" t="s">
        <v>442</v>
      </c>
      <c r="K581">
        <v>60000</v>
      </c>
      <c r="L581" t="s">
        <v>261</v>
      </c>
    </row>
    <row r="582" spans="1:12" x14ac:dyDescent="0.4">
      <c r="A582" t="s">
        <v>165</v>
      </c>
      <c r="B582" t="s">
        <v>2</v>
      </c>
      <c r="C582" t="s">
        <v>305</v>
      </c>
      <c r="D582" t="s">
        <v>306</v>
      </c>
      <c r="E582">
        <v>20020435</v>
      </c>
      <c r="F582" t="s">
        <v>441</v>
      </c>
      <c r="G582">
        <v>598419</v>
      </c>
      <c r="H582" s="184">
        <v>44278</v>
      </c>
      <c r="I582" s="184">
        <v>44322</v>
      </c>
      <c r="J582" t="s">
        <v>442</v>
      </c>
      <c r="K582">
        <v>60000</v>
      </c>
      <c r="L582" t="s">
        <v>262</v>
      </c>
    </row>
    <row r="583" spans="1:12" x14ac:dyDescent="0.4">
      <c r="A583" t="s">
        <v>165</v>
      </c>
      <c r="B583" t="s">
        <v>2</v>
      </c>
      <c r="C583" t="s">
        <v>305</v>
      </c>
      <c r="D583" t="s">
        <v>306</v>
      </c>
      <c r="E583">
        <v>20020435</v>
      </c>
      <c r="F583" t="s">
        <v>441</v>
      </c>
      <c r="G583">
        <v>598419</v>
      </c>
      <c r="H583" s="184">
        <v>44278</v>
      </c>
      <c r="I583" s="184">
        <v>44322</v>
      </c>
      <c r="J583" t="s">
        <v>442</v>
      </c>
      <c r="K583">
        <v>60000</v>
      </c>
      <c r="L583" t="s">
        <v>263</v>
      </c>
    </row>
    <row r="584" spans="1:12" x14ac:dyDescent="0.4">
      <c r="A584" t="s">
        <v>165</v>
      </c>
      <c r="B584" t="s">
        <v>2</v>
      </c>
      <c r="C584" t="s">
        <v>305</v>
      </c>
      <c r="D584" t="s">
        <v>306</v>
      </c>
      <c r="E584">
        <v>20020494</v>
      </c>
      <c r="F584" t="s">
        <v>443</v>
      </c>
      <c r="G584">
        <v>597834</v>
      </c>
      <c r="H584" s="184">
        <v>44280</v>
      </c>
      <c r="I584" s="184">
        <v>44287</v>
      </c>
      <c r="J584" t="s">
        <v>356</v>
      </c>
      <c r="K584">
        <v>60000</v>
      </c>
      <c r="L584" t="s">
        <v>311</v>
      </c>
    </row>
    <row r="585" spans="1:12" x14ac:dyDescent="0.4">
      <c r="A585" t="s">
        <v>165</v>
      </c>
      <c r="B585" t="s">
        <v>2</v>
      </c>
      <c r="C585" t="s">
        <v>305</v>
      </c>
      <c r="D585" t="s">
        <v>306</v>
      </c>
      <c r="E585">
        <v>20020494</v>
      </c>
      <c r="F585" t="s">
        <v>443</v>
      </c>
      <c r="G585">
        <v>597834</v>
      </c>
      <c r="H585" s="184">
        <v>44280</v>
      </c>
      <c r="I585" s="184">
        <v>44287</v>
      </c>
      <c r="J585" t="s">
        <v>356</v>
      </c>
      <c r="K585">
        <v>60000</v>
      </c>
      <c r="L585" t="s">
        <v>312</v>
      </c>
    </row>
    <row r="586" spans="1:12" x14ac:dyDescent="0.4">
      <c r="A586" t="s">
        <v>165</v>
      </c>
      <c r="B586" t="s">
        <v>2</v>
      </c>
      <c r="C586" t="s">
        <v>305</v>
      </c>
      <c r="D586" t="s">
        <v>306</v>
      </c>
      <c r="E586">
        <v>20020494</v>
      </c>
      <c r="F586" t="s">
        <v>443</v>
      </c>
      <c r="G586">
        <v>597834</v>
      </c>
      <c r="H586" s="184">
        <v>44280</v>
      </c>
      <c r="I586" s="184">
        <v>44287</v>
      </c>
      <c r="J586" t="s">
        <v>356</v>
      </c>
      <c r="K586">
        <v>60000</v>
      </c>
      <c r="L586" t="s">
        <v>313</v>
      </c>
    </row>
    <row r="587" spans="1:12" x14ac:dyDescent="0.4">
      <c r="A587" t="s">
        <v>165</v>
      </c>
      <c r="B587" t="s">
        <v>2</v>
      </c>
      <c r="C587" t="s">
        <v>305</v>
      </c>
      <c r="D587" t="s">
        <v>306</v>
      </c>
      <c r="E587">
        <v>20020494</v>
      </c>
      <c r="F587" t="s">
        <v>443</v>
      </c>
      <c r="G587">
        <v>597834</v>
      </c>
      <c r="H587" s="184">
        <v>44280</v>
      </c>
      <c r="I587" s="184">
        <v>44287</v>
      </c>
      <c r="J587" t="s">
        <v>356</v>
      </c>
      <c r="K587">
        <v>60000</v>
      </c>
      <c r="L587" t="s">
        <v>314</v>
      </c>
    </row>
    <row r="588" spans="1:12" x14ac:dyDescent="0.4">
      <c r="A588" t="s">
        <v>165</v>
      </c>
      <c r="B588" t="s">
        <v>2</v>
      </c>
      <c r="C588" t="s">
        <v>305</v>
      </c>
      <c r="D588" t="s">
        <v>306</v>
      </c>
      <c r="E588">
        <v>20020494</v>
      </c>
      <c r="F588" t="s">
        <v>443</v>
      </c>
      <c r="G588">
        <v>597834</v>
      </c>
      <c r="H588" s="184">
        <v>44280</v>
      </c>
      <c r="I588" s="184">
        <v>44287</v>
      </c>
      <c r="J588" t="s">
        <v>356</v>
      </c>
      <c r="K588">
        <v>60000</v>
      </c>
      <c r="L588" t="s">
        <v>315</v>
      </c>
    </row>
    <row r="589" spans="1:12" x14ac:dyDescent="0.4">
      <c r="A589" t="s">
        <v>165</v>
      </c>
      <c r="B589" t="s">
        <v>2</v>
      </c>
      <c r="C589" t="s">
        <v>305</v>
      </c>
      <c r="D589" t="s">
        <v>306</v>
      </c>
      <c r="E589">
        <v>20020494</v>
      </c>
      <c r="F589" t="s">
        <v>443</v>
      </c>
      <c r="G589">
        <v>597834</v>
      </c>
      <c r="H589" s="184">
        <v>44280</v>
      </c>
      <c r="I589" s="184">
        <v>44287</v>
      </c>
      <c r="J589" t="s">
        <v>356</v>
      </c>
      <c r="K589">
        <v>60000</v>
      </c>
      <c r="L589" t="s">
        <v>316</v>
      </c>
    </row>
    <row r="590" spans="1:12" x14ac:dyDescent="0.4">
      <c r="A590" t="s">
        <v>165</v>
      </c>
      <c r="B590" t="s">
        <v>2</v>
      </c>
      <c r="C590" t="s">
        <v>305</v>
      </c>
      <c r="D590" t="s">
        <v>306</v>
      </c>
      <c r="E590">
        <v>20020500</v>
      </c>
      <c r="F590" t="s">
        <v>444</v>
      </c>
      <c r="G590">
        <v>598389</v>
      </c>
      <c r="H590" s="184">
        <v>44308</v>
      </c>
      <c r="I590" s="184">
        <v>44326</v>
      </c>
      <c r="J590" t="s">
        <v>442</v>
      </c>
      <c r="K590">
        <v>60000</v>
      </c>
      <c r="L590" t="s">
        <v>258</v>
      </c>
    </row>
    <row r="591" spans="1:12" x14ac:dyDescent="0.4">
      <c r="A591" t="s">
        <v>165</v>
      </c>
      <c r="B591" t="s">
        <v>2</v>
      </c>
      <c r="C591" t="s">
        <v>305</v>
      </c>
      <c r="D591" t="s">
        <v>306</v>
      </c>
      <c r="E591">
        <v>20020500</v>
      </c>
      <c r="F591" t="s">
        <v>444</v>
      </c>
      <c r="G591">
        <v>598389</v>
      </c>
      <c r="H591" s="184">
        <v>44308</v>
      </c>
      <c r="I591" s="184">
        <v>44326</v>
      </c>
      <c r="J591" t="s">
        <v>442</v>
      </c>
      <c r="K591">
        <v>60000</v>
      </c>
      <c r="L591" t="s">
        <v>259</v>
      </c>
    </row>
    <row r="592" spans="1:12" x14ac:dyDescent="0.4">
      <c r="A592" t="s">
        <v>165</v>
      </c>
      <c r="B592" t="s">
        <v>2</v>
      </c>
      <c r="C592" t="s">
        <v>305</v>
      </c>
      <c r="D592" t="s">
        <v>306</v>
      </c>
      <c r="E592">
        <v>20020500</v>
      </c>
      <c r="F592" t="s">
        <v>444</v>
      </c>
      <c r="G592">
        <v>598389</v>
      </c>
      <c r="H592" s="184">
        <v>44308</v>
      </c>
      <c r="I592" s="184">
        <v>44326</v>
      </c>
      <c r="J592" t="s">
        <v>442</v>
      </c>
      <c r="K592">
        <v>60000</v>
      </c>
      <c r="L592" t="s">
        <v>260</v>
      </c>
    </row>
    <row r="593" spans="1:12" x14ac:dyDescent="0.4">
      <c r="A593" t="s">
        <v>165</v>
      </c>
      <c r="B593" t="s">
        <v>2</v>
      </c>
      <c r="C593" t="s">
        <v>305</v>
      </c>
      <c r="D593" t="s">
        <v>306</v>
      </c>
      <c r="E593">
        <v>20020500</v>
      </c>
      <c r="F593" t="s">
        <v>444</v>
      </c>
      <c r="G593">
        <v>598389</v>
      </c>
      <c r="H593" s="184">
        <v>44308</v>
      </c>
      <c r="I593" s="184">
        <v>44326</v>
      </c>
      <c r="J593" t="s">
        <v>442</v>
      </c>
      <c r="K593">
        <v>60000</v>
      </c>
      <c r="L593" t="s">
        <v>261</v>
      </c>
    </row>
    <row r="594" spans="1:12" x14ac:dyDescent="0.4">
      <c r="A594" t="s">
        <v>165</v>
      </c>
      <c r="B594" t="s">
        <v>2</v>
      </c>
      <c r="C594" t="s">
        <v>305</v>
      </c>
      <c r="D594" t="s">
        <v>306</v>
      </c>
      <c r="E594">
        <v>20020500</v>
      </c>
      <c r="F594" t="s">
        <v>444</v>
      </c>
      <c r="G594">
        <v>598389</v>
      </c>
      <c r="H594" s="184">
        <v>44308</v>
      </c>
      <c r="I594" s="184">
        <v>44326</v>
      </c>
      <c r="J594" t="s">
        <v>442</v>
      </c>
      <c r="K594">
        <v>60000</v>
      </c>
      <c r="L594" t="s">
        <v>262</v>
      </c>
    </row>
    <row r="595" spans="1:12" x14ac:dyDescent="0.4">
      <c r="A595" t="s">
        <v>165</v>
      </c>
      <c r="B595" t="s">
        <v>2</v>
      </c>
      <c r="C595" t="s">
        <v>305</v>
      </c>
      <c r="D595" t="s">
        <v>306</v>
      </c>
      <c r="E595">
        <v>20020500</v>
      </c>
      <c r="F595" t="s">
        <v>444</v>
      </c>
      <c r="G595">
        <v>598389</v>
      </c>
      <c r="H595" s="184">
        <v>44308</v>
      </c>
      <c r="I595" s="184">
        <v>44326</v>
      </c>
      <c r="J595" t="s">
        <v>442</v>
      </c>
      <c r="K595">
        <v>60000</v>
      </c>
      <c r="L595" t="s">
        <v>263</v>
      </c>
    </row>
    <row r="596" spans="1:12" x14ac:dyDescent="0.4">
      <c r="A596" t="s">
        <v>165</v>
      </c>
      <c r="B596" t="s">
        <v>2</v>
      </c>
      <c r="C596" t="s">
        <v>305</v>
      </c>
      <c r="D596" t="s">
        <v>306</v>
      </c>
      <c r="E596">
        <v>20020764</v>
      </c>
      <c r="F596" t="s">
        <v>445</v>
      </c>
      <c r="G596">
        <v>599419</v>
      </c>
      <c r="H596" s="184"/>
      <c r="I596" s="184"/>
      <c r="J596" t="s">
        <v>257</v>
      </c>
      <c r="K596">
        <v>60000</v>
      </c>
      <c r="L596" t="s">
        <v>258</v>
      </c>
    </row>
    <row r="597" spans="1:12" x14ac:dyDescent="0.4">
      <c r="A597" t="s">
        <v>165</v>
      </c>
      <c r="B597" t="s">
        <v>2</v>
      </c>
      <c r="C597" t="s">
        <v>305</v>
      </c>
      <c r="D597" t="s">
        <v>306</v>
      </c>
      <c r="E597">
        <v>20020764</v>
      </c>
      <c r="F597" t="s">
        <v>445</v>
      </c>
      <c r="G597">
        <v>599419</v>
      </c>
      <c r="H597" s="184"/>
      <c r="I597" s="184"/>
      <c r="J597" t="s">
        <v>257</v>
      </c>
      <c r="K597">
        <v>60000</v>
      </c>
      <c r="L597" t="s">
        <v>259</v>
      </c>
    </row>
    <row r="598" spans="1:12" x14ac:dyDescent="0.4">
      <c r="A598" t="s">
        <v>165</v>
      </c>
      <c r="B598" t="s">
        <v>2</v>
      </c>
      <c r="C598" t="s">
        <v>305</v>
      </c>
      <c r="D598" t="s">
        <v>306</v>
      </c>
      <c r="E598">
        <v>20020764</v>
      </c>
      <c r="F598" t="s">
        <v>445</v>
      </c>
      <c r="G598">
        <v>599419</v>
      </c>
      <c r="H598" s="184"/>
      <c r="I598" s="184"/>
      <c r="J598" t="s">
        <v>257</v>
      </c>
      <c r="K598">
        <v>60000</v>
      </c>
      <c r="L598" t="s">
        <v>260</v>
      </c>
    </row>
    <row r="599" spans="1:12" x14ac:dyDescent="0.4">
      <c r="A599" t="s">
        <v>165</v>
      </c>
      <c r="B599" t="s">
        <v>2</v>
      </c>
      <c r="C599" t="s">
        <v>305</v>
      </c>
      <c r="D599" t="s">
        <v>306</v>
      </c>
      <c r="E599">
        <v>20020764</v>
      </c>
      <c r="F599" t="s">
        <v>445</v>
      </c>
      <c r="G599">
        <v>599419</v>
      </c>
      <c r="H599" s="184"/>
      <c r="I599" s="184"/>
      <c r="J599" t="s">
        <v>257</v>
      </c>
      <c r="K599">
        <v>60000</v>
      </c>
      <c r="L599" t="s">
        <v>261</v>
      </c>
    </row>
    <row r="600" spans="1:12" x14ac:dyDescent="0.4">
      <c r="A600" t="s">
        <v>165</v>
      </c>
      <c r="B600" t="s">
        <v>2</v>
      </c>
      <c r="C600" t="s">
        <v>305</v>
      </c>
      <c r="D600" t="s">
        <v>306</v>
      </c>
      <c r="E600">
        <v>20020764</v>
      </c>
      <c r="F600" t="s">
        <v>445</v>
      </c>
      <c r="G600">
        <v>599419</v>
      </c>
      <c r="H600" s="184"/>
      <c r="I600" s="184"/>
      <c r="J600" t="s">
        <v>257</v>
      </c>
      <c r="K600">
        <v>60000</v>
      </c>
      <c r="L600" t="s">
        <v>262</v>
      </c>
    </row>
    <row r="601" spans="1:12" x14ac:dyDescent="0.4">
      <c r="A601" t="s">
        <v>165</v>
      </c>
      <c r="B601" t="s">
        <v>2</v>
      </c>
      <c r="C601" t="s">
        <v>305</v>
      </c>
      <c r="D601" t="s">
        <v>306</v>
      </c>
      <c r="E601">
        <v>20020764</v>
      </c>
      <c r="F601" t="s">
        <v>445</v>
      </c>
      <c r="G601">
        <v>599419</v>
      </c>
      <c r="H601" s="184"/>
      <c r="I601" s="184"/>
      <c r="J601" t="s">
        <v>257</v>
      </c>
      <c r="K601">
        <v>60000</v>
      </c>
      <c r="L601" t="s">
        <v>263</v>
      </c>
    </row>
    <row r="602" spans="1:12" x14ac:dyDescent="0.4">
      <c r="A602" t="s">
        <v>166</v>
      </c>
      <c r="B602" t="s">
        <v>3</v>
      </c>
      <c r="C602" t="s">
        <v>446</v>
      </c>
      <c r="D602" t="s">
        <v>447</v>
      </c>
      <c r="E602">
        <v>10004939</v>
      </c>
      <c r="F602" t="s">
        <v>448</v>
      </c>
      <c r="G602">
        <v>593358</v>
      </c>
      <c r="H602" s="184">
        <v>43986</v>
      </c>
      <c r="I602" s="184">
        <v>44011</v>
      </c>
      <c r="J602" t="s">
        <v>449</v>
      </c>
      <c r="K602">
        <v>60000</v>
      </c>
      <c r="L602" t="s">
        <v>353</v>
      </c>
    </row>
    <row r="603" spans="1:12" x14ac:dyDescent="0.4">
      <c r="A603" t="s">
        <v>166</v>
      </c>
      <c r="B603" t="s">
        <v>3</v>
      </c>
      <c r="C603" t="s">
        <v>446</v>
      </c>
      <c r="D603" t="s">
        <v>447</v>
      </c>
      <c r="E603">
        <v>10004939</v>
      </c>
      <c r="F603" t="s">
        <v>448</v>
      </c>
      <c r="G603">
        <v>593358</v>
      </c>
      <c r="H603" s="184">
        <v>43986</v>
      </c>
      <c r="I603" s="184">
        <v>44011</v>
      </c>
      <c r="J603" t="s">
        <v>449</v>
      </c>
      <c r="K603">
        <v>60000</v>
      </c>
      <c r="L603" t="s">
        <v>258</v>
      </c>
    </row>
    <row r="604" spans="1:12" x14ac:dyDescent="0.4">
      <c r="A604" t="s">
        <v>166</v>
      </c>
      <c r="B604" t="s">
        <v>3</v>
      </c>
      <c r="C604" t="s">
        <v>446</v>
      </c>
      <c r="D604" t="s">
        <v>447</v>
      </c>
      <c r="E604">
        <v>10004939</v>
      </c>
      <c r="F604" t="s">
        <v>448</v>
      </c>
      <c r="G604">
        <v>593358</v>
      </c>
      <c r="H604" s="184">
        <v>43986</v>
      </c>
      <c r="I604" s="184">
        <v>44011</v>
      </c>
      <c r="J604" t="s">
        <v>449</v>
      </c>
      <c r="K604">
        <v>60000</v>
      </c>
      <c r="L604" t="s">
        <v>327</v>
      </c>
    </row>
    <row r="605" spans="1:12" x14ac:dyDescent="0.4">
      <c r="A605" t="s">
        <v>166</v>
      </c>
      <c r="B605" t="s">
        <v>3</v>
      </c>
      <c r="C605" t="s">
        <v>446</v>
      </c>
      <c r="D605" t="s">
        <v>447</v>
      </c>
      <c r="E605">
        <v>10004939</v>
      </c>
      <c r="F605" t="s">
        <v>448</v>
      </c>
      <c r="G605">
        <v>593358</v>
      </c>
      <c r="H605" s="184">
        <v>43986</v>
      </c>
      <c r="I605" s="184">
        <v>44011</v>
      </c>
      <c r="J605" t="s">
        <v>449</v>
      </c>
      <c r="K605">
        <v>60000</v>
      </c>
      <c r="L605" t="s">
        <v>328</v>
      </c>
    </row>
    <row r="606" spans="1:12" x14ac:dyDescent="0.4">
      <c r="A606" t="s">
        <v>166</v>
      </c>
      <c r="B606" t="s">
        <v>3</v>
      </c>
      <c r="C606" t="s">
        <v>446</v>
      </c>
      <c r="D606" t="s">
        <v>447</v>
      </c>
      <c r="E606">
        <v>10004939</v>
      </c>
      <c r="F606" t="s">
        <v>448</v>
      </c>
      <c r="G606">
        <v>593358</v>
      </c>
      <c r="H606" s="184">
        <v>43986</v>
      </c>
      <c r="I606" s="184">
        <v>44011</v>
      </c>
      <c r="J606" t="s">
        <v>449</v>
      </c>
      <c r="K606">
        <v>60000</v>
      </c>
      <c r="L606" t="s">
        <v>329</v>
      </c>
    </row>
    <row r="607" spans="1:12" x14ac:dyDescent="0.4">
      <c r="A607" t="s">
        <v>166</v>
      </c>
      <c r="B607" t="s">
        <v>3</v>
      </c>
      <c r="C607" t="s">
        <v>446</v>
      </c>
      <c r="D607" t="s">
        <v>447</v>
      </c>
      <c r="E607">
        <v>10004939</v>
      </c>
      <c r="F607" t="s">
        <v>448</v>
      </c>
      <c r="G607">
        <v>593358</v>
      </c>
      <c r="H607" s="184">
        <v>43986</v>
      </c>
      <c r="I607" s="184">
        <v>44011</v>
      </c>
      <c r="J607" t="s">
        <v>449</v>
      </c>
      <c r="K607">
        <v>60000</v>
      </c>
      <c r="L607" t="s">
        <v>330</v>
      </c>
    </row>
    <row r="608" spans="1:12" x14ac:dyDescent="0.4">
      <c r="A608" t="s">
        <v>166</v>
      </c>
      <c r="B608" t="s">
        <v>3</v>
      </c>
      <c r="C608" t="s">
        <v>450</v>
      </c>
      <c r="D608" t="s">
        <v>451</v>
      </c>
      <c r="E608">
        <v>10007106</v>
      </c>
      <c r="F608" t="s">
        <v>452</v>
      </c>
      <c r="G608">
        <v>592013</v>
      </c>
      <c r="H608" s="184">
        <v>43903</v>
      </c>
      <c r="I608" s="184">
        <v>43906</v>
      </c>
      <c r="J608" t="s">
        <v>453</v>
      </c>
      <c r="K608">
        <v>60000</v>
      </c>
      <c r="L608" t="s">
        <v>281</v>
      </c>
    </row>
    <row r="609" spans="1:12" x14ac:dyDescent="0.4">
      <c r="A609" t="s">
        <v>166</v>
      </c>
      <c r="B609" t="s">
        <v>3</v>
      </c>
      <c r="C609" t="s">
        <v>450</v>
      </c>
      <c r="D609" t="s">
        <v>451</v>
      </c>
      <c r="E609">
        <v>10007106</v>
      </c>
      <c r="F609" t="s">
        <v>452</v>
      </c>
      <c r="G609">
        <v>592013</v>
      </c>
      <c r="H609" s="184">
        <v>43903</v>
      </c>
      <c r="I609" s="184">
        <v>43906</v>
      </c>
      <c r="J609" t="s">
        <v>453</v>
      </c>
      <c r="K609">
        <v>60000</v>
      </c>
      <c r="L609" t="s">
        <v>230</v>
      </c>
    </row>
    <row r="610" spans="1:12" x14ac:dyDescent="0.4">
      <c r="A610" t="s">
        <v>166</v>
      </c>
      <c r="B610" t="s">
        <v>3</v>
      </c>
      <c r="C610" t="s">
        <v>450</v>
      </c>
      <c r="D610" t="s">
        <v>451</v>
      </c>
      <c r="E610">
        <v>10007106</v>
      </c>
      <c r="F610" t="s">
        <v>452</v>
      </c>
      <c r="G610">
        <v>592013</v>
      </c>
      <c r="H610" s="184">
        <v>43903</v>
      </c>
      <c r="I610" s="184">
        <v>43906</v>
      </c>
      <c r="J610" t="s">
        <v>453</v>
      </c>
      <c r="K610">
        <v>60000</v>
      </c>
      <c r="L610" t="s">
        <v>243</v>
      </c>
    </row>
    <row r="611" spans="1:12" x14ac:dyDescent="0.4">
      <c r="A611" t="s">
        <v>166</v>
      </c>
      <c r="B611" t="s">
        <v>3</v>
      </c>
      <c r="C611" t="s">
        <v>450</v>
      </c>
      <c r="D611" t="s">
        <v>451</v>
      </c>
      <c r="E611">
        <v>10007106</v>
      </c>
      <c r="F611" t="s">
        <v>452</v>
      </c>
      <c r="G611">
        <v>592013</v>
      </c>
      <c r="H611" s="184">
        <v>43903</v>
      </c>
      <c r="I611" s="184">
        <v>43906</v>
      </c>
      <c r="J611" t="s">
        <v>453</v>
      </c>
      <c r="K611">
        <v>60000</v>
      </c>
      <c r="L611" t="s">
        <v>244</v>
      </c>
    </row>
    <row r="612" spans="1:12" x14ac:dyDescent="0.4">
      <c r="A612" t="s">
        <v>166</v>
      </c>
      <c r="B612" t="s">
        <v>3</v>
      </c>
      <c r="C612" t="s">
        <v>450</v>
      </c>
      <c r="D612" t="s">
        <v>451</v>
      </c>
      <c r="E612">
        <v>10007106</v>
      </c>
      <c r="F612" t="s">
        <v>452</v>
      </c>
      <c r="G612">
        <v>592013</v>
      </c>
      <c r="H612" s="184">
        <v>43903</v>
      </c>
      <c r="I612" s="184">
        <v>43906</v>
      </c>
      <c r="J612" t="s">
        <v>453</v>
      </c>
      <c r="K612">
        <v>60000</v>
      </c>
      <c r="L612" t="s">
        <v>245</v>
      </c>
    </row>
    <row r="613" spans="1:12" x14ac:dyDescent="0.4">
      <c r="A613" t="s">
        <v>166</v>
      </c>
      <c r="B613" t="s">
        <v>3</v>
      </c>
      <c r="C613" t="s">
        <v>450</v>
      </c>
      <c r="D613" t="s">
        <v>451</v>
      </c>
      <c r="E613">
        <v>10007106</v>
      </c>
      <c r="F613" t="s">
        <v>452</v>
      </c>
      <c r="G613">
        <v>592013</v>
      </c>
      <c r="H613" s="184">
        <v>43903</v>
      </c>
      <c r="I613" s="184">
        <v>43906</v>
      </c>
      <c r="J613" t="s">
        <v>453</v>
      </c>
      <c r="K613">
        <v>60000</v>
      </c>
      <c r="L613" t="s">
        <v>246</v>
      </c>
    </row>
    <row r="614" spans="1:12" x14ac:dyDescent="0.4">
      <c r="A614" t="s">
        <v>166</v>
      </c>
      <c r="B614" t="s">
        <v>3</v>
      </c>
      <c r="C614" t="s">
        <v>446</v>
      </c>
      <c r="D614" t="s">
        <v>447</v>
      </c>
      <c r="E614">
        <v>10009542</v>
      </c>
      <c r="F614" t="s">
        <v>454</v>
      </c>
      <c r="G614">
        <v>594231</v>
      </c>
      <c r="H614" s="184">
        <v>44070</v>
      </c>
      <c r="I614" s="184">
        <v>44074</v>
      </c>
      <c r="J614" t="s">
        <v>455</v>
      </c>
      <c r="K614">
        <v>60000</v>
      </c>
      <c r="L614" t="s">
        <v>203</v>
      </c>
    </row>
    <row r="615" spans="1:12" x14ac:dyDescent="0.4">
      <c r="A615" t="s">
        <v>166</v>
      </c>
      <c r="B615" t="s">
        <v>3</v>
      </c>
      <c r="C615" t="s">
        <v>446</v>
      </c>
      <c r="D615" t="s">
        <v>447</v>
      </c>
      <c r="E615">
        <v>10009542</v>
      </c>
      <c r="F615" t="s">
        <v>454</v>
      </c>
      <c r="G615">
        <v>594231</v>
      </c>
      <c r="H615" s="184">
        <v>44070</v>
      </c>
      <c r="I615" s="184">
        <v>44074</v>
      </c>
      <c r="J615" t="s">
        <v>455</v>
      </c>
      <c r="K615">
        <v>60000</v>
      </c>
      <c r="L615" t="s">
        <v>204</v>
      </c>
    </row>
    <row r="616" spans="1:12" x14ac:dyDescent="0.4">
      <c r="A616" t="s">
        <v>166</v>
      </c>
      <c r="B616" t="s">
        <v>3</v>
      </c>
      <c r="C616" t="s">
        <v>446</v>
      </c>
      <c r="D616" t="s">
        <v>447</v>
      </c>
      <c r="E616">
        <v>10009542</v>
      </c>
      <c r="F616" t="s">
        <v>454</v>
      </c>
      <c r="G616">
        <v>594231</v>
      </c>
      <c r="H616" s="184">
        <v>44070</v>
      </c>
      <c r="I616" s="184">
        <v>44074</v>
      </c>
      <c r="J616" t="s">
        <v>455</v>
      </c>
      <c r="K616">
        <v>60000</v>
      </c>
      <c r="L616" t="s">
        <v>205</v>
      </c>
    </row>
    <row r="617" spans="1:12" x14ac:dyDescent="0.4">
      <c r="A617" t="s">
        <v>166</v>
      </c>
      <c r="B617" t="s">
        <v>3</v>
      </c>
      <c r="C617" t="s">
        <v>446</v>
      </c>
      <c r="D617" t="s">
        <v>447</v>
      </c>
      <c r="E617">
        <v>10009542</v>
      </c>
      <c r="F617" t="s">
        <v>454</v>
      </c>
      <c r="G617">
        <v>594231</v>
      </c>
      <c r="H617" s="184">
        <v>44070</v>
      </c>
      <c r="I617" s="184">
        <v>44074</v>
      </c>
      <c r="J617" t="s">
        <v>455</v>
      </c>
      <c r="K617">
        <v>60000</v>
      </c>
      <c r="L617" t="s">
        <v>206</v>
      </c>
    </row>
    <row r="618" spans="1:12" x14ac:dyDescent="0.4">
      <c r="A618" t="s">
        <v>166</v>
      </c>
      <c r="B618" t="s">
        <v>3</v>
      </c>
      <c r="C618" t="s">
        <v>446</v>
      </c>
      <c r="D618" t="s">
        <v>447</v>
      </c>
      <c r="E618">
        <v>10009542</v>
      </c>
      <c r="F618" t="s">
        <v>454</v>
      </c>
      <c r="G618">
        <v>594231</v>
      </c>
      <c r="H618" s="184">
        <v>44070</v>
      </c>
      <c r="I618" s="184">
        <v>44074</v>
      </c>
      <c r="J618" t="s">
        <v>455</v>
      </c>
      <c r="K618">
        <v>60000</v>
      </c>
      <c r="L618" t="s">
        <v>207</v>
      </c>
    </row>
    <row r="619" spans="1:12" x14ac:dyDescent="0.4">
      <c r="A619" t="s">
        <v>166</v>
      </c>
      <c r="B619" t="s">
        <v>3</v>
      </c>
      <c r="C619" t="s">
        <v>446</v>
      </c>
      <c r="D619" t="s">
        <v>447</v>
      </c>
      <c r="E619">
        <v>10009542</v>
      </c>
      <c r="F619" t="s">
        <v>454</v>
      </c>
      <c r="G619">
        <v>594231</v>
      </c>
      <c r="H619" s="184">
        <v>44070</v>
      </c>
      <c r="I619" s="184">
        <v>44074</v>
      </c>
      <c r="J619" t="s">
        <v>455</v>
      </c>
      <c r="K619">
        <v>60000</v>
      </c>
      <c r="L619" t="s">
        <v>208</v>
      </c>
    </row>
    <row r="620" spans="1:12" x14ac:dyDescent="0.4">
      <c r="A620" t="s">
        <v>166</v>
      </c>
      <c r="B620" t="s">
        <v>3</v>
      </c>
      <c r="C620" t="s">
        <v>450</v>
      </c>
      <c r="D620" t="s">
        <v>451</v>
      </c>
      <c r="E620">
        <v>10010269</v>
      </c>
      <c r="F620" t="s">
        <v>456</v>
      </c>
      <c r="G620">
        <v>590871</v>
      </c>
      <c r="H620" s="184">
        <v>43858</v>
      </c>
      <c r="I620" s="184">
        <v>43881</v>
      </c>
      <c r="J620" t="s">
        <v>457</v>
      </c>
      <c r="K620">
        <v>60000</v>
      </c>
      <c r="L620" t="s">
        <v>275</v>
      </c>
    </row>
    <row r="621" spans="1:12" x14ac:dyDescent="0.4">
      <c r="A621" t="s">
        <v>166</v>
      </c>
      <c r="B621" t="s">
        <v>3</v>
      </c>
      <c r="C621" t="s">
        <v>450</v>
      </c>
      <c r="D621" t="s">
        <v>451</v>
      </c>
      <c r="E621">
        <v>10010269</v>
      </c>
      <c r="F621" t="s">
        <v>456</v>
      </c>
      <c r="G621">
        <v>590871</v>
      </c>
      <c r="H621" s="184">
        <v>43858</v>
      </c>
      <c r="I621" s="184">
        <v>43881</v>
      </c>
      <c r="J621" t="s">
        <v>457</v>
      </c>
      <c r="K621">
        <v>60000</v>
      </c>
      <c r="L621" t="s">
        <v>238</v>
      </c>
    </row>
    <row r="622" spans="1:12" x14ac:dyDescent="0.4">
      <c r="A622" t="s">
        <v>166</v>
      </c>
      <c r="B622" t="s">
        <v>3</v>
      </c>
      <c r="C622" t="s">
        <v>450</v>
      </c>
      <c r="D622" t="s">
        <v>451</v>
      </c>
      <c r="E622">
        <v>10010269</v>
      </c>
      <c r="F622" t="s">
        <v>456</v>
      </c>
      <c r="G622">
        <v>590871</v>
      </c>
      <c r="H622" s="184">
        <v>43858</v>
      </c>
      <c r="I622" s="184">
        <v>43881</v>
      </c>
      <c r="J622" t="s">
        <v>457</v>
      </c>
      <c r="K622">
        <v>60000</v>
      </c>
      <c r="L622" t="s">
        <v>231</v>
      </c>
    </row>
    <row r="623" spans="1:12" x14ac:dyDescent="0.4">
      <c r="A623" t="s">
        <v>166</v>
      </c>
      <c r="B623" t="s">
        <v>3</v>
      </c>
      <c r="C623" t="s">
        <v>450</v>
      </c>
      <c r="D623" t="s">
        <v>451</v>
      </c>
      <c r="E623">
        <v>10010269</v>
      </c>
      <c r="F623" t="s">
        <v>456</v>
      </c>
      <c r="G623">
        <v>590871</v>
      </c>
      <c r="H623" s="184">
        <v>43858</v>
      </c>
      <c r="I623" s="184">
        <v>43881</v>
      </c>
      <c r="J623" t="s">
        <v>457</v>
      </c>
      <c r="K623">
        <v>60000</v>
      </c>
      <c r="L623" t="s">
        <v>232</v>
      </c>
    </row>
    <row r="624" spans="1:12" x14ac:dyDescent="0.4">
      <c r="A624" t="s">
        <v>166</v>
      </c>
      <c r="B624" t="s">
        <v>3</v>
      </c>
      <c r="C624" t="s">
        <v>450</v>
      </c>
      <c r="D624" t="s">
        <v>451</v>
      </c>
      <c r="E624">
        <v>10010269</v>
      </c>
      <c r="F624" t="s">
        <v>456</v>
      </c>
      <c r="G624">
        <v>590871</v>
      </c>
      <c r="H624" s="184">
        <v>43858</v>
      </c>
      <c r="I624" s="184">
        <v>43881</v>
      </c>
      <c r="J624" t="s">
        <v>457</v>
      </c>
      <c r="K624">
        <v>60000</v>
      </c>
      <c r="L624" t="s">
        <v>233</v>
      </c>
    </row>
    <row r="625" spans="1:12" x14ac:dyDescent="0.4">
      <c r="A625" t="s">
        <v>166</v>
      </c>
      <c r="B625" t="s">
        <v>3</v>
      </c>
      <c r="C625" t="s">
        <v>450</v>
      </c>
      <c r="D625" t="s">
        <v>451</v>
      </c>
      <c r="E625">
        <v>10010269</v>
      </c>
      <c r="F625" t="s">
        <v>456</v>
      </c>
      <c r="G625">
        <v>590871</v>
      </c>
      <c r="H625" s="184">
        <v>43858</v>
      </c>
      <c r="I625" s="184">
        <v>43881</v>
      </c>
      <c r="J625" t="s">
        <v>457</v>
      </c>
      <c r="K625">
        <v>60000</v>
      </c>
      <c r="L625" t="s">
        <v>234</v>
      </c>
    </row>
    <row r="626" spans="1:12" x14ac:dyDescent="0.4">
      <c r="A626" t="s">
        <v>166</v>
      </c>
      <c r="B626" t="s">
        <v>3</v>
      </c>
      <c r="C626" t="s">
        <v>446</v>
      </c>
      <c r="D626" t="s">
        <v>447</v>
      </c>
      <c r="E626">
        <v>10013631</v>
      </c>
      <c r="F626" t="s">
        <v>458</v>
      </c>
      <c r="G626">
        <v>597415</v>
      </c>
      <c r="H626" s="184">
        <v>44236</v>
      </c>
      <c r="I626" s="184">
        <v>44247</v>
      </c>
      <c r="J626" t="s">
        <v>459</v>
      </c>
      <c r="K626">
        <v>60000</v>
      </c>
      <c r="L626" t="s">
        <v>230</v>
      </c>
    </row>
    <row r="627" spans="1:12" x14ac:dyDescent="0.4">
      <c r="A627" t="s">
        <v>166</v>
      </c>
      <c r="B627" t="s">
        <v>3</v>
      </c>
      <c r="C627" t="s">
        <v>446</v>
      </c>
      <c r="D627" t="s">
        <v>447</v>
      </c>
      <c r="E627">
        <v>10013631</v>
      </c>
      <c r="F627" t="s">
        <v>458</v>
      </c>
      <c r="G627">
        <v>597415</v>
      </c>
      <c r="H627" s="184">
        <v>44236</v>
      </c>
      <c r="I627" s="184">
        <v>44247</v>
      </c>
      <c r="J627" t="s">
        <v>459</v>
      </c>
      <c r="K627">
        <v>60000</v>
      </c>
      <c r="L627" t="s">
        <v>231</v>
      </c>
    </row>
    <row r="628" spans="1:12" x14ac:dyDescent="0.4">
      <c r="A628" t="s">
        <v>166</v>
      </c>
      <c r="B628" t="s">
        <v>3</v>
      </c>
      <c r="C628" t="s">
        <v>446</v>
      </c>
      <c r="D628" t="s">
        <v>447</v>
      </c>
      <c r="E628">
        <v>10013631</v>
      </c>
      <c r="F628" t="s">
        <v>458</v>
      </c>
      <c r="G628">
        <v>597415</v>
      </c>
      <c r="H628" s="184">
        <v>44236</v>
      </c>
      <c r="I628" s="184">
        <v>44247</v>
      </c>
      <c r="J628" t="s">
        <v>459</v>
      </c>
      <c r="K628">
        <v>60000</v>
      </c>
      <c r="L628" t="s">
        <v>232</v>
      </c>
    </row>
    <row r="629" spans="1:12" x14ac:dyDescent="0.4">
      <c r="A629" t="s">
        <v>166</v>
      </c>
      <c r="B629" t="s">
        <v>3</v>
      </c>
      <c r="C629" t="s">
        <v>446</v>
      </c>
      <c r="D629" t="s">
        <v>447</v>
      </c>
      <c r="E629">
        <v>10013631</v>
      </c>
      <c r="F629" t="s">
        <v>458</v>
      </c>
      <c r="G629">
        <v>597415</v>
      </c>
      <c r="H629" s="184">
        <v>44236</v>
      </c>
      <c r="I629" s="184">
        <v>44247</v>
      </c>
      <c r="J629" t="s">
        <v>459</v>
      </c>
      <c r="K629">
        <v>60000</v>
      </c>
      <c r="L629" t="s">
        <v>233</v>
      </c>
    </row>
    <row r="630" spans="1:12" x14ac:dyDescent="0.4">
      <c r="A630" t="s">
        <v>166</v>
      </c>
      <c r="B630" t="s">
        <v>3</v>
      </c>
      <c r="C630" t="s">
        <v>446</v>
      </c>
      <c r="D630" t="s">
        <v>447</v>
      </c>
      <c r="E630">
        <v>10013631</v>
      </c>
      <c r="F630" t="s">
        <v>458</v>
      </c>
      <c r="G630">
        <v>597415</v>
      </c>
      <c r="H630" s="184">
        <v>44236</v>
      </c>
      <c r="I630" s="184">
        <v>44247</v>
      </c>
      <c r="J630" t="s">
        <v>459</v>
      </c>
      <c r="K630">
        <v>60000</v>
      </c>
      <c r="L630" t="s">
        <v>234</v>
      </c>
    </row>
    <row r="631" spans="1:12" x14ac:dyDescent="0.4">
      <c r="A631" t="s">
        <v>166</v>
      </c>
      <c r="B631" t="s">
        <v>3</v>
      </c>
      <c r="C631" t="s">
        <v>446</v>
      </c>
      <c r="D631" t="s">
        <v>447</v>
      </c>
      <c r="E631">
        <v>10013631</v>
      </c>
      <c r="F631" t="s">
        <v>458</v>
      </c>
      <c r="G631">
        <v>597415</v>
      </c>
      <c r="H631" s="184">
        <v>44236</v>
      </c>
      <c r="I631" s="184">
        <v>44247</v>
      </c>
      <c r="J631" t="s">
        <v>459</v>
      </c>
      <c r="K631">
        <v>60000</v>
      </c>
      <c r="L631" t="s">
        <v>235</v>
      </c>
    </row>
    <row r="632" spans="1:12" x14ac:dyDescent="0.4">
      <c r="A632" t="s">
        <v>166</v>
      </c>
      <c r="B632" t="s">
        <v>3</v>
      </c>
      <c r="C632" t="s">
        <v>450</v>
      </c>
      <c r="D632" t="s">
        <v>451</v>
      </c>
      <c r="E632">
        <v>10022315</v>
      </c>
      <c r="F632" t="s">
        <v>460</v>
      </c>
      <c r="G632">
        <v>591610</v>
      </c>
      <c r="H632" s="184">
        <v>43895</v>
      </c>
      <c r="I632" s="184">
        <v>43922</v>
      </c>
      <c r="J632" t="s">
        <v>362</v>
      </c>
      <c r="K632">
        <v>60000</v>
      </c>
      <c r="L632" t="s">
        <v>363</v>
      </c>
    </row>
    <row r="633" spans="1:12" x14ac:dyDescent="0.4">
      <c r="A633" t="s">
        <v>166</v>
      </c>
      <c r="B633" t="s">
        <v>3</v>
      </c>
      <c r="C633" t="s">
        <v>450</v>
      </c>
      <c r="D633" t="s">
        <v>451</v>
      </c>
      <c r="E633">
        <v>10022315</v>
      </c>
      <c r="F633" t="s">
        <v>460</v>
      </c>
      <c r="G633">
        <v>591610</v>
      </c>
      <c r="H633" s="184">
        <v>43895</v>
      </c>
      <c r="I633" s="184">
        <v>43922</v>
      </c>
      <c r="J633" t="s">
        <v>362</v>
      </c>
      <c r="K633">
        <v>60000</v>
      </c>
      <c r="L633" t="s">
        <v>242</v>
      </c>
    </row>
    <row r="634" spans="1:12" x14ac:dyDescent="0.4">
      <c r="A634" t="s">
        <v>166</v>
      </c>
      <c r="B634" t="s">
        <v>3</v>
      </c>
      <c r="C634" t="s">
        <v>450</v>
      </c>
      <c r="D634" t="s">
        <v>451</v>
      </c>
      <c r="E634">
        <v>10022315</v>
      </c>
      <c r="F634" t="s">
        <v>460</v>
      </c>
      <c r="G634">
        <v>591610</v>
      </c>
      <c r="H634" s="184">
        <v>43895</v>
      </c>
      <c r="I634" s="184">
        <v>43922</v>
      </c>
      <c r="J634" t="s">
        <v>362</v>
      </c>
      <c r="K634">
        <v>60000</v>
      </c>
      <c r="L634" t="s">
        <v>312</v>
      </c>
    </row>
    <row r="635" spans="1:12" x14ac:dyDescent="0.4">
      <c r="A635" t="s">
        <v>166</v>
      </c>
      <c r="B635" t="s">
        <v>3</v>
      </c>
      <c r="C635" t="s">
        <v>450</v>
      </c>
      <c r="D635" t="s">
        <v>451</v>
      </c>
      <c r="E635">
        <v>10022315</v>
      </c>
      <c r="F635" t="s">
        <v>460</v>
      </c>
      <c r="G635">
        <v>591610</v>
      </c>
      <c r="H635" s="184">
        <v>43895</v>
      </c>
      <c r="I635" s="184">
        <v>43922</v>
      </c>
      <c r="J635" t="s">
        <v>362</v>
      </c>
      <c r="K635">
        <v>60000</v>
      </c>
      <c r="L635" t="s">
        <v>313</v>
      </c>
    </row>
    <row r="636" spans="1:12" x14ac:dyDescent="0.4">
      <c r="A636" t="s">
        <v>166</v>
      </c>
      <c r="B636" t="s">
        <v>3</v>
      </c>
      <c r="C636" t="s">
        <v>450</v>
      </c>
      <c r="D636" t="s">
        <v>451</v>
      </c>
      <c r="E636">
        <v>10022315</v>
      </c>
      <c r="F636" t="s">
        <v>460</v>
      </c>
      <c r="G636">
        <v>591610</v>
      </c>
      <c r="H636" s="184">
        <v>43895</v>
      </c>
      <c r="I636" s="184">
        <v>43922</v>
      </c>
      <c r="J636" t="s">
        <v>362</v>
      </c>
      <c r="K636">
        <v>60000</v>
      </c>
      <c r="L636" t="s">
        <v>314</v>
      </c>
    </row>
    <row r="637" spans="1:12" x14ac:dyDescent="0.4">
      <c r="A637" t="s">
        <v>166</v>
      </c>
      <c r="B637" t="s">
        <v>3</v>
      </c>
      <c r="C637" t="s">
        <v>450</v>
      </c>
      <c r="D637" t="s">
        <v>451</v>
      </c>
      <c r="E637">
        <v>10022315</v>
      </c>
      <c r="F637" t="s">
        <v>460</v>
      </c>
      <c r="G637">
        <v>591610</v>
      </c>
      <c r="H637" s="184">
        <v>43895</v>
      </c>
      <c r="I637" s="184">
        <v>43922</v>
      </c>
      <c r="J637" t="s">
        <v>362</v>
      </c>
      <c r="K637">
        <v>60000</v>
      </c>
      <c r="L637" t="s">
        <v>315</v>
      </c>
    </row>
    <row r="638" spans="1:12" x14ac:dyDescent="0.4">
      <c r="A638" t="s">
        <v>166</v>
      </c>
      <c r="B638" t="s">
        <v>3</v>
      </c>
      <c r="C638" t="s">
        <v>450</v>
      </c>
      <c r="D638" t="s">
        <v>451</v>
      </c>
      <c r="E638">
        <v>10022680</v>
      </c>
      <c r="F638" t="s">
        <v>461</v>
      </c>
      <c r="G638">
        <v>593876</v>
      </c>
      <c r="H638" s="184">
        <v>44015</v>
      </c>
      <c r="I638" s="184">
        <v>44020</v>
      </c>
      <c r="J638" t="s">
        <v>462</v>
      </c>
      <c r="K638">
        <v>60000</v>
      </c>
      <c r="L638" t="s">
        <v>220</v>
      </c>
    </row>
    <row r="639" spans="1:12" x14ac:dyDescent="0.4">
      <c r="A639" t="s">
        <v>166</v>
      </c>
      <c r="B639" t="s">
        <v>3</v>
      </c>
      <c r="C639" t="s">
        <v>450</v>
      </c>
      <c r="D639" t="s">
        <v>451</v>
      </c>
      <c r="E639">
        <v>10022680</v>
      </c>
      <c r="F639" t="s">
        <v>461</v>
      </c>
      <c r="G639">
        <v>593876</v>
      </c>
      <c r="H639" s="184">
        <v>44015</v>
      </c>
      <c r="I639" s="184">
        <v>44020</v>
      </c>
      <c r="J639" t="s">
        <v>462</v>
      </c>
      <c r="K639">
        <v>60000</v>
      </c>
      <c r="L639" t="s">
        <v>221</v>
      </c>
    </row>
    <row r="640" spans="1:12" x14ac:dyDescent="0.4">
      <c r="A640" t="s">
        <v>166</v>
      </c>
      <c r="B640" t="s">
        <v>3</v>
      </c>
      <c r="C640" t="s">
        <v>450</v>
      </c>
      <c r="D640" t="s">
        <v>451</v>
      </c>
      <c r="E640">
        <v>10022680</v>
      </c>
      <c r="F640" t="s">
        <v>461</v>
      </c>
      <c r="G640">
        <v>593876</v>
      </c>
      <c r="H640" s="184">
        <v>44015</v>
      </c>
      <c r="I640" s="184">
        <v>44020</v>
      </c>
      <c r="J640" t="s">
        <v>462</v>
      </c>
      <c r="K640">
        <v>60000</v>
      </c>
      <c r="L640" t="s">
        <v>222</v>
      </c>
    </row>
    <row r="641" spans="1:12" x14ac:dyDescent="0.4">
      <c r="A641" t="s">
        <v>166</v>
      </c>
      <c r="B641" t="s">
        <v>3</v>
      </c>
      <c r="C641" t="s">
        <v>450</v>
      </c>
      <c r="D641" t="s">
        <v>451</v>
      </c>
      <c r="E641">
        <v>10022680</v>
      </c>
      <c r="F641" t="s">
        <v>461</v>
      </c>
      <c r="G641">
        <v>593876</v>
      </c>
      <c r="H641" s="184">
        <v>44015</v>
      </c>
      <c r="I641" s="184">
        <v>44020</v>
      </c>
      <c r="J641" t="s">
        <v>462</v>
      </c>
      <c r="K641">
        <v>60000</v>
      </c>
      <c r="L641" t="s">
        <v>223</v>
      </c>
    </row>
    <row r="642" spans="1:12" x14ac:dyDescent="0.4">
      <c r="A642" t="s">
        <v>166</v>
      </c>
      <c r="B642" t="s">
        <v>3</v>
      </c>
      <c r="C642" t="s">
        <v>450</v>
      </c>
      <c r="D642" t="s">
        <v>451</v>
      </c>
      <c r="E642">
        <v>10022680</v>
      </c>
      <c r="F642" t="s">
        <v>461</v>
      </c>
      <c r="G642">
        <v>593876</v>
      </c>
      <c r="H642" s="184">
        <v>44015</v>
      </c>
      <c r="I642" s="184">
        <v>44020</v>
      </c>
      <c r="J642" t="s">
        <v>462</v>
      </c>
      <c r="K642">
        <v>60000</v>
      </c>
      <c r="L642" t="s">
        <v>224</v>
      </c>
    </row>
    <row r="643" spans="1:12" x14ac:dyDescent="0.4">
      <c r="A643" t="s">
        <v>166</v>
      </c>
      <c r="B643" t="s">
        <v>3</v>
      </c>
      <c r="C643" t="s">
        <v>450</v>
      </c>
      <c r="D643" t="s">
        <v>451</v>
      </c>
      <c r="E643">
        <v>10022680</v>
      </c>
      <c r="F643" t="s">
        <v>461</v>
      </c>
      <c r="G643">
        <v>593876</v>
      </c>
      <c r="H643" s="184">
        <v>44015</v>
      </c>
      <c r="I643" s="184">
        <v>44020</v>
      </c>
      <c r="J643" t="s">
        <v>462</v>
      </c>
      <c r="K643">
        <v>60000</v>
      </c>
      <c r="L643" t="s">
        <v>225</v>
      </c>
    </row>
    <row r="644" spans="1:12" x14ac:dyDescent="0.4">
      <c r="A644" t="s">
        <v>166</v>
      </c>
      <c r="B644" t="s">
        <v>3</v>
      </c>
      <c r="C644" t="s">
        <v>446</v>
      </c>
      <c r="D644" t="s">
        <v>447</v>
      </c>
      <c r="E644">
        <v>10027594</v>
      </c>
      <c r="F644" t="s">
        <v>463</v>
      </c>
      <c r="G644">
        <v>592313</v>
      </c>
      <c r="H644" s="184">
        <v>43929</v>
      </c>
      <c r="I644" s="184">
        <v>43937</v>
      </c>
      <c r="J644" t="s">
        <v>464</v>
      </c>
      <c r="K644">
        <v>60000</v>
      </c>
      <c r="L644" t="s">
        <v>363</v>
      </c>
    </row>
    <row r="645" spans="1:12" x14ac:dyDescent="0.4">
      <c r="A645" t="s">
        <v>166</v>
      </c>
      <c r="B645" t="s">
        <v>3</v>
      </c>
      <c r="C645" t="s">
        <v>446</v>
      </c>
      <c r="D645" t="s">
        <v>447</v>
      </c>
      <c r="E645">
        <v>10027594</v>
      </c>
      <c r="F645" t="s">
        <v>463</v>
      </c>
      <c r="G645">
        <v>592313</v>
      </c>
      <c r="H645" s="184">
        <v>43929</v>
      </c>
      <c r="I645" s="184">
        <v>43937</v>
      </c>
      <c r="J645" t="s">
        <v>464</v>
      </c>
      <c r="K645">
        <v>60000</v>
      </c>
      <c r="L645" t="s">
        <v>242</v>
      </c>
    </row>
    <row r="646" spans="1:12" x14ac:dyDescent="0.4">
      <c r="A646" t="s">
        <v>166</v>
      </c>
      <c r="B646" t="s">
        <v>3</v>
      </c>
      <c r="C646" t="s">
        <v>446</v>
      </c>
      <c r="D646" t="s">
        <v>447</v>
      </c>
      <c r="E646">
        <v>10027594</v>
      </c>
      <c r="F646" t="s">
        <v>463</v>
      </c>
      <c r="G646">
        <v>592313</v>
      </c>
      <c r="H646" s="184">
        <v>43929</v>
      </c>
      <c r="I646" s="184">
        <v>43937</v>
      </c>
      <c r="J646" t="s">
        <v>464</v>
      </c>
      <c r="K646">
        <v>60000</v>
      </c>
      <c r="L646" t="s">
        <v>312</v>
      </c>
    </row>
    <row r="647" spans="1:12" x14ac:dyDescent="0.4">
      <c r="A647" t="s">
        <v>166</v>
      </c>
      <c r="B647" t="s">
        <v>3</v>
      </c>
      <c r="C647" t="s">
        <v>446</v>
      </c>
      <c r="D647" t="s">
        <v>447</v>
      </c>
      <c r="E647">
        <v>10027594</v>
      </c>
      <c r="F647" t="s">
        <v>463</v>
      </c>
      <c r="G647">
        <v>592313</v>
      </c>
      <c r="H647" s="184">
        <v>43929</v>
      </c>
      <c r="I647" s="184">
        <v>43937</v>
      </c>
      <c r="J647" t="s">
        <v>464</v>
      </c>
      <c r="K647">
        <v>60000</v>
      </c>
      <c r="L647" t="s">
        <v>313</v>
      </c>
    </row>
    <row r="648" spans="1:12" x14ac:dyDescent="0.4">
      <c r="A648" t="s">
        <v>166</v>
      </c>
      <c r="B648" t="s">
        <v>3</v>
      </c>
      <c r="C648" t="s">
        <v>446</v>
      </c>
      <c r="D648" t="s">
        <v>447</v>
      </c>
      <c r="E648">
        <v>10027594</v>
      </c>
      <c r="F648" t="s">
        <v>463</v>
      </c>
      <c r="G648">
        <v>592313</v>
      </c>
      <c r="H648" s="184">
        <v>43929</v>
      </c>
      <c r="I648" s="184">
        <v>43937</v>
      </c>
      <c r="J648" t="s">
        <v>464</v>
      </c>
      <c r="K648">
        <v>60000</v>
      </c>
      <c r="L648" t="s">
        <v>314</v>
      </c>
    </row>
    <row r="649" spans="1:12" x14ac:dyDescent="0.4">
      <c r="A649" t="s">
        <v>166</v>
      </c>
      <c r="B649" t="s">
        <v>3</v>
      </c>
      <c r="C649" t="s">
        <v>446</v>
      </c>
      <c r="D649" t="s">
        <v>447</v>
      </c>
      <c r="E649">
        <v>10027594</v>
      </c>
      <c r="F649" t="s">
        <v>463</v>
      </c>
      <c r="G649">
        <v>592313</v>
      </c>
      <c r="H649" s="184">
        <v>43929</v>
      </c>
      <c r="I649" s="184">
        <v>43937</v>
      </c>
      <c r="J649" t="s">
        <v>464</v>
      </c>
      <c r="K649">
        <v>60000</v>
      </c>
      <c r="L649" t="s">
        <v>315</v>
      </c>
    </row>
    <row r="650" spans="1:12" x14ac:dyDescent="0.4">
      <c r="A650" t="s">
        <v>166</v>
      </c>
      <c r="B650" t="s">
        <v>3</v>
      </c>
      <c r="C650" t="s">
        <v>446</v>
      </c>
      <c r="D650" t="s">
        <v>447</v>
      </c>
      <c r="E650">
        <v>10031695</v>
      </c>
      <c r="F650" t="s">
        <v>465</v>
      </c>
      <c r="G650">
        <v>592027</v>
      </c>
      <c r="H650" s="184">
        <v>43921</v>
      </c>
      <c r="I650" s="184">
        <v>43921</v>
      </c>
      <c r="J650" t="s">
        <v>466</v>
      </c>
      <c r="K650">
        <v>60000</v>
      </c>
      <c r="L650" t="s">
        <v>281</v>
      </c>
    </row>
    <row r="651" spans="1:12" x14ac:dyDescent="0.4">
      <c r="A651" t="s">
        <v>166</v>
      </c>
      <c r="B651" t="s">
        <v>3</v>
      </c>
      <c r="C651" t="s">
        <v>446</v>
      </c>
      <c r="D651" t="s">
        <v>447</v>
      </c>
      <c r="E651">
        <v>10031695</v>
      </c>
      <c r="F651" t="s">
        <v>465</v>
      </c>
      <c r="G651">
        <v>592027</v>
      </c>
      <c r="H651" s="184">
        <v>43921</v>
      </c>
      <c r="I651" s="184">
        <v>43921</v>
      </c>
      <c r="J651" t="s">
        <v>466</v>
      </c>
      <c r="K651">
        <v>60000</v>
      </c>
      <c r="L651" t="s">
        <v>230</v>
      </c>
    </row>
    <row r="652" spans="1:12" x14ac:dyDescent="0.4">
      <c r="A652" t="s">
        <v>166</v>
      </c>
      <c r="B652" t="s">
        <v>3</v>
      </c>
      <c r="C652" t="s">
        <v>446</v>
      </c>
      <c r="D652" t="s">
        <v>447</v>
      </c>
      <c r="E652">
        <v>10031695</v>
      </c>
      <c r="F652" t="s">
        <v>465</v>
      </c>
      <c r="G652">
        <v>592027</v>
      </c>
      <c r="H652" s="184">
        <v>43921</v>
      </c>
      <c r="I652" s="184">
        <v>43921</v>
      </c>
      <c r="J652" t="s">
        <v>466</v>
      </c>
      <c r="K652">
        <v>60000</v>
      </c>
      <c r="L652" t="s">
        <v>243</v>
      </c>
    </row>
    <row r="653" spans="1:12" x14ac:dyDescent="0.4">
      <c r="A653" t="s">
        <v>166</v>
      </c>
      <c r="B653" t="s">
        <v>3</v>
      </c>
      <c r="C653" t="s">
        <v>446</v>
      </c>
      <c r="D653" t="s">
        <v>447</v>
      </c>
      <c r="E653">
        <v>10031695</v>
      </c>
      <c r="F653" t="s">
        <v>465</v>
      </c>
      <c r="G653">
        <v>592027</v>
      </c>
      <c r="H653" s="184">
        <v>43921</v>
      </c>
      <c r="I653" s="184">
        <v>43921</v>
      </c>
      <c r="J653" t="s">
        <v>466</v>
      </c>
      <c r="K653">
        <v>60000</v>
      </c>
      <c r="L653" t="s">
        <v>244</v>
      </c>
    </row>
    <row r="654" spans="1:12" x14ac:dyDescent="0.4">
      <c r="A654" t="s">
        <v>166</v>
      </c>
      <c r="B654" t="s">
        <v>3</v>
      </c>
      <c r="C654" t="s">
        <v>446</v>
      </c>
      <c r="D654" t="s">
        <v>447</v>
      </c>
      <c r="E654">
        <v>10031695</v>
      </c>
      <c r="F654" t="s">
        <v>465</v>
      </c>
      <c r="G654">
        <v>592027</v>
      </c>
      <c r="H654" s="184">
        <v>43921</v>
      </c>
      <c r="I654" s="184">
        <v>43921</v>
      </c>
      <c r="J654" t="s">
        <v>466</v>
      </c>
      <c r="K654">
        <v>60000</v>
      </c>
      <c r="L654" t="s">
        <v>245</v>
      </c>
    </row>
    <row r="655" spans="1:12" x14ac:dyDescent="0.4">
      <c r="A655" t="s">
        <v>166</v>
      </c>
      <c r="B655" t="s">
        <v>3</v>
      </c>
      <c r="C655" t="s">
        <v>446</v>
      </c>
      <c r="D655" t="s">
        <v>447</v>
      </c>
      <c r="E655">
        <v>10031695</v>
      </c>
      <c r="F655" t="s">
        <v>465</v>
      </c>
      <c r="G655">
        <v>592027</v>
      </c>
      <c r="H655" s="184">
        <v>43921</v>
      </c>
      <c r="I655" s="184">
        <v>43921</v>
      </c>
      <c r="J655" t="s">
        <v>466</v>
      </c>
      <c r="K655">
        <v>60000</v>
      </c>
      <c r="L655" t="s">
        <v>246</v>
      </c>
    </row>
    <row r="656" spans="1:12" x14ac:dyDescent="0.4">
      <c r="A656" t="s">
        <v>166</v>
      </c>
      <c r="B656" t="s">
        <v>3</v>
      </c>
      <c r="C656" t="s">
        <v>450</v>
      </c>
      <c r="D656" t="s">
        <v>451</v>
      </c>
      <c r="E656">
        <v>10035854</v>
      </c>
      <c r="F656" t="s">
        <v>467</v>
      </c>
      <c r="G656">
        <v>593321</v>
      </c>
      <c r="H656" s="184">
        <v>43983</v>
      </c>
      <c r="I656" s="184">
        <v>44011</v>
      </c>
      <c r="J656" t="s">
        <v>468</v>
      </c>
      <c r="K656">
        <v>60000</v>
      </c>
      <c r="L656" t="s">
        <v>353</v>
      </c>
    </row>
    <row r="657" spans="1:12" x14ac:dyDescent="0.4">
      <c r="A657" t="s">
        <v>166</v>
      </c>
      <c r="B657" t="s">
        <v>3</v>
      </c>
      <c r="C657" t="s">
        <v>450</v>
      </c>
      <c r="D657" t="s">
        <v>451</v>
      </c>
      <c r="E657">
        <v>10035854</v>
      </c>
      <c r="F657" t="s">
        <v>467</v>
      </c>
      <c r="G657">
        <v>593321</v>
      </c>
      <c r="H657" s="184">
        <v>43983</v>
      </c>
      <c r="I657" s="184">
        <v>44011</v>
      </c>
      <c r="J657" t="s">
        <v>468</v>
      </c>
      <c r="K657">
        <v>60000</v>
      </c>
      <c r="L657" t="s">
        <v>258</v>
      </c>
    </row>
    <row r="658" spans="1:12" x14ac:dyDescent="0.4">
      <c r="A658" t="s">
        <v>166</v>
      </c>
      <c r="B658" t="s">
        <v>3</v>
      </c>
      <c r="C658" t="s">
        <v>450</v>
      </c>
      <c r="D658" t="s">
        <v>451</v>
      </c>
      <c r="E658">
        <v>10035854</v>
      </c>
      <c r="F658" t="s">
        <v>467</v>
      </c>
      <c r="G658">
        <v>593321</v>
      </c>
      <c r="H658" s="184">
        <v>43983</v>
      </c>
      <c r="I658" s="184">
        <v>44011</v>
      </c>
      <c r="J658" t="s">
        <v>468</v>
      </c>
      <c r="K658">
        <v>60000</v>
      </c>
      <c r="L658" t="s">
        <v>327</v>
      </c>
    </row>
    <row r="659" spans="1:12" x14ac:dyDescent="0.4">
      <c r="A659" t="s">
        <v>166</v>
      </c>
      <c r="B659" t="s">
        <v>3</v>
      </c>
      <c r="C659" t="s">
        <v>450</v>
      </c>
      <c r="D659" t="s">
        <v>451</v>
      </c>
      <c r="E659">
        <v>10035854</v>
      </c>
      <c r="F659" t="s">
        <v>467</v>
      </c>
      <c r="G659">
        <v>593321</v>
      </c>
      <c r="H659" s="184">
        <v>43983</v>
      </c>
      <c r="I659" s="184">
        <v>44011</v>
      </c>
      <c r="J659" t="s">
        <v>468</v>
      </c>
      <c r="K659">
        <v>60000</v>
      </c>
      <c r="L659" t="s">
        <v>328</v>
      </c>
    </row>
    <row r="660" spans="1:12" x14ac:dyDescent="0.4">
      <c r="A660" t="s">
        <v>166</v>
      </c>
      <c r="B660" t="s">
        <v>3</v>
      </c>
      <c r="C660" t="s">
        <v>450</v>
      </c>
      <c r="D660" t="s">
        <v>451</v>
      </c>
      <c r="E660">
        <v>10035854</v>
      </c>
      <c r="F660" t="s">
        <v>467</v>
      </c>
      <c r="G660">
        <v>593321</v>
      </c>
      <c r="H660" s="184">
        <v>43983</v>
      </c>
      <c r="I660" s="184">
        <v>44011</v>
      </c>
      <c r="J660" t="s">
        <v>468</v>
      </c>
      <c r="K660">
        <v>60000</v>
      </c>
      <c r="L660" t="s">
        <v>329</v>
      </c>
    </row>
    <row r="661" spans="1:12" x14ac:dyDescent="0.4">
      <c r="A661" t="s">
        <v>166</v>
      </c>
      <c r="B661" t="s">
        <v>3</v>
      </c>
      <c r="C661" t="s">
        <v>450</v>
      </c>
      <c r="D661" t="s">
        <v>451</v>
      </c>
      <c r="E661">
        <v>10035854</v>
      </c>
      <c r="F661" t="s">
        <v>467</v>
      </c>
      <c r="G661">
        <v>593321</v>
      </c>
      <c r="H661" s="184">
        <v>43983</v>
      </c>
      <c r="I661" s="184">
        <v>44011</v>
      </c>
      <c r="J661" t="s">
        <v>468</v>
      </c>
      <c r="K661">
        <v>60000</v>
      </c>
      <c r="L661" t="s">
        <v>330</v>
      </c>
    </row>
    <row r="662" spans="1:12" x14ac:dyDescent="0.4">
      <c r="A662" t="s">
        <v>166</v>
      </c>
      <c r="B662" t="s">
        <v>3</v>
      </c>
      <c r="C662" t="s">
        <v>450</v>
      </c>
      <c r="D662" t="s">
        <v>451</v>
      </c>
      <c r="E662">
        <v>10035978</v>
      </c>
      <c r="F662" t="s">
        <v>469</v>
      </c>
      <c r="G662">
        <v>591989</v>
      </c>
      <c r="H662" s="184">
        <v>43906</v>
      </c>
      <c r="I662" s="184">
        <v>43913</v>
      </c>
      <c r="J662" t="s">
        <v>396</v>
      </c>
      <c r="K662">
        <v>60000</v>
      </c>
      <c r="L662" t="s">
        <v>281</v>
      </c>
    </row>
    <row r="663" spans="1:12" x14ac:dyDescent="0.4">
      <c r="A663" t="s">
        <v>166</v>
      </c>
      <c r="B663" t="s">
        <v>3</v>
      </c>
      <c r="C663" t="s">
        <v>450</v>
      </c>
      <c r="D663" t="s">
        <v>451</v>
      </c>
      <c r="E663">
        <v>10035978</v>
      </c>
      <c r="F663" t="s">
        <v>469</v>
      </c>
      <c r="G663">
        <v>591989</v>
      </c>
      <c r="H663" s="184">
        <v>43906</v>
      </c>
      <c r="I663" s="184">
        <v>43913</v>
      </c>
      <c r="J663" t="s">
        <v>396</v>
      </c>
      <c r="K663">
        <v>60000</v>
      </c>
      <c r="L663" t="s">
        <v>230</v>
      </c>
    </row>
    <row r="664" spans="1:12" x14ac:dyDescent="0.4">
      <c r="A664" t="s">
        <v>166</v>
      </c>
      <c r="B664" t="s">
        <v>3</v>
      </c>
      <c r="C664" t="s">
        <v>450</v>
      </c>
      <c r="D664" t="s">
        <v>451</v>
      </c>
      <c r="E664">
        <v>10035978</v>
      </c>
      <c r="F664" t="s">
        <v>469</v>
      </c>
      <c r="G664">
        <v>591989</v>
      </c>
      <c r="H664" s="184">
        <v>43906</v>
      </c>
      <c r="I664" s="184">
        <v>43913</v>
      </c>
      <c r="J664" t="s">
        <v>396</v>
      </c>
      <c r="K664">
        <v>60000</v>
      </c>
      <c r="L664" t="s">
        <v>243</v>
      </c>
    </row>
    <row r="665" spans="1:12" x14ac:dyDescent="0.4">
      <c r="A665" t="s">
        <v>166</v>
      </c>
      <c r="B665" t="s">
        <v>3</v>
      </c>
      <c r="C665" t="s">
        <v>450</v>
      </c>
      <c r="D665" t="s">
        <v>451</v>
      </c>
      <c r="E665">
        <v>10035978</v>
      </c>
      <c r="F665" t="s">
        <v>469</v>
      </c>
      <c r="G665">
        <v>591989</v>
      </c>
      <c r="H665" s="184">
        <v>43906</v>
      </c>
      <c r="I665" s="184">
        <v>43913</v>
      </c>
      <c r="J665" t="s">
        <v>396</v>
      </c>
      <c r="K665">
        <v>60000</v>
      </c>
      <c r="L665" t="s">
        <v>244</v>
      </c>
    </row>
    <row r="666" spans="1:12" x14ac:dyDescent="0.4">
      <c r="A666" t="s">
        <v>166</v>
      </c>
      <c r="B666" t="s">
        <v>3</v>
      </c>
      <c r="C666" t="s">
        <v>450</v>
      </c>
      <c r="D666" t="s">
        <v>451</v>
      </c>
      <c r="E666">
        <v>10035978</v>
      </c>
      <c r="F666" t="s">
        <v>469</v>
      </c>
      <c r="G666">
        <v>591989</v>
      </c>
      <c r="H666" s="184">
        <v>43906</v>
      </c>
      <c r="I666" s="184">
        <v>43913</v>
      </c>
      <c r="J666" t="s">
        <v>396</v>
      </c>
      <c r="K666">
        <v>60000</v>
      </c>
      <c r="L666" t="s">
        <v>245</v>
      </c>
    </row>
    <row r="667" spans="1:12" x14ac:dyDescent="0.4">
      <c r="A667" t="s">
        <v>166</v>
      </c>
      <c r="B667" t="s">
        <v>3</v>
      </c>
      <c r="C667" t="s">
        <v>450</v>
      </c>
      <c r="D667" t="s">
        <v>451</v>
      </c>
      <c r="E667">
        <v>10035978</v>
      </c>
      <c r="F667" t="s">
        <v>469</v>
      </c>
      <c r="G667">
        <v>591989</v>
      </c>
      <c r="H667" s="184">
        <v>43906</v>
      </c>
      <c r="I667" s="184">
        <v>43913</v>
      </c>
      <c r="J667" t="s">
        <v>396</v>
      </c>
      <c r="K667">
        <v>60000</v>
      </c>
      <c r="L667" t="s">
        <v>246</v>
      </c>
    </row>
    <row r="668" spans="1:12" x14ac:dyDescent="0.4">
      <c r="A668" t="s">
        <v>166</v>
      </c>
      <c r="B668" t="s">
        <v>3</v>
      </c>
      <c r="C668" t="s">
        <v>446</v>
      </c>
      <c r="D668" t="s">
        <v>447</v>
      </c>
      <c r="E668">
        <v>10045105</v>
      </c>
      <c r="F668" t="s">
        <v>470</v>
      </c>
      <c r="G668">
        <v>596762</v>
      </c>
      <c r="H668" s="184">
        <v>44208</v>
      </c>
      <c r="I668" s="184">
        <v>44225</v>
      </c>
      <c r="J668" t="s">
        <v>471</v>
      </c>
      <c r="K668">
        <v>60000</v>
      </c>
      <c r="L668" t="s">
        <v>238</v>
      </c>
    </row>
    <row r="669" spans="1:12" x14ac:dyDescent="0.4">
      <c r="A669" t="s">
        <v>166</v>
      </c>
      <c r="B669" t="s">
        <v>3</v>
      </c>
      <c r="C669" t="s">
        <v>446</v>
      </c>
      <c r="D669" t="s">
        <v>447</v>
      </c>
      <c r="E669">
        <v>10045105</v>
      </c>
      <c r="F669" t="s">
        <v>470</v>
      </c>
      <c r="G669">
        <v>596762</v>
      </c>
      <c r="H669" s="184">
        <v>44208</v>
      </c>
      <c r="I669" s="184">
        <v>44225</v>
      </c>
      <c r="J669" t="s">
        <v>471</v>
      </c>
      <c r="K669">
        <v>60000</v>
      </c>
      <c r="L669" t="s">
        <v>187</v>
      </c>
    </row>
    <row r="670" spans="1:12" x14ac:dyDescent="0.4">
      <c r="A670" t="s">
        <v>166</v>
      </c>
      <c r="B670" t="s">
        <v>3</v>
      </c>
      <c r="C670" t="s">
        <v>446</v>
      </c>
      <c r="D670" t="s">
        <v>447</v>
      </c>
      <c r="E670">
        <v>10045105</v>
      </c>
      <c r="F670" t="s">
        <v>470</v>
      </c>
      <c r="G670">
        <v>596762</v>
      </c>
      <c r="H670" s="184">
        <v>44208</v>
      </c>
      <c r="I670" s="184">
        <v>44225</v>
      </c>
      <c r="J670" t="s">
        <v>471</v>
      </c>
      <c r="K670">
        <v>60000</v>
      </c>
      <c r="L670" t="s">
        <v>188</v>
      </c>
    </row>
    <row r="671" spans="1:12" x14ac:dyDescent="0.4">
      <c r="A671" t="s">
        <v>166</v>
      </c>
      <c r="B671" t="s">
        <v>3</v>
      </c>
      <c r="C671" t="s">
        <v>446</v>
      </c>
      <c r="D671" t="s">
        <v>447</v>
      </c>
      <c r="E671">
        <v>10045105</v>
      </c>
      <c r="F671" t="s">
        <v>470</v>
      </c>
      <c r="G671">
        <v>596762</v>
      </c>
      <c r="H671" s="184">
        <v>44208</v>
      </c>
      <c r="I671" s="184">
        <v>44225</v>
      </c>
      <c r="J671" t="s">
        <v>471</v>
      </c>
      <c r="K671">
        <v>60000</v>
      </c>
      <c r="L671" t="s">
        <v>189</v>
      </c>
    </row>
    <row r="672" spans="1:12" x14ac:dyDescent="0.4">
      <c r="A672" t="s">
        <v>166</v>
      </c>
      <c r="B672" t="s">
        <v>3</v>
      </c>
      <c r="C672" t="s">
        <v>446</v>
      </c>
      <c r="D672" t="s">
        <v>447</v>
      </c>
      <c r="E672">
        <v>10045105</v>
      </c>
      <c r="F672" t="s">
        <v>470</v>
      </c>
      <c r="G672">
        <v>596762</v>
      </c>
      <c r="H672" s="184">
        <v>44208</v>
      </c>
      <c r="I672" s="184">
        <v>44225</v>
      </c>
      <c r="J672" t="s">
        <v>471</v>
      </c>
      <c r="K672">
        <v>60000</v>
      </c>
      <c r="L672" t="s">
        <v>190</v>
      </c>
    </row>
    <row r="673" spans="1:12" x14ac:dyDescent="0.4">
      <c r="A673" t="s">
        <v>166</v>
      </c>
      <c r="B673" t="s">
        <v>3</v>
      </c>
      <c r="C673" t="s">
        <v>446</v>
      </c>
      <c r="D673" t="s">
        <v>447</v>
      </c>
      <c r="E673">
        <v>10045105</v>
      </c>
      <c r="F673" t="s">
        <v>470</v>
      </c>
      <c r="G673">
        <v>596762</v>
      </c>
      <c r="H673" s="184">
        <v>44208</v>
      </c>
      <c r="I673" s="184">
        <v>44225</v>
      </c>
      <c r="J673" t="s">
        <v>471</v>
      </c>
      <c r="K673">
        <v>60000</v>
      </c>
      <c r="L673" t="s">
        <v>239</v>
      </c>
    </row>
    <row r="674" spans="1:12" x14ac:dyDescent="0.4">
      <c r="A674" t="s">
        <v>166</v>
      </c>
      <c r="B674" t="s">
        <v>3</v>
      </c>
      <c r="C674" t="s">
        <v>446</v>
      </c>
      <c r="D674" t="s">
        <v>447</v>
      </c>
      <c r="E674">
        <v>10058439</v>
      </c>
      <c r="F674" t="s">
        <v>472</v>
      </c>
      <c r="G674">
        <v>596374</v>
      </c>
      <c r="H674" s="184">
        <v>44168</v>
      </c>
      <c r="I674" s="184">
        <v>44188</v>
      </c>
      <c r="J674" t="s">
        <v>473</v>
      </c>
      <c r="K674">
        <v>60000</v>
      </c>
      <c r="L674" t="s">
        <v>186</v>
      </c>
    </row>
    <row r="675" spans="1:12" x14ac:dyDescent="0.4">
      <c r="A675" t="s">
        <v>166</v>
      </c>
      <c r="B675" t="s">
        <v>3</v>
      </c>
      <c r="C675" t="s">
        <v>446</v>
      </c>
      <c r="D675" t="s">
        <v>447</v>
      </c>
      <c r="E675">
        <v>10058439</v>
      </c>
      <c r="F675" t="s">
        <v>472</v>
      </c>
      <c r="G675">
        <v>596374</v>
      </c>
      <c r="H675" s="184">
        <v>44168</v>
      </c>
      <c r="I675" s="184">
        <v>44188</v>
      </c>
      <c r="J675" t="s">
        <v>473</v>
      </c>
      <c r="K675">
        <v>60000</v>
      </c>
      <c r="L675" t="s">
        <v>197</v>
      </c>
    </row>
    <row r="676" spans="1:12" x14ac:dyDescent="0.4">
      <c r="A676" t="s">
        <v>166</v>
      </c>
      <c r="B676" t="s">
        <v>3</v>
      </c>
      <c r="C676" t="s">
        <v>446</v>
      </c>
      <c r="D676" t="s">
        <v>447</v>
      </c>
      <c r="E676">
        <v>10058439</v>
      </c>
      <c r="F676" t="s">
        <v>472</v>
      </c>
      <c r="G676">
        <v>596374</v>
      </c>
      <c r="H676" s="184">
        <v>44168</v>
      </c>
      <c r="I676" s="184">
        <v>44188</v>
      </c>
      <c r="J676" t="s">
        <v>473</v>
      </c>
      <c r="K676">
        <v>60000</v>
      </c>
      <c r="L676" t="s">
        <v>198</v>
      </c>
    </row>
    <row r="677" spans="1:12" x14ac:dyDescent="0.4">
      <c r="A677" t="s">
        <v>166</v>
      </c>
      <c r="B677" t="s">
        <v>3</v>
      </c>
      <c r="C677" t="s">
        <v>446</v>
      </c>
      <c r="D677" t="s">
        <v>447</v>
      </c>
      <c r="E677">
        <v>10058439</v>
      </c>
      <c r="F677" t="s">
        <v>472</v>
      </c>
      <c r="G677">
        <v>596374</v>
      </c>
      <c r="H677" s="184">
        <v>44168</v>
      </c>
      <c r="I677" s="184">
        <v>44188</v>
      </c>
      <c r="J677" t="s">
        <v>473</v>
      </c>
      <c r="K677">
        <v>60000</v>
      </c>
      <c r="L677" t="s">
        <v>199</v>
      </c>
    </row>
    <row r="678" spans="1:12" x14ac:dyDescent="0.4">
      <c r="A678" t="s">
        <v>166</v>
      </c>
      <c r="B678" t="s">
        <v>3</v>
      </c>
      <c r="C678" t="s">
        <v>446</v>
      </c>
      <c r="D678" t="s">
        <v>447</v>
      </c>
      <c r="E678">
        <v>10058439</v>
      </c>
      <c r="F678" t="s">
        <v>472</v>
      </c>
      <c r="G678">
        <v>596374</v>
      </c>
      <c r="H678" s="184">
        <v>44168</v>
      </c>
      <c r="I678" s="184">
        <v>44188</v>
      </c>
      <c r="J678" t="s">
        <v>473</v>
      </c>
      <c r="K678">
        <v>60000</v>
      </c>
      <c r="L678" t="s">
        <v>200</v>
      </c>
    </row>
    <row r="679" spans="1:12" x14ac:dyDescent="0.4">
      <c r="A679" t="s">
        <v>166</v>
      </c>
      <c r="B679" t="s">
        <v>3</v>
      </c>
      <c r="C679" t="s">
        <v>446</v>
      </c>
      <c r="D679" t="s">
        <v>447</v>
      </c>
      <c r="E679">
        <v>10058439</v>
      </c>
      <c r="F679" t="s">
        <v>472</v>
      </c>
      <c r="G679">
        <v>596374</v>
      </c>
      <c r="H679" s="184">
        <v>44168</v>
      </c>
      <c r="I679" s="184">
        <v>44188</v>
      </c>
      <c r="J679" t="s">
        <v>473</v>
      </c>
      <c r="K679">
        <v>60000</v>
      </c>
      <c r="L679" t="s">
        <v>302</v>
      </c>
    </row>
    <row r="680" spans="1:12" x14ac:dyDescent="0.4">
      <c r="A680" t="s">
        <v>166</v>
      </c>
      <c r="B680" t="s">
        <v>3</v>
      </c>
      <c r="C680" t="s">
        <v>450</v>
      </c>
      <c r="D680" t="s">
        <v>451</v>
      </c>
      <c r="E680">
        <v>10063079</v>
      </c>
      <c r="F680" t="s">
        <v>474</v>
      </c>
      <c r="G680">
        <v>592325</v>
      </c>
      <c r="H680" s="184">
        <v>43908</v>
      </c>
      <c r="I680" s="184">
        <v>43908</v>
      </c>
      <c r="J680" t="s">
        <v>392</v>
      </c>
      <c r="K680">
        <v>60000</v>
      </c>
      <c r="L680" t="s">
        <v>281</v>
      </c>
    </row>
    <row r="681" spans="1:12" x14ac:dyDescent="0.4">
      <c r="A681" t="s">
        <v>166</v>
      </c>
      <c r="B681" t="s">
        <v>3</v>
      </c>
      <c r="C681" t="s">
        <v>450</v>
      </c>
      <c r="D681" t="s">
        <v>451</v>
      </c>
      <c r="E681">
        <v>10063079</v>
      </c>
      <c r="F681" t="s">
        <v>474</v>
      </c>
      <c r="G681">
        <v>592325</v>
      </c>
      <c r="H681" s="184">
        <v>43908</v>
      </c>
      <c r="I681" s="184">
        <v>43908</v>
      </c>
      <c r="J681" t="s">
        <v>392</v>
      </c>
      <c r="K681">
        <v>60000</v>
      </c>
      <c r="L681" t="s">
        <v>230</v>
      </c>
    </row>
    <row r="682" spans="1:12" x14ac:dyDescent="0.4">
      <c r="A682" t="s">
        <v>166</v>
      </c>
      <c r="B682" t="s">
        <v>3</v>
      </c>
      <c r="C682" t="s">
        <v>450</v>
      </c>
      <c r="D682" t="s">
        <v>451</v>
      </c>
      <c r="E682">
        <v>10063079</v>
      </c>
      <c r="F682" t="s">
        <v>474</v>
      </c>
      <c r="G682">
        <v>592325</v>
      </c>
      <c r="H682" s="184">
        <v>43908</v>
      </c>
      <c r="I682" s="184">
        <v>43908</v>
      </c>
      <c r="J682" t="s">
        <v>392</v>
      </c>
      <c r="K682">
        <v>60000</v>
      </c>
      <c r="L682" t="s">
        <v>243</v>
      </c>
    </row>
    <row r="683" spans="1:12" x14ac:dyDescent="0.4">
      <c r="A683" t="s">
        <v>166</v>
      </c>
      <c r="B683" t="s">
        <v>3</v>
      </c>
      <c r="C683" t="s">
        <v>450</v>
      </c>
      <c r="D683" t="s">
        <v>451</v>
      </c>
      <c r="E683">
        <v>10063079</v>
      </c>
      <c r="F683" t="s">
        <v>474</v>
      </c>
      <c r="G683">
        <v>592325</v>
      </c>
      <c r="H683" s="184">
        <v>43908</v>
      </c>
      <c r="I683" s="184">
        <v>43908</v>
      </c>
      <c r="J683" t="s">
        <v>392</v>
      </c>
      <c r="K683">
        <v>60000</v>
      </c>
      <c r="L683" t="s">
        <v>244</v>
      </c>
    </row>
    <row r="684" spans="1:12" x14ac:dyDescent="0.4">
      <c r="A684" t="s">
        <v>166</v>
      </c>
      <c r="B684" t="s">
        <v>3</v>
      </c>
      <c r="C684" t="s">
        <v>450</v>
      </c>
      <c r="D684" t="s">
        <v>451</v>
      </c>
      <c r="E684">
        <v>10063079</v>
      </c>
      <c r="F684" t="s">
        <v>474</v>
      </c>
      <c r="G684">
        <v>592325</v>
      </c>
      <c r="H684" s="184">
        <v>43908</v>
      </c>
      <c r="I684" s="184">
        <v>43908</v>
      </c>
      <c r="J684" t="s">
        <v>392</v>
      </c>
      <c r="K684">
        <v>60000</v>
      </c>
      <c r="L684" t="s">
        <v>245</v>
      </c>
    </row>
    <row r="685" spans="1:12" x14ac:dyDescent="0.4">
      <c r="A685" t="s">
        <v>166</v>
      </c>
      <c r="B685" t="s">
        <v>3</v>
      </c>
      <c r="C685" t="s">
        <v>450</v>
      </c>
      <c r="D685" t="s">
        <v>451</v>
      </c>
      <c r="E685">
        <v>10063079</v>
      </c>
      <c r="F685" t="s">
        <v>474</v>
      </c>
      <c r="G685">
        <v>592325</v>
      </c>
      <c r="H685" s="184">
        <v>43908</v>
      </c>
      <c r="I685" s="184">
        <v>43908</v>
      </c>
      <c r="J685" t="s">
        <v>392</v>
      </c>
      <c r="K685">
        <v>60000</v>
      </c>
      <c r="L685" t="s">
        <v>246</v>
      </c>
    </row>
    <row r="686" spans="1:12" x14ac:dyDescent="0.4">
      <c r="A686" t="s">
        <v>166</v>
      </c>
      <c r="B686" t="s">
        <v>3</v>
      </c>
      <c r="C686" t="s">
        <v>446</v>
      </c>
      <c r="D686" t="s">
        <v>447</v>
      </c>
      <c r="E686">
        <v>10073044</v>
      </c>
      <c r="F686" t="s">
        <v>475</v>
      </c>
      <c r="G686">
        <v>599291</v>
      </c>
      <c r="H686" s="184"/>
      <c r="I686" s="184"/>
      <c r="J686" t="s">
        <v>476</v>
      </c>
      <c r="K686">
        <v>60000</v>
      </c>
      <c r="L686" t="s">
        <v>258</v>
      </c>
    </row>
    <row r="687" spans="1:12" x14ac:dyDescent="0.4">
      <c r="A687" t="s">
        <v>166</v>
      </c>
      <c r="B687" t="s">
        <v>3</v>
      </c>
      <c r="C687" t="s">
        <v>446</v>
      </c>
      <c r="D687" t="s">
        <v>447</v>
      </c>
      <c r="E687">
        <v>10073044</v>
      </c>
      <c r="F687" t="s">
        <v>475</v>
      </c>
      <c r="G687">
        <v>599291</v>
      </c>
      <c r="H687" s="184"/>
      <c r="I687" s="184"/>
      <c r="J687" t="s">
        <v>476</v>
      </c>
      <c r="K687">
        <v>60000</v>
      </c>
      <c r="L687" t="s">
        <v>259</v>
      </c>
    </row>
    <row r="688" spans="1:12" x14ac:dyDescent="0.4">
      <c r="A688" t="s">
        <v>166</v>
      </c>
      <c r="B688" t="s">
        <v>3</v>
      </c>
      <c r="C688" t="s">
        <v>446</v>
      </c>
      <c r="D688" t="s">
        <v>447</v>
      </c>
      <c r="E688">
        <v>10073044</v>
      </c>
      <c r="F688" t="s">
        <v>475</v>
      </c>
      <c r="G688">
        <v>599291</v>
      </c>
      <c r="H688" s="184"/>
      <c r="I688" s="184"/>
      <c r="J688" t="s">
        <v>476</v>
      </c>
      <c r="K688">
        <v>60000</v>
      </c>
      <c r="L688" t="s">
        <v>260</v>
      </c>
    </row>
    <row r="689" spans="1:12" x14ac:dyDescent="0.4">
      <c r="A689" t="s">
        <v>166</v>
      </c>
      <c r="B689" t="s">
        <v>3</v>
      </c>
      <c r="C689" t="s">
        <v>446</v>
      </c>
      <c r="D689" t="s">
        <v>447</v>
      </c>
      <c r="E689">
        <v>10073044</v>
      </c>
      <c r="F689" t="s">
        <v>475</v>
      </c>
      <c r="G689">
        <v>599291</v>
      </c>
      <c r="H689" s="184"/>
      <c r="I689" s="184"/>
      <c r="J689" t="s">
        <v>476</v>
      </c>
      <c r="K689">
        <v>60000</v>
      </c>
      <c r="L689" t="s">
        <v>261</v>
      </c>
    </row>
    <row r="690" spans="1:12" x14ac:dyDescent="0.4">
      <c r="A690" t="s">
        <v>166</v>
      </c>
      <c r="B690" t="s">
        <v>3</v>
      </c>
      <c r="C690" t="s">
        <v>446</v>
      </c>
      <c r="D690" t="s">
        <v>447</v>
      </c>
      <c r="E690">
        <v>10073044</v>
      </c>
      <c r="F690" t="s">
        <v>475</v>
      </c>
      <c r="G690">
        <v>599291</v>
      </c>
      <c r="H690" s="184"/>
      <c r="I690" s="184"/>
      <c r="J690" t="s">
        <v>476</v>
      </c>
      <c r="K690">
        <v>60000</v>
      </c>
      <c r="L690" t="s">
        <v>262</v>
      </c>
    </row>
    <row r="691" spans="1:12" x14ac:dyDescent="0.4">
      <c r="A691" t="s">
        <v>166</v>
      </c>
      <c r="B691" t="s">
        <v>3</v>
      </c>
      <c r="C691" t="s">
        <v>446</v>
      </c>
      <c r="D691" t="s">
        <v>447</v>
      </c>
      <c r="E691">
        <v>10073044</v>
      </c>
      <c r="F691" t="s">
        <v>475</v>
      </c>
      <c r="G691">
        <v>599291</v>
      </c>
      <c r="H691" s="184"/>
      <c r="I691" s="184"/>
      <c r="J691" t="s">
        <v>476</v>
      </c>
      <c r="K691">
        <v>60000</v>
      </c>
      <c r="L691" t="s">
        <v>263</v>
      </c>
    </row>
    <row r="692" spans="1:12" x14ac:dyDescent="0.4">
      <c r="A692" t="s">
        <v>166</v>
      </c>
      <c r="B692" t="s">
        <v>3</v>
      </c>
      <c r="C692" t="s">
        <v>446</v>
      </c>
      <c r="D692" t="s">
        <v>447</v>
      </c>
      <c r="E692">
        <v>10078620</v>
      </c>
      <c r="F692" t="s">
        <v>477</v>
      </c>
      <c r="G692">
        <v>597777</v>
      </c>
      <c r="H692" s="184">
        <v>44280</v>
      </c>
      <c r="I692" s="184">
        <v>44285</v>
      </c>
      <c r="J692" t="s">
        <v>478</v>
      </c>
      <c r="K692">
        <v>60000</v>
      </c>
      <c r="L692" t="s">
        <v>242</v>
      </c>
    </row>
    <row r="693" spans="1:12" x14ac:dyDescent="0.4">
      <c r="A693" t="s">
        <v>166</v>
      </c>
      <c r="B693" t="s">
        <v>3</v>
      </c>
      <c r="C693" t="s">
        <v>446</v>
      </c>
      <c r="D693" t="s">
        <v>447</v>
      </c>
      <c r="E693">
        <v>10078620</v>
      </c>
      <c r="F693" t="s">
        <v>477</v>
      </c>
      <c r="G693">
        <v>597777</v>
      </c>
      <c r="H693" s="184">
        <v>44280</v>
      </c>
      <c r="I693" s="184">
        <v>44285</v>
      </c>
      <c r="J693" t="s">
        <v>478</v>
      </c>
      <c r="K693">
        <v>60000</v>
      </c>
      <c r="L693" t="s">
        <v>243</v>
      </c>
    </row>
    <row r="694" spans="1:12" x14ac:dyDescent="0.4">
      <c r="A694" t="s">
        <v>166</v>
      </c>
      <c r="B694" t="s">
        <v>3</v>
      </c>
      <c r="C694" t="s">
        <v>446</v>
      </c>
      <c r="D694" t="s">
        <v>447</v>
      </c>
      <c r="E694">
        <v>10078620</v>
      </c>
      <c r="F694" t="s">
        <v>477</v>
      </c>
      <c r="G694">
        <v>597777</v>
      </c>
      <c r="H694" s="184">
        <v>44280</v>
      </c>
      <c r="I694" s="184">
        <v>44285</v>
      </c>
      <c r="J694" t="s">
        <v>478</v>
      </c>
      <c r="K694">
        <v>60000</v>
      </c>
      <c r="L694" t="s">
        <v>244</v>
      </c>
    </row>
    <row r="695" spans="1:12" x14ac:dyDescent="0.4">
      <c r="A695" t="s">
        <v>166</v>
      </c>
      <c r="B695" t="s">
        <v>3</v>
      </c>
      <c r="C695" t="s">
        <v>446</v>
      </c>
      <c r="D695" t="s">
        <v>447</v>
      </c>
      <c r="E695">
        <v>10078620</v>
      </c>
      <c r="F695" t="s">
        <v>477</v>
      </c>
      <c r="G695">
        <v>597777</v>
      </c>
      <c r="H695" s="184">
        <v>44280</v>
      </c>
      <c r="I695" s="184">
        <v>44285</v>
      </c>
      <c r="J695" t="s">
        <v>478</v>
      </c>
      <c r="K695">
        <v>60000</v>
      </c>
      <c r="L695" t="s">
        <v>245</v>
      </c>
    </row>
    <row r="696" spans="1:12" x14ac:dyDescent="0.4">
      <c r="A696" t="s">
        <v>166</v>
      </c>
      <c r="B696" t="s">
        <v>3</v>
      </c>
      <c r="C696" t="s">
        <v>446</v>
      </c>
      <c r="D696" t="s">
        <v>447</v>
      </c>
      <c r="E696">
        <v>10078620</v>
      </c>
      <c r="F696" t="s">
        <v>477</v>
      </c>
      <c r="G696">
        <v>597777</v>
      </c>
      <c r="H696" s="184">
        <v>44280</v>
      </c>
      <c r="I696" s="184">
        <v>44285</v>
      </c>
      <c r="J696" t="s">
        <v>478</v>
      </c>
      <c r="K696">
        <v>60000</v>
      </c>
      <c r="L696" t="s">
        <v>246</v>
      </c>
    </row>
    <row r="697" spans="1:12" x14ac:dyDescent="0.4">
      <c r="A697" t="s">
        <v>166</v>
      </c>
      <c r="B697" t="s">
        <v>3</v>
      </c>
      <c r="C697" t="s">
        <v>446</v>
      </c>
      <c r="D697" t="s">
        <v>447</v>
      </c>
      <c r="E697">
        <v>10078620</v>
      </c>
      <c r="F697" t="s">
        <v>477</v>
      </c>
      <c r="G697">
        <v>597777</v>
      </c>
      <c r="H697" s="184">
        <v>44280</v>
      </c>
      <c r="I697" s="184">
        <v>44285</v>
      </c>
      <c r="J697" t="s">
        <v>478</v>
      </c>
      <c r="K697">
        <v>60000</v>
      </c>
      <c r="L697" t="s">
        <v>247</v>
      </c>
    </row>
    <row r="698" spans="1:12" x14ac:dyDescent="0.4">
      <c r="A698" t="s">
        <v>166</v>
      </c>
      <c r="B698" t="s">
        <v>3</v>
      </c>
      <c r="C698" t="s">
        <v>450</v>
      </c>
      <c r="D698" t="s">
        <v>451</v>
      </c>
      <c r="E698">
        <v>10079375</v>
      </c>
      <c r="F698" t="s">
        <v>479</v>
      </c>
      <c r="G698">
        <v>597137</v>
      </c>
      <c r="H698" s="184">
        <v>44201</v>
      </c>
      <c r="I698" s="184">
        <v>44224</v>
      </c>
      <c r="J698" t="s">
        <v>480</v>
      </c>
      <c r="K698">
        <v>60000</v>
      </c>
      <c r="L698" t="s">
        <v>238</v>
      </c>
    </row>
    <row r="699" spans="1:12" x14ac:dyDescent="0.4">
      <c r="A699" t="s">
        <v>166</v>
      </c>
      <c r="B699" t="s">
        <v>3</v>
      </c>
      <c r="C699" t="s">
        <v>450</v>
      </c>
      <c r="D699" t="s">
        <v>451</v>
      </c>
      <c r="E699">
        <v>10079375</v>
      </c>
      <c r="F699" t="s">
        <v>479</v>
      </c>
      <c r="G699">
        <v>597137</v>
      </c>
      <c r="H699" s="184">
        <v>44201</v>
      </c>
      <c r="I699" s="184">
        <v>44224</v>
      </c>
      <c r="J699" t="s">
        <v>480</v>
      </c>
      <c r="K699">
        <v>60000</v>
      </c>
      <c r="L699" t="s">
        <v>187</v>
      </c>
    </row>
    <row r="700" spans="1:12" x14ac:dyDescent="0.4">
      <c r="A700" t="s">
        <v>166</v>
      </c>
      <c r="B700" t="s">
        <v>3</v>
      </c>
      <c r="C700" t="s">
        <v>450</v>
      </c>
      <c r="D700" t="s">
        <v>451</v>
      </c>
      <c r="E700">
        <v>10079375</v>
      </c>
      <c r="F700" t="s">
        <v>479</v>
      </c>
      <c r="G700">
        <v>597137</v>
      </c>
      <c r="H700" s="184">
        <v>44201</v>
      </c>
      <c r="I700" s="184">
        <v>44224</v>
      </c>
      <c r="J700" t="s">
        <v>480</v>
      </c>
      <c r="K700">
        <v>60000</v>
      </c>
      <c r="L700" t="s">
        <v>188</v>
      </c>
    </row>
    <row r="701" spans="1:12" x14ac:dyDescent="0.4">
      <c r="A701" t="s">
        <v>166</v>
      </c>
      <c r="B701" t="s">
        <v>3</v>
      </c>
      <c r="C701" t="s">
        <v>450</v>
      </c>
      <c r="D701" t="s">
        <v>451</v>
      </c>
      <c r="E701">
        <v>10079375</v>
      </c>
      <c r="F701" t="s">
        <v>479</v>
      </c>
      <c r="G701">
        <v>597137</v>
      </c>
      <c r="H701" s="184">
        <v>44201</v>
      </c>
      <c r="I701" s="184">
        <v>44224</v>
      </c>
      <c r="J701" t="s">
        <v>480</v>
      </c>
      <c r="K701">
        <v>60000</v>
      </c>
      <c r="L701" t="s">
        <v>189</v>
      </c>
    </row>
    <row r="702" spans="1:12" x14ac:dyDescent="0.4">
      <c r="A702" t="s">
        <v>166</v>
      </c>
      <c r="B702" t="s">
        <v>3</v>
      </c>
      <c r="C702" t="s">
        <v>450</v>
      </c>
      <c r="D702" t="s">
        <v>451</v>
      </c>
      <c r="E702">
        <v>10079375</v>
      </c>
      <c r="F702" t="s">
        <v>479</v>
      </c>
      <c r="G702">
        <v>597137</v>
      </c>
      <c r="H702" s="184">
        <v>44201</v>
      </c>
      <c r="I702" s="184">
        <v>44224</v>
      </c>
      <c r="J702" t="s">
        <v>480</v>
      </c>
      <c r="K702">
        <v>60000</v>
      </c>
      <c r="L702" t="s">
        <v>190</v>
      </c>
    </row>
    <row r="703" spans="1:12" x14ac:dyDescent="0.4">
      <c r="A703" t="s">
        <v>166</v>
      </c>
      <c r="B703" t="s">
        <v>3</v>
      </c>
      <c r="C703" t="s">
        <v>450</v>
      </c>
      <c r="D703" t="s">
        <v>451</v>
      </c>
      <c r="E703">
        <v>10079375</v>
      </c>
      <c r="F703" t="s">
        <v>479</v>
      </c>
      <c r="G703">
        <v>597137</v>
      </c>
      <c r="H703" s="184">
        <v>44201</v>
      </c>
      <c r="I703" s="184">
        <v>44224</v>
      </c>
      <c r="J703" t="s">
        <v>480</v>
      </c>
      <c r="K703">
        <v>60000</v>
      </c>
      <c r="L703" t="s">
        <v>239</v>
      </c>
    </row>
    <row r="704" spans="1:12" x14ac:dyDescent="0.4">
      <c r="A704" t="s">
        <v>166</v>
      </c>
      <c r="B704" t="s">
        <v>3</v>
      </c>
      <c r="C704" t="s">
        <v>450</v>
      </c>
      <c r="D704" t="s">
        <v>451</v>
      </c>
      <c r="E704">
        <v>10082957</v>
      </c>
      <c r="F704" t="s">
        <v>481</v>
      </c>
      <c r="G704">
        <v>593146</v>
      </c>
      <c r="H704" s="184">
        <v>43976</v>
      </c>
      <c r="I704" s="184">
        <v>43980</v>
      </c>
      <c r="J704" t="s">
        <v>482</v>
      </c>
      <c r="K704">
        <v>60000</v>
      </c>
      <c r="L704" t="s">
        <v>376</v>
      </c>
    </row>
    <row r="705" spans="1:12" x14ac:dyDescent="0.4">
      <c r="A705" t="s">
        <v>166</v>
      </c>
      <c r="B705" t="s">
        <v>3</v>
      </c>
      <c r="C705" t="s">
        <v>450</v>
      </c>
      <c r="D705" t="s">
        <v>451</v>
      </c>
      <c r="E705">
        <v>10082957</v>
      </c>
      <c r="F705" t="s">
        <v>481</v>
      </c>
      <c r="G705">
        <v>593146</v>
      </c>
      <c r="H705" s="184">
        <v>43976</v>
      </c>
      <c r="I705" s="184">
        <v>43980</v>
      </c>
      <c r="J705" t="s">
        <v>482</v>
      </c>
      <c r="K705">
        <v>60000</v>
      </c>
      <c r="L705" t="s">
        <v>311</v>
      </c>
    </row>
    <row r="706" spans="1:12" x14ac:dyDescent="0.4">
      <c r="A706" t="s">
        <v>166</v>
      </c>
      <c r="B706" t="s">
        <v>3</v>
      </c>
      <c r="C706" t="s">
        <v>450</v>
      </c>
      <c r="D706" t="s">
        <v>451</v>
      </c>
      <c r="E706">
        <v>10082957</v>
      </c>
      <c r="F706" t="s">
        <v>481</v>
      </c>
      <c r="G706">
        <v>593146</v>
      </c>
      <c r="H706" s="184">
        <v>43976</v>
      </c>
      <c r="I706" s="184">
        <v>43980</v>
      </c>
      <c r="J706" t="s">
        <v>482</v>
      </c>
      <c r="K706">
        <v>60000</v>
      </c>
      <c r="L706" t="s">
        <v>259</v>
      </c>
    </row>
    <row r="707" spans="1:12" x14ac:dyDescent="0.4">
      <c r="A707" t="s">
        <v>166</v>
      </c>
      <c r="B707" t="s">
        <v>3</v>
      </c>
      <c r="C707" t="s">
        <v>450</v>
      </c>
      <c r="D707" t="s">
        <v>451</v>
      </c>
      <c r="E707">
        <v>10082957</v>
      </c>
      <c r="F707" t="s">
        <v>481</v>
      </c>
      <c r="G707">
        <v>593146</v>
      </c>
      <c r="H707" s="184">
        <v>43976</v>
      </c>
      <c r="I707" s="184">
        <v>43980</v>
      </c>
      <c r="J707" t="s">
        <v>482</v>
      </c>
      <c r="K707">
        <v>60000</v>
      </c>
      <c r="L707" t="s">
        <v>260</v>
      </c>
    </row>
    <row r="708" spans="1:12" x14ac:dyDescent="0.4">
      <c r="A708" t="s">
        <v>166</v>
      </c>
      <c r="B708" t="s">
        <v>3</v>
      </c>
      <c r="C708" t="s">
        <v>450</v>
      </c>
      <c r="D708" t="s">
        <v>451</v>
      </c>
      <c r="E708">
        <v>10082957</v>
      </c>
      <c r="F708" t="s">
        <v>481</v>
      </c>
      <c r="G708">
        <v>593146</v>
      </c>
      <c r="H708" s="184">
        <v>43976</v>
      </c>
      <c r="I708" s="184">
        <v>43980</v>
      </c>
      <c r="J708" t="s">
        <v>482</v>
      </c>
      <c r="K708">
        <v>60000</v>
      </c>
      <c r="L708" t="s">
        <v>261</v>
      </c>
    </row>
    <row r="709" spans="1:12" x14ac:dyDescent="0.4">
      <c r="A709" t="s">
        <v>166</v>
      </c>
      <c r="B709" t="s">
        <v>3</v>
      </c>
      <c r="C709" t="s">
        <v>450</v>
      </c>
      <c r="D709" t="s">
        <v>451</v>
      </c>
      <c r="E709">
        <v>10082957</v>
      </c>
      <c r="F709" t="s">
        <v>481</v>
      </c>
      <c r="G709">
        <v>593146</v>
      </c>
      <c r="H709" s="184">
        <v>43976</v>
      </c>
      <c r="I709" s="184">
        <v>43980</v>
      </c>
      <c r="J709" t="s">
        <v>482</v>
      </c>
      <c r="K709">
        <v>60000</v>
      </c>
      <c r="L709" t="s">
        <v>262</v>
      </c>
    </row>
    <row r="710" spans="1:12" x14ac:dyDescent="0.4">
      <c r="A710" t="s">
        <v>166</v>
      </c>
      <c r="B710" t="s">
        <v>3</v>
      </c>
      <c r="C710" t="s">
        <v>450</v>
      </c>
      <c r="D710" t="s">
        <v>451</v>
      </c>
      <c r="E710">
        <v>10090692</v>
      </c>
      <c r="F710" t="s">
        <v>483</v>
      </c>
      <c r="G710">
        <v>594041</v>
      </c>
      <c r="H710" s="184">
        <v>44034</v>
      </c>
      <c r="I710" s="184">
        <v>44041</v>
      </c>
      <c r="J710" t="s">
        <v>484</v>
      </c>
      <c r="K710">
        <v>60000</v>
      </c>
      <c r="L710" t="s">
        <v>220</v>
      </c>
    </row>
    <row r="711" spans="1:12" x14ac:dyDescent="0.4">
      <c r="A711" t="s">
        <v>166</v>
      </c>
      <c r="B711" t="s">
        <v>3</v>
      </c>
      <c r="C711" t="s">
        <v>450</v>
      </c>
      <c r="D711" t="s">
        <v>451</v>
      </c>
      <c r="E711">
        <v>10090692</v>
      </c>
      <c r="F711" t="s">
        <v>483</v>
      </c>
      <c r="G711">
        <v>594041</v>
      </c>
      <c r="H711" s="184">
        <v>44034</v>
      </c>
      <c r="I711" s="184">
        <v>44041</v>
      </c>
      <c r="J711" t="s">
        <v>484</v>
      </c>
      <c r="K711">
        <v>60000</v>
      </c>
      <c r="L711" t="s">
        <v>221</v>
      </c>
    </row>
    <row r="712" spans="1:12" x14ac:dyDescent="0.4">
      <c r="A712" t="s">
        <v>166</v>
      </c>
      <c r="B712" t="s">
        <v>3</v>
      </c>
      <c r="C712" t="s">
        <v>450</v>
      </c>
      <c r="D712" t="s">
        <v>451</v>
      </c>
      <c r="E712">
        <v>10090692</v>
      </c>
      <c r="F712" t="s">
        <v>483</v>
      </c>
      <c r="G712">
        <v>594041</v>
      </c>
      <c r="H712" s="184">
        <v>44034</v>
      </c>
      <c r="I712" s="184">
        <v>44041</v>
      </c>
      <c r="J712" t="s">
        <v>484</v>
      </c>
      <c r="K712">
        <v>60000</v>
      </c>
      <c r="L712" t="s">
        <v>222</v>
      </c>
    </row>
    <row r="713" spans="1:12" x14ac:dyDescent="0.4">
      <c r="A713" t="s">
        <v>166</v>
      </c>
      <c r="B713" t="s">
        <v>3</v>
      </c>
      <c r="C713" t="s">
        <v>450</v>
      </c>
      <c r="D713" t="s">
        <v>451</v>
      </c>
      <c r="E713">
        <v>10090692</v>
      </c>
      <c r="F713" t="s">
        <v>483</v>
      </c>
      <c r="G713">
        <v>594041</v>
      </c>
      <c r="H713" s="184">
        <v>44034</v>
      </c>
      <c r="I713" s="184">
        <v>44041</v>
      </c>
      <c r="J713" t="s">
        <v>484</v>
      </c>
      <c r="K713">
        <v>60000</v>
      </c>
      <c r="L713" t="s">
        <v>223</v>
      </c>
    </row>
    <row r="714" spans="1:12" x14ac:dyDescent="0.4">
      <c r="A714" t="s">
        <v>166</v>
      </c>
      <c r="B714" t="s">
        <v>3</v>
      </c>
      <c r="C714" t="s">
        <v>450</v>
      </c>
      <c r="D714" t="s">
        <v>451</v>
      </c>
      <c r="E714">
        <v>10090692</v>
      </c>
      <c r="F714" t="s">
        <v>483</v>
      </c>
      <c r="G714">
        <v>594041</v>
      </c>
      <c r="H714" s="184">
        <v>44034</v>
      </c>
      <c r="I714" s="184">
        <v>44041</v>
      </c>
      <c r="J714" t="s">
        <v>484</v>
      </c>
      <c r="K714">
        <v>60000</v>
      </c>
      <c r="L714" t="s">
        <v>224</v>
      </c>
    </row>
    <row r="715" spans="1:12" x14ac:dyDescent="0.4">
      <c r="A715" t="s">
        <v>166</v>
      </c>
      <c r="B715" t="s">
        <v>3</v>
      </c>
      <c r="C715" t="s">
        <v>450</v>
      </c>
      <c r="D715" t="s">
        <v>451</v>
      </c>
      <c r="E715">
        <v>10090692</v>
      </c>
      <c r="F715" t="s">
        <v>483</v>
      </c>
      <c r="G715">
        <v>594041</v>
      </c>
      <c r="H715" s="184">
        <v>44034</v>
      </c>
      <c r="I715" s="184">
        <v>44041</v>
      </c>
      <c r="J715" t="s">
        <v>484</v>
      </c>
      <c r="K715">
        <v>60000</v>
      </c>
      <c r="L715" t="s">
        <v>225</v>
      </c>
    </row>
    <row r="716" spans="1:12" x14ac:dyDescent="0.4">
      <c r="A716" t="s">
        <v>166</v>
      </c>
      <c r="B716" t="s">
        <v>3</v>
      </c>
      <c r="C716" t="s">
        <v>450</v>
      </c>
      <c r="D716" t="s">
        <v>451</v>
      </c>
      <c r="E716">
        <v>10092784</v>
      </c>
      <c r="F716" t="s">
        <v>485</v>
      </c>
      <c r="G716">
        <v>592907</v>
      </c>
      <c r="H716" s="184">
        <v>43958</v>
      </c>
      <c r="I716" s="184">
        <v>43963</v>
      </c>
      <c r="J716" t="s">
        <v>486</v>
      </c>
      <c r="K716">
        <v>60000</v>
      </c>
      <c r="L716" t="s">
        <v>376</v>
      </c>
    </row>
    <row r="717" spans="1:12" x14ac:dyDescent="0.4">
      <c r="A717" t="s">
        <v>166</v>
      </c>
      <c r="B717" t="s">
        <v>3</v>
      </c>
      <c r="C717" t="s">
        <v>450</v>
      </c>
      <c r="D717" t="s">
        <v>451</v>
      </c>
      <c r="E717">
        <v>10092784</v>
      </c>
      <c r="F717" t="s">
        <v>485</v>
      </c>
      <c r="G717">
        <v>592907</v>
      </c>
      <c r="H717" s="184">
        <v>43958</v>
      </c>
      <c r="I717" s="184">
        <v>43963</v>
      </c>
      <c r="J717" t="s">
        <v>486</v>
      </c>
      <c r="K717">
        <v>60000</v>
      </c>
      <c r="L717" t="s">
        <v>311</v>
      </c>
    </row>
    <row r="718" spans="1:12" x14ac:dyDescent="0.4">
      <c r="A718" t="s">
        <v>166</v>
      </c>
      <c r="B718" t="s">
        <v>3</v>
      </c>
      <c r="C718" t="s">
        <v>450</v>
      </c>
      <c r="D718" t="s">
        <v>451</v>
      </c>
      <c r="E718">
        <v>10092784</v>
      </c>
      <c r="F718" t="s">
        <v>485</v>
      </c>
      <c r="G718">
        <v>592907</v>
      </c>
      <c r="H718" s="184">
        <v>43958</v>
      </c>
      <c r="I718" s="184">
        <v>43963</v>
      </c>
      <c r="J718" t="s">
        <v>486</v>
      </c>
      <c r="K718">
        <v>60000</v>
      </c>
      <c r="L718" t="s">
        <v>259</v>
      </c>
    </row>
    <row r="719" spans="1:12" x14ac:dyDescent="0.4">
      <c r="A719" t="s">
        <v>166</v>
      </c>
      <c r="B719" t="s">
        <v>3</v>
      </c>
      <c r="C719" t="s">
        <v>450</v>
      </c>
      <c r="D719" t="s">
        <v>451</v>
      </c>
      <c r="E719">
        <v>10092784</v>
      </c>
      <c r="F719" t="s">
        <v>485</v>
      </c>
      <c r="G719">
        <v>592907</v>
      </c>
      <c r="H719" s="184">
        <v>43958</v>
      </c>
      <c r="I719" s="184">
        <v>43963</v>
      </c>
      <c r="J719" t="s">
        <v>486</v>
      </c>
      <c r="K719">
        <v>60000</v>
      </c>
      <c r="L719" t="s">
        <v>260</v>
      </c>
    </row>
    <row r="720" spans="1:12" x14ac:dyDescent="0.4">
      <c r="A720" t="s">
        <v>166</v>
      </c>
      <c r="B720" t="s">
        <v>3</v>
      </c>
      <c r="C720" t="s">
        <v>450</v>
      </c>
      <c r="D720" t="s">
        <v>451</v>
      </c>
      <c r="E720">
        <v>10092784</v>
      </c>
      <c r="F720" t="s">
        <v>485</v>
      </c>
      <c r="G720">
        <v>592907</v>
      </c>
      <c r="H720" s="184">
        <v>43958</v>
      </c>
      <c r="I720" s="184">
        <v>43963</v>
      </c>
      <c r="J720" t="s">
        <v>486</v>
      </c>
      <c r="K720">
        <v>60000</v>
      </c>
      <c r="L720" t="s">
        <v>261</v>
      </c>
    </row>
    <row r="721" spans="1:12" x14ac:dyDescent="0.4">
      <c r="A721" t="s">
        <v>166</v>
      </c>
      <c r="B721" t="s">
        <v>3</v>
      </c>
      <c r="C721" t="s">
        <v>450</v>
      </c>
      <c r="D721" t="s">
        <v>451</v>
      </c>
      <c r="E721">
        <v>10092784</v>
      </c>
      <c r="F721" t="s">
        <v>485</v>
      </c>
      <c r="G721">
        <v>592907</v>
      </c>
      <c r="H721" s="184">
        <v>43958</v>
      </c>
      <c r="I721" s="184">
        <v>43963</v>
      </c>
      <c r="J721" t="s">
        <v>486</v>
      </c>
      <c r="K721">
        <v>60000</v>
      </c>
      <c r="L721" t="s">
        <v>262</v>
      </c>
    </row>
    <row r="722" spans="1:12" x14ac:dyDescent="0.4">
      <c r="A722" t="s">
        <v>166</v>
      </c>
      <c r="B722" t="s">
        <v>3</v>
      </c>
      <c r="C722" t="s">
        <v>450</v>
      </c>
      <c r="D722" t="s">
        <v>451</v>
      </c>
      <c r="E722">
        <v>20007493</v>
      </c>
      <c r="F722" t="s">
        <v>487</v>
      </c>
      <c r="G722">
        <v>594506</v>
      </c>
      <c r="H722" s="184">
        <v>44068</v>
      </c>
      <c r="I722" s="184">
        <v>44074</v>
      </c>
      <c r="J722" t="s">
        <v>202</v>
      </c>
      <c r="K722">
        <v>60000</v>
      </c>
      <c r="L722" t="s">
        <v>203</v>
      </c>
    </row>
    <row r="723" spans="1:12" x14ac:dyDescent="0.4">
      <c r="A723" t="s">
        <v>166</v>
      </c>
      <c r="B723" t="s">
        <v>3</v>
      </c>
      <c r="C723" t="s">
        <v>450</v>
      </c>
      <c r="D723" t="s">
        <v>451</v>
      </c>
      <c r="E723">
        <v>20007493</v>
      </c>
      <c r="F723" t="s">
        <v>487</v>
      </c>
      <c r="G723">
        <v>594506</v>
      </c>
      <c r="H723" s="184">
        <v>44068</v>
      </c>
      <c r="I723" s="184">
        <v>44074</v>
      </c>
      <c r="J723" t="s">
        <v>202</v>
      </c>
      <c r="K723">
        <v>60000</v>
      </c>
      <c r="L723" t="s">
        <v>204</v>
      </c>
    </row>
    <row r="724" spans="1:12" x14ac:dyDescent="0.4">
      <c r="A724" t="s">
        <v>166</v>
      </c>
      <c r="B724" t="s">
        <v>3</v>
      </c>
      <c r="C724" t="s">
        <v>450</v>
      </c>
      <c r="D724" t="s">
        <v>451</v>
      </c>
      <c r="E724">
        <v>20007493</v>
      </c>
      <c r="F724" t="s">
        <v>487</v>
      </c>
      <c r="G724">
        <v>594506</v>
      </c>
      <c r="H724" s="184">
        <v>44068</v>
      </c>
      <c r="I724" s="184">
        <v>44074</v>
      </c>
      <c r="J724" t="s">
        <v>202</v>
      </c>
      <c r="K724">
        <v>60000</v>
      </c>
      <c r="L724" t="s">
        <v>205</v>
      </c>
    </row>
    <row r="725" spans="1:12" x14ac:dyDescent="0.4">
      <c r="A725" t="s">
        <v>166</v>
      </c>
      <c r="B725" t="s">
        <v>3</v>
      </c>
      <c r="C725" t="s">
        <v>450</v>
      </c>
      <c r="D725" t="s">
        <v>451</v>
      </c>
      <c r="E725">
        <v>20007493</v>
      </c>
      <c r="F725" t="s">
        <v>487</v>
      </c>
      <c r="G725">
        <v>594506</v>
      </c>
      <c r="H725" s="184">
        <v>44068</v>
      </c>
      <c r="I725" s="184">
        <v>44074</v>
      </c>
      <c r="J725" t="s">
        <v>202</v>
      </c>
      <c r="K725">
        <v>60000</v>
      </c>
      <c r="L725" t="s">
        <v>206</v>
      </c>
    </row>
    <row r="726" spans="1:12" x14ac:dyDescent="0.4">
      <c r="A726" t="s">
        <v>166</v>
      </c>
      <c r="B726" t="s">
        <v>3</v>
      </c>
      <c r="C726" t="s">
        <v>450</v>
      </c>
      <c r="D726" t="s">
        <v>451</v>
      </c>
      <c r="E726">
        <v>20007493</v>
      </c>
      <c r="F726" t="s">
        <v>487</v>
      </c>
      <c r="G726">
        <v>594506</v>
      </c>
      <c r="H726" s="184">
        <v>44068</v>
      </c>
      <c r="I726" s="184">
        <v>44074</v>
      </c>
      <c r="J726" t="s">
        <v>202</v>
      </c>
      <c r="K726">
        <v>60000</v>
      </c>
      <c r="L726" t="s">
        <v>207</v>
      </c>
    </row>
    <row r="727" spans="1:12" x14ac:dyDescent="0.4">
      <c r="A727" t="s">
        <v>166</v>
      </c>
      <c r="B727" t="s">
        <v>3</v>
      </c>
      <c r="C727" t="s">
        <v>450</v>
      </c>
      <c r="D727" t="s">
        <v>451</v>
      </c>
      <c r="E727">
        <v>20007493</v>
      </c>
      <c r="F727" t="s">
        <v>487</v>
      </c>
      <c r="G727">
        <v>594506</v>
      </c>
      <c r="H727" s="184">
        <v>44068</v>
      </c>
      <c r="I727" s="184">
        <v>44074</v>
      </c>
      <c r="J727" t="s">
        <v>202</v>
      </c>
      <c r="K727">
        <v>60000</v>
      </c>
      <c r="L727" t="s">
        <v>208</v>
      </c>
    </row>
    <row r="728" spans="1:12" x14ac:dyDescent="0.4">
      <c r="A728" t="s">
        <v>166</v>
      </c>
      <c r="B728" t="s">
        <v>3</v>
      </c>
      <c r="C728" t="s">
        <v>446</v>
      </c>
      <c r="D728" t="s">
        <v>447</v>
      </c>
      <c r="E728">
        <v>20010141</v>
      </c>
      <c r="F728" t="s">
        <v>488</v>
      </c>
      <c r="G728">
        <v>594092</v>
      </c>
      <c r="H728" s="184">
        <v>44034</v>
      </c>
      <c r="I728" s="184">
        <v>44043</v>
      </c>
      <c r="J728" t="s">
        <v>489</v>
      </c>
      <c r="K728">
        <v>60000</v>
      </c>
      <c r="L728" t="s">
        <v>220</v>
      </c>
    </row>
    <row r="729" spans="1:12" x14ac:dyDescent="0.4">
      <c r="A729" t="s">
        <v>166</v>
      </c>
      <c r="B729" t="s">
        <v>3</v>
      </c>
      <c r="C729" t="s">
        <v>446</v>
      </c>
      <c r="D729" t="s">
        <v>447</v>
      </c>
      <c r="E729">
        <v>20010141</v>
      </c>
      <c r="F729" t="s">
        <v>488</v>
      </c>
      <c r="G729">
        <v>594092</v>
      </c>
      <c r="H729" s="184">
        <v>44034</v>
      </c>
      <c r="I729" s="184">
        <v>44043</v>
      </c>
      <c r="J729" t="s">
        <v>489</v>
      </c>
      <c r="K729">
        <v>60000</v>
      </c>
      <c r="L729" t="s">
        <v>221</v>
      </c>
    </row>
    <row r="730" spans="1:12" x14ac:dyDescent="0.4">
      <c r="A730" t="s">
        <v>166</v>
      </c>
      <c r="B730" t="s">
        <v>3</v>
      </c>
      <c r="C730" t="s">
        <v>446</v>
      </c>
      <c r="D730" t="s">
        <v>447</v>
      </c>
      <c r="E730">
        <v>20010141</v>
      </c>
      <c r="F730" t="s">
        <v>488</v>
      </c>
      <c r="G730">
        <v>594092</v>
      </c>
      <c r="H730" s="184">
        <v>44034</v>
      </c>
      <c r="I730" s="184">
        <v>44043</v>
      </c>
      <c r="J730" t="s">
        <v>489</v>
      </c>
      <c r="K730">
        <v>60000</v>
      </c>
      <c r="L730" t="s">
        <v>222</v>
      </c>
    </row>
    <row r="731" spans="1:12" x14ac:dyDescent="0.4">
      <c r="A731" t="s">
        <v>166</v>
      </c>
      <c r="B731" t="s">
        <v>3</v>
      </c>
      <c r="C731" t="s">
        <v>446</v>
      </c>
      <c r="D731" t="s">
        <v>447</v>
      </c>
      <c r="E731">
        <v>20010141</v>
      </c>
      <c r="F731" t="s">
        <v>488</v>
      </c>
      <c r="G731">
        <v>594092</v>
      </c>
      <c r="H731" s="184">
        <v>44034</v>
      </c>
      <c r="I731" s="184">
        <v>44043</v>
      </c>
      <c r="J731" t="s">
        <v>489</v>
      </c>
      <c r="K731">
        <v>60000</v>
      </c>
      <c r="L731" t="s">
        <v>223</v>
      </c>
    </row>
    <row r="732" spans="1:12" x14ac:dyDescent="0.4">
      <c r="A732" t="s">
        <v>166</v>
      </c>
      <c r="B732" t="s">
        <v>3</v>
      </c>
      <c r="C732" t="s">
        <v>446</v>
      </c>
      <c r="D732" t="s">
        <v>447</v>
      </c>
      <c r="E732">
        <v>20010141</v>
      </c>
      <c r="F732" t="s">
        <v>488</v>
      </c>
      <c r="G732">
        <v>594092</v>
      </c>
      <c r="H732" s="184">
        <v>44034</v>
      </c>
      <c r="I732" s="184">
        <v>44043</v>
      </c>
      <c r="J732" t="s">
        <v>489</v>
      </c>
      <c r="K732">
        <v>60000</v>
      </c>
      <c r="L732" t="s">
        <v>224</v>
      </c>
    </row>
    <row r="733" spans="1:12" x14ac:dyDescent="0.4">
      <c r="A733" t="s">
        <v>166</v>
      </c>
      <c r="B733" t="s">
        <v>3</v>
      </c>
      <c r="C733" t="s">
        <v>446</v>
      </c>
      <c r="D733" t="s">
        <v>447</v>
      </c>
      <c r="E733">
        <v>20010141</v>
      </c>
      <c r="F733" t="s">
        <v>488</v>
      </c>
      <c r="G733">
        <v>594092</v>
      </c>
      <c r="H733" s="184">
        <v>44034</v>
      </c>
      <c r="I733" s="184">
        <v>44043</v>
      </c>
      <c r="J733" t="s">
        <v>489</v>
      </c>
      <c r="K733">
        <v>60000</v>
      </c>
      <c r="L733" t="s">
        <v>225</v>
      </c>
    </row>
    <row r="734" spans="1:12" x14ac:dyDescent="0.4">
      <c r="A734" t="s">
        <v>166</v>
      </c>
      <c r="B734" t="s">
        <v>3</v>
      </c>
      <c r="C734" t="s">
        <v>450</v>
      </c>
      <c r="D734" t="s">
        <v>451</v>
      </c>
      <c r="E734">
        <v>20012202</v>
      </c>
      <c r="F734" t="s">
        <v>490</v>
      </c>
      <c r="G734">
        <v>595919</v>
      </c>
      <c r="H734" s="184">
        <v>44145</v>
      </c>
      <c r="I734" s="184">
        <v>44147</v>
      </c>
      <c r="J734" t="s">
        <v>344</v>
      </c>
      <c r="K734">
        <v>60000</v>
      </c>
      <c r="L734" t="s">
        <v>196</v>
      </c>
    </row>
    <row r="735" spans="1:12" x14ac:dyDescent="0.4">
      <c r="A735" t="s">
        <v>166</v>
      </c>
      <c r="B735" t="s">
        <v>3</v>
      </c>
      <c r="C735" t="s">
        <v>450</v>
      </c>
      <c r="D735" t="s">
        <v>451</v>
      </c>
      <c r="E735">
        <v>20012202</v>
      </c>
      <c r="F735" t="s">
        <v>490</v>
      </c>
      <c r="G735">
        <v>595919</v>
      </c>
      <c r="H735" s="184">
        <v>44145</v>
      </c>
      <c r="I735" s="184">
        <v>44147</v>
      </c>
      <c r="J735" t="s">
        <v>344</v>
      </c>
      <c r="K735">
        <v>60000</v>
      </c>
      <c r="L735" t="s">
        <v>211</v>
      </c>
    </row>
    <row r="736" spans="1:12" x14ac:dyDescent="0.4">
      <c r="A736" t="s">
        <v>166</v>
      </c>
      <c r="B736" t="s">
        <v>3</v>
      </c>
      <c r="C736" t="s">
        <v>450</v>
      </c>
      <c r="D736" t="s">
        <v>451</v>
      </c>
      <c r="E736">
        <v>20012202</v>
      </c>
      <c r="F736" t="s">
        <v>490</v>
      </c>
      <c r="G736">
        <v>595919</v>
      </c>
      <c r="H736" s="184">
        <v>44145</v>
      </c>
      <c r="I736" s="184">
        <v>44147</v>
      </c>
      <c r="J736" t="s">
        <v>344</v>
      </c>
      <c r="K736">
        <v>60000</v>
      </c>
      <c r="L736" t="s">
        <v>212</v>
      </c>
    </row>
    <row r="737" spans="1:12" x14ac:dyDescent="0.4">
      <c r="A737" t="s">
        <v>166</v>
      </c>
      <c r="B737" t="s">
        <v>3</v>
      </c>
      <c r="C737" t="s">
        <v>450</v>
      </c>
      <c r="D737" t="s">
        <v>451</v>
      </c>
      <c r="E737">
        <v>20012202</v>
      </c>
      <c r="F737" t="s">
        <v>490</v>
      </c>
      <c r="G737">
        <v>595919</v>
      </c>
      <c r="H737" s="184">
        <v>44145</v>
      </c>
      <c r="I737" s="184">
        <v>44147</v>
      </c>
      <c r="J737" t="s">
        <v>344</v>
      </c>
      <c r="K737">
        <v>60000</v>
      </c>
      <c r="L737" t="s">
        <v>213</v>
      </c>
    </row>
    <row r="738" spans="1:12" x14ac:dyDescent="0.4">
      <c r="A738" t="s">
        <v>166</v>
      </c>
      <c r="B738" t="s">
        <v>3</v>
      </c>
      <c r="C738" t="s">
        <v>450</v>
      </c>
      <c r="D738" t="s">
        <v>451</v>
      </c>
      <c r="E738">
        <v>20012202</v>
      </c>
      <c r="F738" t="s">
        <v>490</v>
      </c>
      <c r="G738">
        <v>595919</v>
      </c>
      <c r="H738" s="184">
        <v>44145</v>
      </c>
      <c r="I738" s="184">
        <v>44147</v>
      </c>
      <c r="J738" t="s">
        <v>344</v>
      </c>
      <c r="K738">
        <v>60000</v>
      </c>
      <c r="L738" t="s">
        <v>214</v>
      </c>
    </row>
    <row r="739" spans="1:12" x14ac:dyDescent="0.4">
      <c r="A739" t="s">
        <v>166</v>
      </c>
      <c r="B739" t="s">
        <v>3</v>
      </c>
      <c r="C739" t="s">
        <v>450</v>
      </c>
      <c r="D739" t="s">
        <v>451</v>
      </c>
      <c r="E739">
        <v>20012202</v>
      </c>
      <c r="F739" t="s">
        <v>490</v>
      </c>
      <c r="G739">
        <v>595919</v>
      </c>
      <c r="H739" s="184">
        <v>44145</v>
      </c>
      <c r="I739" s="184">
        <v>44147</v>
      </c>
      <c r="J739" t="s">
        <v>344</v>
      </c>
      <c r="K739">
        <v>60000</v>
      </c>
      <c r="L739" t="s">
        <v>215</v>
      </c>
    </row>
    <row r="740" spans="1:12" x14ac:dyDescent="0.4">
      <c r="A740" t="s">
        <v>166</v>
      </c>
      <c r="B740" t="s">
        <v>3</v>
      </c>
      <c r="C740" t="s">
        <v>446</v>
      </c>
      <c r="D740" t="s">
        <v>447</v>
      </c>
      <c r="E740">
        <v>20017598</v>
      </c>
      <c r="F740" t="s">
        <v>491</v>
      </c>
      <c r="G740">
        <v>591542</v>
      </c>
      <c r="H740" s="184">
        <v>43916</v>
      </c>
      <c r="I740" s="184">
        <v>43921</v>
      </c>
      <c r="J740" t="s">
        <v>466</v>
      </c>
      <c r="K740">
        <v>60000</v>
      </c>
      <c r="L740" t="s">
        <v>281</v>
      </c>
    </row>
    <row r="741" spans="1:12" x14ac:dyDescent="0.4">
      <c r="A741" t="s">
        <v>166</v>
      </c>
      <c r="B741" t="s">
        <v>3</v>
      </c>
      <c r="C741" t="s">
        <v>446</v>
      </c>
      <c r="D741" t="s">
        <v>447</v>
      </c>
      <c r="E741">
        <v>20017598</v>
      </c>
      <c r="F741" t="s">
        <v>491</v>
      </c>
      <c r="G741">
        <v>591542</v>
      </c>
      <c r="H741" s="184">
        <v>43916</v>
      </c>
      <c r="I741" s="184">
        <v>43921</v>
      </c>
      <c r="J741" t="s">
        <v>466</v>
      </c>
      <c r="K741">
        <v>60000</v>
      </c>
      <c r="L741" t="s">
        <v>230</v>
      </c>
    </row>
    <row r="742" spans="1:12" x14ac:dyDescent="0.4">
      <c r="A742" t="s">
        <v>166</v>
      </c>
      <c r="B742" t="s">
        <v>3</v>
      </c>
      <c r="C742" t="s">
        <v>446</v>
      </c>
      <c r="D742" t="s">
        <v>447</v>
      </c>
      <c r="E742">
        <v>20017598</v>
      </c>
      <c r="F742" t="s">
        <v>491</v>
      </c>
      <c r="G742">
        <v>591542</v>
      </c>
      <c r="H742" s="184">
        <v>43916</v>
      </c>
      <c r="I742" s="184">
        <v>43921</v>
      </c>
      <c r="J742" t="s">
        <v>466</v>
      </c>
      <c r="K742">
        <v>60000</v>
      </c>
      <c r="L742" t="s">
        <v>243</v>
      </c>
    </row>
    <row r="743" spans="1:12" x14ac:dyDescent="0.4">
      <c r="A743" t="s">
        <v>166</v>
      </c>
      <c r="B743" t="s">
        <v>3</v>
      </c>
      <c r="C743" t="s">
        <v>446</v>
      </c>
      <c r="D743" t="s">
        <v>447</v>
      </c>
      <c r="E743">
        <v>20017598</v>
      </c>
      <c r="F743" t="s">
        <v>491</v>
      </c>
      <c r="G743">
        <v>591542</v>
      </c>
      <c r="H743" s="184">
        <v>43916</v>
      </c>
      <c r="I743" s="184">
        <v>43921</v>
      </c>
      <c r="J743" t="s">
        <v>466</v>
      </c>
      <c r="K743">
        <v>60000</v>
      </c>
      <c r="L743" t="s">
        <v>244</v>
      </c>
    </row>
    <row r="744" spans="1:12" x14ac:dyDescent="0.4">
      <c r="A744" t="s">
        <v>166</v>
      </c>
      <c r="B744" t="s">
        <v>3</v>
      </c>
      <c r="C744" t="s">
        <v>446</v>
      </c>
      <c r="D744" t="s">
        <v>447</v>
      </c>
      <c r="E744">
        <v>20017598</v>
      </c>
      <c r="F744" t="s">
        <v>491</v>
      </c>
      <c r="G744">
        <v>591542</v>
      </c>
      <c r="H744" s="184">
        <v>43916</v>
      </c>
      <c r="I744" s="184">
        <v>43921</v>
      </c>
      <c r="J744" t="s">
        <v>466</v>
      </c>
      <c r="K744">
        <v>60000</v>
      </c>
      <c r="L744" t="s">
        <v>245</v>
      </c>
    </row>
    <row r="745" spans="1:12" x14ac:dyDescent="0.4">
      <c r="A745" t="s">
        <v>166</v>
      </c>
      <c r="B745" t="s">
        <v>3</v>
      </c>
      <c r="C745" t="s">
        <v>446</v>
      </c>
      <c r="D745" t="s">
        <v>447</v>
      </c>
      <c r="E745">
        <v>20017598</v>
      </c>
      <c r="F745" t="s">
        <v>491</v>
      </c>
      <c r="G745">
        <v>591542</v>
      </c>
      <c r="H745" s="184">
        <v>43916</v>
      </c>
      <c r="I745" s="184">
        <v>43921</v>
      </c>
      <c r="J745" t="s">
        <v>466</v>
      </c>
      <c r="K745">
        <v>60000</v>
      </c>
      <c r="L745" t="s">
        <v>246</v>
      </c>
    </row>
    <row r="746" spans="1:12" x14ac:dyDescent="0.4">
      <c r="A746" t="s">
        <v>166</v>
      </c>
      <c r="B746" t="s">
        <v>3</v>
      </c>
      <c r="C746" t="s">
        <v>450</v>
      </c>
      <c r="D746" t="s">
        <v>451</v>
      </c>
      <c r="E746">
        <v>20017735</v>
      </c>
      <c r="F746" t="s">
        <v>492</v>
      </c>
      <c r="G746">
        <v>591290</v>
      </c>
      <c r="H746" s="184">
        <v>43881</v>
      </c>
      <c r="I746" s="184">
        <v>43889</v>
      </c>
      <c r="J746" t="s">
        <v>349</v>
      </c>
      <c r="K746">
        <v>60000</v>
      </c>
      <c r="L746" t="s">
        <v>275</v>
      </c>
    </row>
    <row r="747" spans="1:12" x14ac:dyDescent="0.4">
      <c r="A747" t="s">
        <v>166</v>
      </c>
      <c r="B747" t="s">
        <v>3</v>
      </c>
      <c r="C747" t="s">
        <v>450</v>
      </c>
      <c r="D747" t="s">
        <v>451</v>
      </c>
      <c r="E747">
        <v>20017735</v>
      </c>
      <c r="F747" t="s">
        <v>492</v>
      </c>
      <c r="G747">
        <v>591290</v>
      </c>
      <c r="H747" s="184">
        <v>43881</v>
      </c>
      <c r="I747" s="184">
        <v>43889</v>
      </c>
      <c r="J747" t="s">
        <v>349</v>
      </c>
      <c r="K747">
        <v>60000</v>
      </c>
      <c r="L747" t="s">
        <v>238</v>
      </c>
    </row>
    <row r="748" spans="1:12" x14ac:dyDescent="0.4">
      <c r="A748" t="s">
        <v>166</v>
      </c>
      <c r="B748" t="s">
        <v>3</v>
      </c>
      <c r="C748" t="s">
        <v>450</v>
      </c>
      <c r="D748" t="s">
        <v>451</v>
      </c>
      <c r="E748">
        <v>20017735</v>
      </c>
      <c r="F748" t="s">
        <v>492</v>
      </c>
      <c r="G748">
        <v>591290</v>
      </c>
      <c r="H748" s="184">
        <v>43881</v>
      </c>
      <c r="I748" s="184">
        <v>43889</v>
      </c>
      <c r="J748" t="s">
        <v>349</v>
      </c>
      <c r="K748">
        <v>60000</v>
      </c>
      <c r="L748" t="s">
        <v>231</v>
      </c>
    </row>
    <row r="749" spans="1:12" x14ac:dyDescent="0.4">
      <c r="A749" t="s">
        <v>166</v>
      </c>
      <c r="B749" t="s">
        <v>3</v>
      </c>
      <c r="C749" t="s">
        <v>450</v>
      </c>
      <c r="D749" t="s">
        <v>451</v>
      </c>
      <c r="E749">
        <v>20017735</v>
      </c>
      <c r="F749" t="s">
        <v>492</v>
      </c>
      <c r="G749">
        <v>591290</v>
      </c>
      <c r="H749" s="184">
        <v>43881</v>
      </c>
      <c r="I749" s="184">
        <v>43889</v>
      </c>
      <c r="J749" t="s">
        <v>349</v>
      </c>
      <c r="K749">
        <v>60000</v>
      </c>
      <c r="L749" t="s">
        <v>232</v>
      </c>
    </row>
    <row r="750" spans="1:12" x14ac:dyDescent="0.4">
      <c r="A750" t="s">
        <v>166</v>
      </c>
      <c r="B750" t="s">
        <v>3</v>
      </c>
      <c r="C750" t="s">
        <v>450</v>
      </c>
      <c r="D750" t="s">
        <v>451</v>
      </c>
      <c r="E750">
        <v>20017735</v>
      </c>
      <c r="F750" t="s">
        <v>492</v>
      </c>
      <c r="G750">
        <v>591290</v>
      </c>
      <c r="H750" s="184">
        <v>43881</v>
      </c>
      <c r="I750" s="184">
        <v>43889</v>
      </c>
      <c r="J750" t="s">
        <v>349</v>
      </c>
      <c r="K750">
        <v>60000</v>
      </c>
      <c r="L750" t="s">
        <v>233</v>
      </c>
    </row>
    <row r="751" spans="1:12" x14ac:dyDescent="0.4">
      <c r="A751" t="s">
        <v>166</v>
      </c>
      <c r="B751" t="s">
        <v>3</v>
      </c>
      <c r="C751" t="s">
        <v>450</v>
      </c>
      <c r="D751" t="s">
        <v>451</v>
      </c>
      <c r="E751">
        <v>20017735</v>
      </c>
      <c r="F751" t="s">
        <v>492</v>
      </c>
      <c r="G751">
        <v>591290</v>
      </c>
      <c r="H751" s="184">
        <v>43881</v>
      </c>
      <c r="I751" s="184">
        <v>43889</v>
      </c>
      <c r="J751" t="s">
        <v>349</v>
      </c>
      <c r="K751">
        <v>60000</v>
      </c>
      <c r="L751" t="s">
        <v>234</v>
      </c>
    </row>
    <row r="752" spans="1:12" x14ac:dyDescent="0.4">
      <c r="A752" t="s">
        <v>166</v>
      </c>
      <c r="B752" t="s">
        <v>3</v>
      </c>
      <c r="C752" t="s">
        <v>446</v>
      </c>
      <c r="D752" t="s">
        <v>447</v>
      </c>
      <c r="E752">
        <v>20017741</v>
      </c>
      <c r="F752" t="s">
        <v>493</v>
      </c>
      <c r="G752">
        <v>594868</v>
      </c>
      <c r="H752" s="184">
        <v>44085</v>
      </c>
      <c r="I752" s="184">
        <v>44104</v>
      </c>
      <c r="J752" t="s">
        <v>494</v>
      </c>
      <c r="K752">
        <v>60000</v>
      </c>
      <c r="L752" t="s">
        <v>290</v>
      </c>
    </row>
    <row r="753" spans="1:12" x14ac:dyDescent="0.4">
      <c r="A753" t="s">
        <v>166</v>
      </c>
      <c r="B753" t="s">
        <v>3</v>
      </c>
      <c r="C753" t="s">
        <v>446</v>
      </c>
      <c r="D753" t="s">
        <v>447</v>
      </c>
      <c r="E753">
        <v>20017741</v>
      </c>
      <c r="F753" t="s">
        <v>493</v>
      </c>
      <c r="G753">
        <v>594868</v>
      </c>
      <c r="H753" s="184">
        <v>44085</v>
      </c>
      <c r="I753" s="184">
        <v>44104</v>
      </c>
      <c r="J753" t="s">
        <v>494</v>
      </c>
      <c r="K753">
        <v>60000</v>
      </c>
      <c r="L753" t="s">
        <v>291</v>
      </c>
    </row>
    <row r="754" spans="1:12" x14ac:dyDescent="0.4">
      <c r="A754" t="s">
        <v>166</v>
      </c>
      <c r="B754" t="s">
        <v>3</v>
      </c>
      <c r="C754" t="s">
        <v>446</v>
      </c>
      <c r="D754" t="s">
        <v>447</v>
      </c>
      <c r="E754">
        <v>20017741</v>
      </c>
      <c r="F754" t="s">
        <v>493</v>
      </c>
      <c r="G754">
        <v>594868</v>
      </c>
      <c r="H754" s="184">
        <v>44085</v>
      </c>
      <c r="I754" s="184">
        <v>44104</v>
      </c>
      <c r="J754" t="s">
        <v>494</v>
      </c>
      <c r="K754">
        <v>60000</v>
      </c>
      <c r="L754" t="s">
        <v>292</v>
      </c>
    </row>
    <row r="755" spans="1:12" x14ac:dyDescent="0.4">
      <c r="A755" t="s">
        <v>166</v>
      </c>
      <c r="B755" t="s">
        <v>3</v>
      </c>
      <c r="C755" t="s">
        <v>446</v>
      </c>
      <c r="D755" t="s">
        <v>447</v>
      </c>
      <c r="E755">
        <v>20017741</v>
      </c>
      <c r="F755" t="s">
        <v>493</v>
      </c>
      <c r="G755">
        <v>594868</v>
      </c>
      <c r="H755" s="184">
        <v>44085</v>
      </c>
      <c r="I755" s="184">
        <v>44104</v>
      </c>
      <c r="J755" t="s">
        <v>494</v>
      </c>
      <c r="K755">
        <v>60000</v>
      </c>
      <c r="L755" t="s">
        <v>293</v>
      </c>
    </row>
    <row r="756" spans="1:12" x14ac:dyDescent="0.4">
      <c r="A756" t="s">
        <v>166</v>
      </c>
      <c r="B756" t="s">
        <v>3</v>
      </c>
      <c r="C756" t="s">
        <v>446</v>
      </c>
      <c r="D756" t="s">
        <v>447</v>
      </c>
      <c r="E756">
        <v>20017741</v>
      </c>
      <c r="F756" t="s">
        <v>493</v>
      </c>
      <c r="G756">
        <v>594868</v>
      </c>
      <c r="H756" s="184">
        <v>44085</v>
      </c>
      <c r="I756" s="184">
        <v>44104</v>
      </c>
      <c r="J756" t="s">
        <v>494</v>
      </c>
      <c r="K756">
        <v>60000</v>
      </c>
      <c r="L756" t="s">
        <v>294</v>
      </c>
    </row>
    <row r="757" spans="1:12" x14ac:dyDescent="0.4">
      <c r="A757" t="s">
        <v>166</v>
      </c>
      <c r="B757" t="s">
        <v>3</v>
      </c>
      <c r="C757" t="s">
        <v>446</v>
      </c>
      <c r="D757" t="s">
        <v>447</v>
      </c>
      <c r="E757">
        <v>20017741</v>
      </c>
      <c r="F757" t="s">
        <v>493</v>
      </c>
      <c r="G757">
        <v>594868</v>
      </c>
      <c r="H757" s="184">
        <v>44085</v>
      </c>
      <c r="I757" s="184">
        <v>44104</v>
      </c>
      <c r="J757" t="s">
        <v>494</v>
      </c>
      <c r="K757">
        <v>60000</v>
      </c>
      <c r="L757" t="s">
        <v>295</v>
      </c>
    </row>
    <row r="758" spans="1:12" x14ac:dyDescent="0.4">
      <c r="A758" t="s">
        <v>166</v>
      </c>
      <c r="B758" t="s">
        <v>3</v>
      </c>
      <c r="C758" t="s">
        <v>450</v>
      </c>
      <c r="D758" t="s">
        <v>451</v>
      </c>
      <c r="E758">
        <v>20017845</v>
      </c>
      <c r="F758" t="s">
        <v>495</v>
      </c>
      <c r="G758">
        <v>592367</v>
      </c>
      <c r="H758" s="184">
        <v>43920</v>
      </c>
      <c r="I758" s="184">
        <v>43921</v>
      </c>
      <c r="J758" t="s">
        <v>466</v>
      </c>
      <c r="K758">
        <v>60000</v>
      </c>
      <c r="L758" t="s">
        <v>281</v>
      </c>
    </row>
    <row r="759" spans="1:12" x14ac:dyDescent="0.4">
      <c r="A759" t="s">
        <v>166</v>
      </c>
      <c r="B759" t="s">
        <v>3</v>
      </c>
      <c r="C759" t="s">
        <v>450</v>
      </c>
      <c r="D759" t="s">
        <v>451</v>
      </c>
      <c r="E759">
        <v>20017845</v>
      </c>
      <c r="F759" t="s">
        <v>495</v>
      </c>
      <c r="G759">
        <v>592367</v>
      </c>
      <c r="H759" s="184">
        <v>43920</v>
      </c>
      <c r="I759" s="184">
        <v>43921</v>
      </c>
      <c r="J759" t="s">
        <v>466</v>
      </c>
      <c r="K759">
        <v>60000</v>
      </c>
      <c r="L759" t="s">
        <v>230</v>
      </c>
    </row>
    <row r="760" spans="1:12" x14ac:dyDescent="0.4">
      <c r="A760" t="s">
        <v>166</v>
      </c>
      <c r="B760" t="s">
        <v>3</v>
      </c>
      <c r="C760" t="s">
        <v>450</v>
      </c>
      <c r="D760" t="s">
        <v>451</v>
      </c>
      <c r="E760">
        <v>20017845</v>
      </c>
      <c r="F760" t="s">
        <v>495</v>
      </c>
      <c r="G760">
        <v>592367</v>
      </c>
      <c r="H760" s="184">
        <v>43920</v>
      </c>
      <c r="I760" s="184">
        <v>43921</v>
      </c>
      <c r="J760" t="s">
        <v>466</v>
      </c>
      <c r="K760">
        <v>60000</v>
      </c>
      <c r="L760" t="s">
        <v>243</v>
      </c>
    </row>
    <row r="761" spans="1:12" x14ac:dyDescent="0.4">
      <c r="A761" t="s">
        <v>166</v>
      </c>
      <c r="B761" t="s">
        <v>3</v>
      </c>
      <c r="C761" t="s">
        <v>450</v>
      </c>
      <c r="D761" t="s">
        <v>451</v>
      </c>
      <c r="E761">
        <v>20017845</v>
      </c>
      <c r="F761" t="s">
        <v>495</v>
      </c>
      <c r="G761">
        <v>592367</v>
      </c>
      <c r="H761" s="184">
        <v>43920</v>
      </c>
      <c r="I761" s="184">
        <v>43921</v>
      </c>
      <c r="J761" t="s">
        <v>466</v>
      </c>
      <c r="K761">
        <v>60000</v>
      </c>
      <c r="L761" t="s">
        <v>244</v>
      </c>
    </row>
    <row r="762" spans="1:12" x14ac:dyDescent="0.4">
      <c r="A762" t="s">
        <v>166</v>
      </c>
      <c r="B762" t="s">
        <v>3</v>
      </c>
      <c r="C762" t="s">
        <v>450</v>
      </c>
      <c r="D762" t="s">
        <v>451</v>
      </c>
      <c r="E762">
        <v>20017845</v>
      </c>
      <c r="F762" t="s">
        <v>495</v>
      </c>
      <c r="G762">
        <v>592367</v>
      </c>
      <c r="H762" s="184">
        <v>43920</v>
      </c>
      <c r="I762" s="184">
        <v>43921</v>
      </c>
      <c r="J762" t="s">
        <v>466</v>
      </c>
      <c r="K762">
        <v>60000</v>
      </c>
      <c r="L762" t="s">
        <v>245</v>
      </c>
    </row>
    <row r="763" spans="1:12" x14ac:dyDescent="0.4">
      <c r="A763" t="s">
        <v>166</v>
      </c>
      <c r="B763" t="s">
        <v>3</v>
      </c>
      <c r="C763" t="s">
        <v>450</v>
      </c>
      <c r="D763" t="s">
        <v>451</v>
      </c>
      <c r="E763">
        <v>20017845</v>
      </c>
      <c r="F763" t="s">
        <v>495</v>
      </c>
      <c r="G763">
        <v>592367</v>
      </c>
      <c r="H763" s="184">
        <v>43920</v>
      </c>
      <c r="I763" s="184">
        <v>43921</v>
      </c>
      <c r="J763" t="s">
        <v>466</v>
      </c>
      <c r="K763">
        <v>60000</v>
      </c>
      <c r="L763" t="s">
        <v>246</v>
      </c>
    </row>
    <row r="764" spans="1:12" x14ac:dyDescent="0.4">
      <c r="A764" t="s">
        <v>166</v>
      </c>
      <c r="B764" t="s">
        <v>3</v>
      </c>
      <c r="C764" t="s">
        <v>446</v>
      </c>
      <c r="D764" t="s">
        <v>447</v>
      </c>
      <c r="E764">
        <v>20017974</v>
      </c>
      <c r="F764" t="s">
        <v>496</v>
      </c>
      <c r="G764">
        <v>590420</v>
      </c>
      <c r="H764" s="184">
        <v>43887</v>
      </c>
      <c r="I764" s="184">
        <v>43889</v>
      </c>
      <c r="J764" t="s">
        <v>274</v>
      </c>
      <c r="K764">
        <v>60000</v>
      </c>
      <c r="L764" t="s">
        <v>275</v>
      </c>
    </row>
    <row r="765" spans="1:12" x14ac:dyDescent="0.4">
      <c r="A765" t="s">
        <v>166</v>
      </c>
      <c r="B765" t="s">
        <v>3</v>
      </c>
      <c r="C765" t="s">
        <v>446</v>
      </c>
      <c r="D765" t="s">
        <v>447</v>
      </c>
      <c r="E765">
        <v>20017974</v>
      </c>
      <c r="F765" t="s">
        <v>496</v>
      </c>
      <c r="G765">
        <v>590420</v>
      </c>
      <c r="H765" s="184">
        <v>43887</v>
      </c>
      <c r="I765" s="184">
        <v>43889</v>
      </c>
      <c r="J765" t="s">
        <v>274</v>
      </c>
      <c r="K765">
        <v>60000</v>
      </c>
      <c r="L765" t="s">
        <v>238</v>
      </c>
    </row>
    <row r="766" spans="1:12" x14ac:dyDescent="0.4">
      <c r="A766" t="s">
        <v>166</v>
      </c>
      <c r="B766" t="s">
        <v>3</v>
      </c>
      <c r="C766" t="s">
        <v>446</v>
      </c>
      <c r="D766" t="s">
        <v>447</v>
      </c>
      <c r="E766">
        <v>20017974</v>
      </c>
      <c r="F766" t="s">
        <v>496</v>
      </c>
      <c r="G766">
        <v>590420</v>
      </c>
      <c r="H766" s="184">
        <v>43887</v>
      </c>
      <c r="I766" s="184">
        <v>43889</v>
      </c>
      <c r="J766" t="s">
        <v>274</v>
      </c>
      <c r="K766">
        <v>60000</v>
      </c>
      <c r="L766" t="s">
        <v>231</v>
      </c>
    </row>
    <row r="767" spans="1:12" x14ac:dyDescent="0.4">
      <c r="A767" t="s">
        <v>166</v>
      </c>
      <c r="B767" t="s">
        <v>3</v>
      </c>
      <c r="C767" t="s">
        <v>446</v>
      </c>
      <c r="D767" t="s">
        <v>447</v>
      </c>
      <c r="E767">
        <v>20017974</v>
      </c>
      <c r="F767" t="s">
        <v>496</v>
      </c>
      <c r="G767">
        <v>590420</v>
      </c>
      <c r="H767" s="184">
        <v>43887</v>
      </c>
      <c r="I767" s="184">
        <v>43889</v>
      </c>
      <c r="J767" t="s">
        <v>274</v>
      </c>
      <c r="K767">
        <v>60000</v>
      </c>
      <c r="L767" t="s">
        <v>232</v>
      </c>
    </row>
    <row r="768" spans="1:12" x14ac:dyDescent="0.4">
      <c r="A768" t="s">
        <v>166</v>
      </c>
      <c r="B768" t="s">
        <v>3</v>
      </c>
      <c r="C768" t="s">
        <v>446</v>
      </c>
      <c r="D768" t="s">
        <v>447</v>
      </c>
      <c r="E768">
        <v>20017974</v>
      </c>
      <c r="F768" t="s">
        <v>496</v>
      </c>
      <c r="G768">
        <v>590420</v>
      </c>
      <c r="H768" s="184">
        <v>43887</v>
      </c>
      <c r="I768" s="184">
        <v>43889</v>
      </c>
      <c r="J768" t="s">
        <v>274</v>
      </c>
      <c r="K768">
        <v>60000</v>
      </c>
      <c r="L768" t="s">
        <v>233</v>
      </c>
    </row>
    <row r="769" spans="1:12" x14ac:dyDescent="0.4">
      <c r="A769" t="s">
        <v>166</v>
      </c>
      <c r="B769" t="s">
        <v>3</v>
      </c>
      <c r="C769" t="s">
        <v>446</v>
      </c>
      <c r="D769" t="s">
        <v>447</v>
      </c>
      <c r="E769">
        <v>20017974</v>
      </c>
      <c r="F769" t="s">
        <v>496</v>
      </c>
      <c r="G769">
        <v>590420</v>
      </c>
      <c r="H769" s="184">
        <v>43887</v>
      </c>
      <c r="I769" s="184">
        <v>43889</v>
      </c>
      <c r="J769" t="s">
        <v>274</v>
      </c>
      <c r="K769">
        <v>60000</v>
      </c>
      <c r="L769" t="s">
        <v>234</v>
      </c>
    </row>
    <row r="770" spans="1:12" x14ac:dyDescent="0.4">
      <c r="A770" t="s">
        <v>166</v>
      </c>
      <c r="B770" t="s">
        <v>3</v>
      </c>
      <c r="C770" t="s">
        <v>446</v>
      </c>
      <c r="D770" t="s">
        <v>447</v>
      </c>
      <c r="E770">
        <v>20017984</v>
      </c>
      <c r="F770" t="s">
        <v>497</v>
      </c>
      <c r="G770">
        <v>589942</v>
      </c>
      <c r="H770" s="184">
        <v>43841</v>
      </c>
      <c r="I770" s="184">
        <v>43846</v>
      </c>
      <c r="J770" t="s">
        <v>498</v>
      </c>
      <c r="K770">
        <v>60000</v>
      </c>
      <c r="L770" t="s">
        <v>185</v>
      </c>
    </row>
    <row r="771" spans="1:12" x14ac:dyDescent="0.4">
      <c r="A771" t="s">
        <v>166</v>
      </c>
      <c r="B771" t="s">
        <v>3</v>
      </c>
      <c r="C771" t="s">
        <v>446</v>
      </c>
      <c r="D771" t="s">
        <v>447</v>
      </c>
      <c r="E771">
        <v>20017984</v>
      </c>
      <c r="F771" t="s">
        <v>497</v>
      </c>
      <c r="G771">
        <v>589942</v>
      </c>
      <c r="H771" s="184">
        <v>43841</v>
      </c>
      <c r="I771" s="184">
        <v>43846</v>
      </c>
      <c r="J771" t="s">
        <v>498</v>
      </c>
      <c r="K771">
        <v>60000</v>
      </c>
      <c r="L771" t="s">
        <v>186</v>
      </c>
    </row>
    <row r="772" spans="1:12" x14ac:dyDescent="0.4">
      <c r="A772" t="s">
        <v>166</v>
      </c>
      <c r="B772" t="s">
        <v>3</v>
      </c>
      <c r="C772" t="s">
        <v>446</v>
      </c>
      <c r="D772" t="s">
        <v>447</v>
      </c>
      <c r="E772">
        <v>20017984</v>
      </c>
      <c r="F772" t="s">
        <v>497</v>
      </c>
      <c r="G772">
        <v>589942</v>
      </c>
      <c r="H772" s="184">
        <v>43841</v>
      </c>
      <c r="I772" s="184">
        <v>43846</v>
      </c>
      <c r="J772" t="s">
        <v>498</v>
      </c>
      <c r="K772">
        <v>60000</v>
      </c>
      <c r="L772" t="s">
        <v>187</v>
      </c>
    </row>
    <row r="773" spans="1:12" x14ac:dyDescent="0.4">
      <c r="A773" t="s">
        <v>166</v>
      </c>
      <c r="B773" t="s">
        <v>3</v>
      </c>
      <c r="C773" t="s">
        <v>446</v>
      </c>
      <c r="D773" t="s">
        <v>447</v>
      </c>
      <c r="E773">
        <v>20017984</v>
      </c>
      <c r="F773" t="s">
        <v>497</v>
      </c>
      <c r="G773">
        <v>589942</v>
      </c>
      <c r="H773" s="184">
        <v>43841</v>
      </c>
      <c r="I773" s="184">
        <v>43846</v>
      </c>
      <c r="J773" t="s">
        <v>498</v>
      </c>
      <c r="K773">
        <v>60000</v>
      </c>
      <c r="L773" t="s">
        <v>188</v>
      </c>
    </row>
    <row r="774" spans="1:12" x14ac:dyDescent="0.4">
      <c r="A774" t="s">
        <v>166</v>
      </c>
      <c r="B774" t="s">
        <v>3</v>
      </c>
      <c r="C774" t="s">
        <v>446</v>
      </c>
      <c r="D774" t="s">
        <v>447</v>
      </c>
      <c r="E774">
        <v>20017984</v>
      </c>
      <c r="F774" t="s">
        <v>497</v>
      </c>
      <c r="G774">
        <v>589942</v>
      </c>
      <c r="H774" s="184">
        <v>43841</v>
      </c>
      <c r="I774" s="184">
        <v>43846</v>
      </c>
      <c r="J774" t="s">
        <v>498</v>
      </c>
      <c r="K774">
        <v>60000</v>
      </c>
      <c r="L774" t="s">
        <v>189</v>
      </c>
    </row>
    <row r="775" spans="1:12" x14ac:dyDescent="0.4">
      <c r="A775" t="s">
        <v>166</v>
      </c>
      <c r="B775" t="s">
        <v>3</v>
      </c>
      <c r="C775" t="s">
        <v>446</v>
      </c>
      <c r="D775" t="s">
        <v>447</v>
      </c>
      <c r="E775">
        <v>20017984</v>
      </c>
      <c r="F775" t="s">
        <v>497</v>
      </c>
      <c r="G775">
        <v>589942</v>
      </c>
      <c r="H775" s="184">
        <v>43841</v>
      </c>
      <c r="I775" s="184">
        <v>43846</v>
      </c>
      <c r="J775" t="s">
        <v>498</v>
      </c>
      <c r="K775">
        <v>60000</v>
      </c>
      <c r="L775" t="s">
        <v>190</v>
      </c>
    </row>
    <row r="776" spans="1:12" x14ac:dyDescent="0.4">
      <c r="A776" t="s">
        <v>166</v>
      </c>
      <c r="B776" t="s">
        <v>3</v>
      </c>
      <c r="C776" t="s">
        <v>450</v>
      </c>
      <c r="D776" t="s">
        <v>451</v>
      </c>
      <c r="E776">
        <v>20017994</v>
      </c>
      <c r="F776" t="s">
        <v>499</v>
      </c>
      <c r="G776">
        <v>590863</v>
      </c>
      <c r="H776" s="184">
        <v>43861</v>
      </c>
      <c r="I776" s="184">
        <v>43861</v>
      </c>
      <c r="J776" t="s">
        <v>500</v>
      </c>
      <c r="K776">
        <v>60000</v>
      </c>
      <c r="L776" t="s">
        <v>185</v>
      </c>
    </row>
    <row r="777" spans="1:12" x14ac:dyDescent="0.4">
      <c r="A777" t="s">
        <v>166</v>
      </c>
      <c r="B777" t="s">
        <v>3</v>
      </c>
      <c r="C777" t="s">
        <v>450</v>
      </c>
      <c r="D777" t="s">
        <v>451</v>
      </c>
      <c r="E777">
        <v>20017994</v>
      </c>
      <c r="F777" t="s">
        <v>499</v>
      </c>
      <c r="G777">
        <v>590863</v>
      </c>
      <c r="H777" s="184">
        <v>43861</v>
      </c>
      <c r="I777" s="184">
        <v>43861</v>
      </c>
      <c r="J777" t="s">
        <v>500</v>
      </c>
      <c r="K777">
        <v>60000</v>
      </c>
      <c r="L777" t="s">
        <v>186</v>
      </c>
    </row>
    <row r="778" spans="1:12" x14ac:dyDescent="0.4">
      <c r="A778" t="s">
        <v>166</v>
      </c>
      <c r="B778" t="s">
        <v>3</v>
      </c>
      <c r="C778" t="s">
        <v>450</v>
      </c>
      <c r="D778" t="s">
        <v>451</v>
      </c>
      <c r="E778">
        <v>20017994</v>
      </c>
      <c r="F778" t="s">
        <v>499</v>
      </c>
      <c r="G778">
        <v>590863</v>
      </c>
      <c r="H778" s="184">
        <v>43861</v>
      </c>
      <c r="I778" s="184">
        <v>43861</v>
      </c>
      <c r="J778" t="s">
        <v>500</v>
      </c>
      <c r="K778">
        <v>60000</v>
      </c>
      <c r="L778" t="s">
        <v>187</v>
      </c>
    </row>
    <row r="779" spans="1:12" x14ac:dyDescent="0.4">
      <c r="A779" t="s">
        <v>166</v>
      </c>
      <c r="B779" t="s">
        <v>3</v>
      </c>
      <c r="C779" t="s">
        <v>450</v>
      </c>
      <c r="D779" t="s">
        <v>451</v>
      </c>
      <c r="E779">
        <v>20017994</v>
      </c>
      <c r="F779" t="s">
        <v>499</v>
      </c>
      <c r="G779">
        <v>590863</v>
      </c>
      <c r="H779" s="184">
        <v>43861</v>
      </c>
      <c r="I779" s="184">
        <v>43861</v>
      </c>
      <c r="J779" t="s">
        <v>500</v>
      </c>
      <c r="K779">
        <v>60000</v>
      </c>
      <c r="L779" t="s">
        <v>188</v>
      </c>
    </row>
    <row r="780" spans="1:12" x14ac:dyDescent="0.4">
      <c r="A780" t="s">
        <v>166</v>
      </c>
      <c r="B780" t="s">
        <v>3</v>
      </c>
      <c r="C780" t="s">
        <v>450</v>
      </c>
      <c r="D780" t="s">
        <v>451</v>
      </c>
      <c r="E780">
        <v>20017994</v>
      </c>
      <c r="F780" t="s">
        <v>499</v>
      </c>
      <c r="G780">
        <v>590863</v>
      </c>
      <c r="H780" s="184">
        <v>43861</v>
      </c>
      <c r="I780" s="184">
        <v>43861</v>
      </c>
      <c r="J780" t="s">
        <v>500</v>
      </c>
      <c r="K780">
        <v>60000</v>
      </c>
      <c r="L780" t="s">
        <v>189</v>
      </c>
    </row>
    <row r="781" spans="1:12" x14ac:dyDescent="0.4">
      <c r="A781" t="s">
        <v>166</v>
      </c>
      <c r="B781" t="s">
        <v>3</v>
      </c>
      <c r="C781" t="s">
        <v>450</v>
      </c>
      <c r="D781" t="s">
        <v>451</v>
      </c>
      <c r="E781">
        <v>20017994</v>
      </c>
      <c r="F781" t="s">
        <v>499</v>
      </c>
      <c r="G781">
        <v>590863</v>
      </c>
      <c r="H781" s="184">
        <v>43861</v>
      </c>
      <c r="I781" s="184">
        <v>43861</v>
      </c>
      <c r="J781" t="s">
        <v>500</v>
      </c>
      <c r="K781">
        <v>60000</v>
      </c>
      <c r="L781" t="s">
        <v>190</v>
      </c>
    </row>
    <row r="782" spans="1:12" x14ac:dyDescent="0.4">
      <c r="A782" t="s">
        <v>166</v>
      </c>
      <c r="B782" t="s">
        <v>3</v>
      </c>
      <c r="C782" t="s">
        <v>450</v>
      </c>
      <c r="D782" t="s">
        <v>451</v>
      </c>
      <c r="E782">
        <v>20018090</v>
      </c>
      <c r="F782" t="s">
        <v>501</v>
      </c>
      <c r="G782">
        <v>589248</v>
      </c>
      <c r="H782" s="184">
        <v>43804</v>
      </c>
      <c r="I782" s="184">
        <v>43805</v>
      </c>
      <c r="J782" t="s">
        <v>502</v>
      </c>
      <c r="K782">
        <v>60000</v>
      </c>
      <c r="L782" t="s">
        <v>195</v>
      </c>
    </row>
    <row r="783" spans="1:12" x14ac:dyDescent="0.4">
      <c r="A783" t="s">
        <v>166</v>
      </c>
      <c r="B783" t="s">
        <v>3</v>
      </c>
      <c r="C783" t="s">
        <v>450</v>
      </c>
      <c r="D783" t="s">
        <v>451</v>
      </c>
      <c r="E783">
        <v>20018090</v>
      </c>
      <c r="F783" t="s">
        <v>501</v>
      </c>
      <c r="G783">
        <v>589248</v>
      </c>
      <c r="H783" s="184">
        <v>43804</v>
      </c>
      <c r="I783" s="184">
        <v>43805</v>
      </c>
      <c r="J783" t="s">
        <v>502</v>
      </c>
      <c r="K783">
        <v>60000</v>
      </c>
      <c r="L783" t="s">
        <v>196</v>
      </c>
    </row>
    <row r="784" spans="1:12" x14ac:dyDescent="0.4">
      <c r="A784" t="s">
        <v>166</v>
      </c>
      <c r="B784" t="s">
        <v>3</v>
      </c>
      <c r="C784" t="s">
        <v>450</v>
      </c>
      <c r="D784" t="s">
        <v>451</v>
      </c>
      <c r="E784">
        <v>20018090</v>
      </c>
      <c r="F784" t="s">
        <v>501</v>
      </c>
      <c r="G784">
        <v>589248</v>
      </c>
      <c r="H784" s="184">
        <v>43804</v>
      </c>
      <c r="I784" s="184">
        <v>43805</v>
      </c>
      <c r="J784" t="s">
        <v>502</v>
      </c>
      <c r="K784">
        <v>60000</v>
      </c>
      <c r="L784" t="s">
        <v>197</v>
      </c>
    </row>
    <row r="785" spans="1:12" x14ac:dyDescent="0.4">
      <c r="A785" t="s">
        <v>166</v>
      </c>
      <c r="B785" t="s">
        <v>3</v>
      </c>
      <c r="C785" t="s">
        <v>450</v>
      </c>
      <c r="D785" t="s">
        <v>451</v>
      </c>
      <c r="E785">
        <v>20018090</v>
      </c>
      <c r="F785" t="s">
        <v>501</v>
      </c>
      <c r="G785">
        <v>589248</v>
      </c>
      <c r="H785" s="184">
        <v>43804</v>
      </c>
      <c r="I785" s="184">
        <v>43805</v>
      </c>
      <c r="J785" t="s">
        <v>502</v>
      </c>
      <c r="K785">
        <v>60000</v>
      </c>
      <c r="L785" t="s">
        <v>198</v>
      </c>
    </row>
    <row r="786" spans="1:12" x14ac:dyDescent="0.4">
      <c r="A786" t="s">
        <v>166</v>
      </c>
      <c r="B786" t="s">
        <v>3</v>
      </c>
      <c r="C786" t="s">
        <v>450</v>
      </c>
      <c r="D786" t="s">
        <v>451</v>
      </c>
      <c r="E786">
        <v>20018090</v>
      </c>
      <c r="F786" t="s">
        <v>501</v>
      </c>
      <c r="G786">
        <v>589248</v>
      </c>
      <c r="H786" s="184">
        <v>43804</v>
      </c>
      <c r="I786" s="184">
        <v>43805</v>
      </c>
      <c r="J786" t="s">
        <v>502</v>
      </c>
      <c r="K786">
        <v>60000</v>
      </c>
      <c r="L786" t="s">
        <v>199</v>
      </c>
    </row>
    <row r="787" spans="1:12" x14ac:dyDescent="0.4">
      <c r="A787" t="s">
        <v>166</v>
      </c>
      <c r="B787" t="s">
        <v>3</v>
      </c>
      <c r="C787" t="s">
        <v>450</v>
      </c>
      <c r="D787" t="s">
        <v>451</v>
      </c>
      <c r="E787">
        <v>20018090</v>
      </c>
      <c r="F787" t="s">
        <v>501</v>
      </c>
      <c r="G787">
        <v>589248</v>
      </c>
      <c r="H787" s="184">
        <v>43804</v>
      </c>
      <c r="I787" s="184">
        <v>43805</v>
      </c>
      <c r="J787" t="s">
        <v>502</v>
      </c>
      <c r="K787">
        <v>60000</v>
      </c>
      <c r="L787" t="s">
        <v>200</v>
      </c>
    </row>
    <row r="788" spans="1:12" x14ac:dyDescent="0.4">
      <c r="A788" t="s">
        <v>166</v>
      </c>
      <c r="B788" t="s">
        <v>3</v>
      </c>
      <c r="C788" t="s">
        <v>450</v>
      </c>
      <c r="D788" t="s">
        <v>451</v>
      </c>
      <c r="E788">
        <v>20018118</v>
      </c>
      <c r="F788" t="s">
        <v>503</v>
      </c>
      <c r="G788">
        <v>592260</v>
      </c>
      <c r="H788" s="184">
        <v>43909</v>
      </c>
      <c r="I788" s="184">
        <v>43909</v>
      </c>
      <c r="J788" t="s">
        <v>504</v>
      </c>
      <c r="K788">
        <v>60000</v>
      </c>
      <c r="L788" t="s">
        <v>281</v>
      </c>
    </row>
    <row r="789" spans="1:12" x14ac:dyDescent="0.4">
      <c r="A789" t="s">
        <v>166</v>
      </c>
      <c r="B789" t="s">
        <v>3</v>
      </c>
      <c r="C789" t="s">
        <v>450</v>
      </c>
      <c r="D789" t="s">
        <v>451</v>
      </c>
      <c r="E789">
        <v>20018118</v>
      </c>
      <c r="F789" t="s">
        <v>503</v>
      </c>
      <c r="G789">
        <v>592260</v>
      </c>
      <c r="H789" s="184">
        <v>43909</v>
      </c>
      <c r="I789" s="184">
        <v>43909</v>
      </c>
      <c r="J789" t="s">
        <v>504</v>
      </c>
      <c r="K789">
        <v>60000</v>
      </c>
      <c r="L789" t="s">
        <v>230</v>
      </c>
    </row>
    <row r="790" spans="1:12" x14ac:dyDescent="0.4">
      <c r="A790" t="s">
        <v>166</v>
      </c>
      <c r="B790" t="s">
        <v>3</v>
      </c>
      <c r="C790" t="s">
        <v>450</v>
      </c>
      <c r="D790" t="s">
        <v>451</v>
      </c>
      <c r="E790">
        <v>20018118</v>
      </c>
      <c r="F790" t="s">
        <v>503</v>
      </c>
      <c r="G790">
        <v>592260</v>
      </c>
      <c r="H790" s="184">
        <v>43909</v>
      </c>
      <c r="I790" s="184">
        <v>43909</v>
      </c>
      <c r="J790" t="s">
        <v>504</v>
      </c>
      <c r="K790">
        <v>60000</v>
      </c>
      <c r="L790" t="s">
        <v>243</v>
      </c>
    </row>
    <row r="791" spans="1:12" x14ac:dyDescent="0.4">
      <c r="A791" t="s">
        <v>166</v>
      </c>
      <c r="B791" t="s">
        <v>3</v>
      </c>
      <c r="C791" t="s">
        <v>450</v>
      </c>
      <c r="D791" t="s">
        <v>451</v>
      </c>
      <c r="E791">
        <v>20018118</v>
      </c>
      <c r="F791" t="s">
        <v>503</v>
      </c>
      <c r="G791">
        <v>592260</v>
      </c>
      <c r="H791" s="184">
        <v>43909</v>
      </c>
      <c r="I791" s="184">
        <v>43909</v>
      </c>
      <c r="J791" t="s">
        <v>504</v>
      </c>
      <c r="K791">
        <v>60000</v>
      </c>
      <c r="L791" t="s">
        <v>244</v>
      </c>
    </row>
    <row r="792" spans="1:12" x14ac:dyDescent="0.4">
      <c r="A792" t="s">
        <v>166</v>
      </c>
      <c r="B792" t="s">
        <v>3</v>
      </c>
      <c r="C792" t="s">
        <v>450</v>
      </c>
      <c r="D792" t="s">
        <v>451</v>
      </c>
      <c r="E792">
        <v>20018118</v>
      </c>
      <c r="F792" t="s">
        <v>503</v>
      </c>
      <c r="G792">
        <v>592260</v>
      </c>
      <c r="H792" s="184">
        <v>43909</v>
      </c>
      <c r="I792" s="184">
        <v>43909</v>
      </c>
      <c r="J792" t="s">
        <v>504</v>
      </c>
      <c r="K792">
        <v>60000</v>
      </c>
      <c r="L792" t="s">
        <v>245</v>
      </c>
    </row>
    <row r="793" spans="1:12" x14ac:dyDescent="0.4">
      <c r="A793" t="s">
        <v>166</v>
      </c>
      <c r="B793" t="s">
        <v>3</v>
      </c>
      <c r="C793" t="s">
        <v>450</v>
      </c>
      <c r="D793" t="s">
        <v>451</v>
      </c>
      <c r="E793">
        <v>20018118</v>
      </c>
      <c r="F793" t="s">
        <v>503</v>
      </c>
      <c r="G793">
        <v>592260</v>
      </c>
      <c r="H793" s="184">
        <v>43909</v>
      </c>
      <c r="I793" s="184">
        <v>43909</v>
      </c>
      <c r="J793" t="s">
        <v>504</v>
      </c>
      <c r="K793">
        <v>60000</v>
      </c>
      <c r="L793" t="s">
        <v>246</v>
      </c>
    </row>
    <row r="794" spans="1:12" x14ac:dyDescent="0.4">
      <c r="A794" t="s">
        <v>166</v>
      </c>
      <c r="B794" t="s">
        <v>3</v>
      </c>
      <c r="C794" t="s">
        <v>450</v>
      </c>
      <c r="D794" t="s">
        <v>451</v>
      </c>
      <c r="E794">
        <v>20018126</v>
      </c>
      <c r="F794" t="s">
        <v>505</v>
      </c>
      <c r="G794">
        <v>592126</v>
      </c>
      <c r="H794" s="184">
        <v>43935</v>
      </c>
      <c r="I794" s="184">
        <v>43938</v>
      </c>
      <c r="J794" t="s">
        <v>506</v>
      </c>
      <c r="K794">
        <v>60000</v>
      </c>
      <c r="L794" t="s">
        <v>363</v>
      </c>
    </row>
    <row r="795" spans="1:12" x14ac:dyDescent="0.4">
      <c r="A795" t="s">
        <v>166</v>
      </c>
      <c r="B795" t="s">
        <v>3</v>
      </c>
      <c r="C795" t="s">
        <v>450</v>
      </c>
      <c r="D795" t="s">
        <v>451</v>
      </c>
      <c r="E795">
        <v>20018126</v>
      </c>
      <c r="F795" t="s">
        <v>505</v>
      </c>
      <c r="G795">
        <v>592126</v>
      </c>
      <c r="H795" s="184">
        <v>43935</v>
      </c>
      <c r="I795" s="184">
        <v>43938</v>
      </c>
      <c r="J795" t="s">
        <v>506</v>
      </c>
      <c r="K795">
        <v>60000</v>
      </c>
      <c r="L795" t="s">
        <v>242</v>
      </c>
    </row>
    <row r="796" spans="1:12" x14ac:dyDescent="0.4">
      <c r="A796" t="s">
        <v>166</v>
      </c>
      <c r="B796" t="s">
        <v>3</v>
      </c>
      <c r="C796" t="s">
        <v>450</v>
      </c>
      <c r="D796" t="s">
        <v>451</v>
      </c>
      <c r="E796">
        <v>20018126</v>
      </c>
      <c r="F796" t="s">
        <v>505</v>
      </c>
      <c r="G796">
        <v>592126</v>
      </c>
      <c r="H796" s="184">
        <v>43935</v>
      </c>
      <c r="I796" s="184">
        <v>43938</v>
      </c>
      <c r="J796" t="s">
        <v>506</v>
      </c>
      <c r="K796">
        <v>60000</v>
      </c>
      <c r="L796" t="s">
        <v>312</v>
      </c>
    </row>
    <row r="797" spans="1:12" x14ac:dyDescent="0.4">
      <c r="A797" t="s">
        <v>166</v>
      </c>
      <c r="B797" t="s">
        <v>3</v>
      </c>
      <c r="C797" t="s">
        <v>450</v>
      </c>
      <c r="D797" t="s">
        <v>451</v>
      </c>
      <c r="E797">
        <v>20018126</v>
      </c>
      <c r="F797" t="s">
        <v>505</v>
      </c>
      <c r="G797">
        <v>592126</v>
      </c>
      <c r="H797" s="184">
        <v>43935</v>
      </c>
      <c r="I797" s="184">
        <v>43938</v>
      </c>
      <c r="J797" t="s">
        <v>506</v>
      </c>
      <c r="K797">
        <v>60000</v>
      </c>
      <c r="L797" t="s">
        <v>313</v>
      </c>
    </row>
    <row r="798" spans="1:12" x14ac:dyDescent="0.4">
      <c r="A798" t="s">
        <v>166</v>
      </c>
      <c r="B798" t="s">
        <v>3</v>
      </c>
      <c r="C798" t="s">
        <v>450</v>
      </c>
      <c r="D798" t="s">
        <v>451</v>
      </c>
      <c r="E798">
        <v>20018126</v>
      </c>
      <c r="F798" t="s">
        <v>505</v>
      </c>
      <c r="G798">
        <v>592126</v>
      </c>
      <c r="H798" s="184">
        <v>43935</v>
      </c>
      <c r="I798" s="184">
        <v>43938</v>
      </c>
      <c r="J798" t="s">
        <v>506</v>
      </c>
      <c r="K798">
        <v>60000</v>
      </c>
      <c r="L798" t="s">
        <v>314</v>
      </c>
    </row>
    <row r="799" spans="1:12" x14ac:dyDescent="0.4">
      <c r="A799" t="s">
        <v>166</v>
      </c>
      <c r="B799" t="s">
        <v>3</v>
      </c>
      <c r="C799" t="s">
        <v>450</v>
      </c>
      <c r="D799" t="s">
        <v>451</v>
      </c>
      <c r="E799">
        <v>20018126</v>
      </c>
      <c r="F799" t="s">
        <v>505</v>
      </c>
      <c r="G799">
        <v>592126</v>
      </c>
      <c r="H799" s="184">
        <v>43935</v>
      </c>
      <c r="I799" s="184">
        <v>43938</v>
      </c>
      <c r="J799" t="s">
        <v>506</v>
      </c>
      <c r="K799">
        <v>60000</v>
      </c>
      <c r="L799" t="s">
        <v>315</v>
      </c>
    </row>
    <row r="800" spans="1:12" x14ac:dyDescent="0.4">
      <c r="A800" t="s">
        <v>166</v>
      </c>
      <c r="B800" t="s">
        <v>3</v>
      </c>
      <c r="C800" t="s">
        <v>450</v>
      </c>
      <c r="D800" t="s">
        <v>451</v>
      </c>
      <c r="E800">
        <v>20018294</v>
      </c>
      <c r="F800" t="s">
        <v>507</v>
      </c>
      <c r="G800">
        <v>591847</v>
      </c>
      <c r="H800" s="184">
        <v>43900</v>
      </c>
      <c r="I800" s="184">
        <v>43922</v>
      </c>
      <c r="J800" t="s">
        <v>362</v>
      </c>
      <c r="K800">
        <v>60000</v>
      </c>
      <c r="L800" t="s">
        <v>363</v>
      </c>
    </row>
    <row r="801" spans="1:12" x14ac:dyDescent="0.4">
      <c r="A801" t="s">
        <v>166</v>
      </c>
      <c r="B801" t="s">
        <v>3</v>
      </c>
      <c r="C801" t="s">
        <v>450</v>
      </c>
      <c r="D801" t="s">
        <v>451</v>
      </c>
      <c r="E801">
        <v>20018294</v>
      </c>
      <c r="F801" t="s">
        <v>507</v>
      </c>
      <c r="G801">
        <v>591847</v>
      </c>
      <c r="H801" s="184">
        <v>43900</v>
      </c>
      <c r="I801" s="184">
        <v>43922</v>
      </c>
      <c r="J801" t="s">
        <v>362</v>
      </c>
      <c r="K801">
        <v>60000</v>
      </c>
      <c r="L801" t="s">
        <v>242</v>
      </c>
    </row>
    <row r="802" spans="1:12" x14ac:dyDescent="0.4">
      <c r="A802" t="s">
        <v>166</v>
      </c>
      <c r="B802" t="s">
        <v>3</v>
      </c>
      <c r="C802" t="s">
        <v>450</v>
      </c>
      <c r="D802" t="s">
        <v>451</v>
      </c>
      <c r="E802">
        <v>20018294</v>
      </c>
      <c r="F802" t="s">
        <v>507</v>
      </c>
      <c r="G802">
        <v>591847</v>
      </c>
      <c r="H802" s="184">
        <v>43900</v>
      </c>
      <c r="I802" s="184">
        <v>43922</v>
      </c>
      <c r="J802" t="s">
        <v>362</v>
      </c>
      <c r="K802">
        <v>60000</v>
      </c>
      <c r="L802" t="s">
        <v>312</v>
      </c>
    </row>
    <row r="803" spans="1:12" x14ac:dyDescent="0.4">
      <c r="A803" t="s">
        <v>166</v>
      </c>
      <c r="B803" t="s">
        <v>3</v>
      </c>
      <c r="C803" t="s">
        <v>450</v>
      </c>
      <c r="D803" t="s">
        <v>451</v>
      </c>
      <c r="E803">
        <v>20018294</v>
      </c>
      <c r="F803" t="s">
        <v>507</v>
      </c>
      <c r="G803">
        <v>591847</v>
      </c>
      <c r="H803" s="184">
        <v>43900</v>
      </c>
      <c r="I803" s="184">
        <v>43922</v>
      </c>
      <c r="J803" t="s">
        <v>362</v>
      </c>
      <c r="K803">
        <v>60000</v>
      </c>
      <c r="L803" t="s">
        <v>313</v>
      </c>
    </row>
    <row r="804" spans="1:12" x14ac:dyDescent="0.4">
      <c r="A804" t="s">
        <v>166</v>
      </c>
      <c r="B804" t="s">
        <v>3</v>
      </c>
      <c r="C804" t="s">
        <v>450</v>
      </c>
      <c r="D804" t="s">
        <v>451</v>
      </c>
      <c r="E804">
        <v>20018294</v>
      </c>
      <c r="F804" t="s">
        <v>507</v>
      </c>
      <c r="G804">
        <v>591847</v>
      </c>
      <c r="H804" s="184">
        <v>43900</v>
      </c>
      <c r="I804" s="184">
        <v>43922</v>
      </c>
      <c r="J804" t="s">
        <v>362</v>
      </c>
      <c r="K804">
        <v>60000</v>
      </c>
      <c r="L804" t="s">
        <v>314</v>
      </c>
    </row>
    <row r="805" spans="1:12" x14ac:dyDescent="0.4">
      <c r="A805" t="s">
        <v>166</v>
      </c>
      <c r="B805" t="s">
        <v>3</v>
      </c>
      <c r="C805" t="s">
        <v>450</v>
      </c>
      <c r="D805" t="s">
        <v>451</v>
      </c>
      <c r="E805">
        <v>20018294</v>
      </c>
      <c r="F805" t="s">
        <v>507</v>
      </c>
      <c r="G805">
        <v>591847</v>
      </c>
      <c r="H805" s="184">
        <v>43900</v>
      </c>
      <c r="I805" s="184">
        <v>43922</v>
      </c>
      <c r="J805" t="s">
        <v>362</v>
      </c>
      <c r="K805">
        <v>60000</v>
      </c>
      <c r="L805" t="s">
        <v>315</v>
      </c>
    </row>
    <row r="806" spans="1:12" x14ac:dyDescent="0.4">
      <c r="A806" t="s">
        <v>166</v>
      </c>
      <c r="B806" t="s">
        <v>3</v>
      </c>
      <c r="C806" t="s">
        <v>446</v>
      </c>
      <c r="D806" t="s">
        <v>447</v>
      </c>
      <c r="E806">
        <v>20018315</v>
      </c>
      <c r="F806" t="s">
        <v>508</v>
      </c>
      <c r="G806">
        <v>592117</v>
      </c>
      <c r="H806" s="184">
        <v>43931</v>
      </c>
      <c r="I806" s="184">
        <v>43950</v>
      </c>
      <c r="J806" t="s">
        <v>506</v>
      </c>
      <c r="K806">
        <v>60000</v>
      </c>
      <c r="L806" t="s">
        <v>363</v>
      </c>
    </row>
    <row r="807" spans="1:12" x14ac:dyDescent="0.4">
      <c r="A807" t="s">
        <v>166</v>
      </c>
      <c r="B807" t="s">
        <v>3</v>
      </c>
      <c r="C807" t="s">
        <v>446</v>
      </c>
      <c r="D807" t="s">
        <v>447</v>
      </c>
      <c r="E807">
        <v>20018315</v>
      </c>
      <c r="F807" t="s">
        <v>508</v>
      </c>
      <c r="G807">
        <v>592117</v>
      </c>
      <c r="H807" s="184">
        <v>43931</v>
      </c>
      <c r="I807" s="184">
        <v>43950</v>
      </c>
      <c r="J807" t="s">
        <v>506</v>
      </c>
      <c r="K807">
        <v>60000</v>
      </c>
      <c r="L807" t="s">
        <v>242</v>
      </c>
    </row>
    <row r="808" spans="1:12" x14ac:dyDescent="0.4">
      <c r="A808" t="s">
        <v>166</v>
      </c>
      <c r="B808" t="s">
        <v>3</v>
      </c>
      <c r="C808" t="s">
        <v>446</v>
      </c>
      <c r="D808" t="s">
        <v>447</v>
      </c>
      <c r="E808">
        <v>20018315</v>
      </c>
      <c r="F808" t="s">
        <v>508</v>
      </c>
      <c r="G808">
        <v>592117</v>
      </c>
      <c r="H808" s="184">
        <v>43931</v>
      </c>
      <c r="I808" s="184">
        <v>43950</v>
      </c>
      <c r="J808" t="s">
        <v>506</v>
      </c>
      <c r="K808">
        <v>60000</v>
      </c>
      <c r="L808" t="s">
        <v>312</v>
      </c>
    </row>
    <row r="809" spans="1:12" x14ac:dyDescent="0.4">
      <c r="A809" t="s">
        <v>166</v>
      </c>
      <c r="B809" t="s">
        <v>3</v>
      </c>
      <c r="C809" t="s">
        <v>446</v>
      </c>
      <c r="D809" t="s">
        <v>447</v>
      </c>
      <c r="E809">
        <v>20018315</v>
      </c>
      <c r="F809" t="s">
        <v>508</v>
      </c>
      <c r="G809">
        <v>592117</v>
      </c>
      <c r="H809" s="184">
        <v>43931</v>
      </c>
      <c r="I809" s="184">
        <v>43950</v>
      </c>
      <c r="J809" t="s">
        <v>506</v>
      </c>
      <c r="K809">
        <v>60000</v>
      </c>
      <c r="L809" t="s">
        <v>313</v>
      </c>
    </row>
    <row r="810" spans="1:12" x14ac:dyDescent="0.4">
      <c r="A810" t="s">
        <v>166</v>
      </c>
      <c r="B810" t="s">
        <v>3</v>
      </c>
      <c r="C810" t="s">
        <v>446</v>
      </c>
      <c r="D810" t="s">
        <v>447</v>
      </c>
      <c r="E810">
        <v>20018315</v>
      </c>
      <c r="F810" t="s">
        <v>508</v>
      </c>
      <c r="G810">
        <v>592117</v>
      </c>
      <c r="H810" s="184">
        <v>43931</v>
      </c>
      <c r="I810" s="184">
        <v>43950</v>
      </c>
      <c r="J810" t="s">
        <v>506</v>
      </c>
      <c r="K810">
        <v>60000</v>
      </c>
      <c r="L810" t="s">
        <v>314</v>
      </c>
    </row>
    <row r="811" spans="1:12" x14ac:dyDescent="0.4">
      <c r="A811" t="s">
        <v>166</v>
      </c>
      <c r="B811" t="s">
        <v>3</v>
      </c>
      <c r="C811" t="s">
        <v>446</v>
      </c>
      <c r="D811" t="s">
        <v>447</v>
      </c>
      <c r="E811">
        <v>20018315</v>
      </c>
      <c r="F811" t="s">
        <v>508</v>
      </c>
      <c r="G811">
        <v>592117</v>
      </c>
      <c r="H811" s="184">
        <v>43931</v>
      </c>
      <c r="I811" s="184">
        <v>43950</v>
      </c>
      <c r="J811" t="s">
        <v>506</v>
      </c>
      <c r="K811">
        <v>60000</v>
      </c>
      <c r="L811" t="s">
        <v>315</v>
      </c>
    </row>
    <row r="812" spans="1:12" x14ac:dyDescent="0.4">
      <c r="A812" t="s">
        <v>166</v>
      </c>
      <c r="B812" t="s">
        <v>3</v>
      </c>
      <c r="C812" t="s">
        <v>450</v>
      </c>
      <c r="D812" t="s">
        <v>451</v>
      </c>
      <c r="E812">
        <v>20018331</v>
      </c>
      <c r="F812" t="s">
        <v>509</v>
      </c>
      <c r="G812">
        <v>591738</v>
      </c>
      <c r="H812" s="184">
        <v>43914</v>
      </c>
      <c r="I812" s="184">
        <v>43920</v>
      </c>
      <c r="J812" t="s">
        <v>510</v>
      </c>
      <c r="K812">
        <v>60000</v>
      </c>
      <c r="L812" t="s">
        <v>281</v>
      </c>
    </row>
    <row r="813" spans="1:12" x14ac:dyDescent="0.4">
      <c r="A813" t="s">
        <v>166</v>
      </c>
      <c r="B813" t="s">
        <v>3</v>
      </c>
      <c r="C813" t="s">
        <v>450</v>
      </c>
      <c r="D813" t="s">
        <v>451</v>
      </c>
      <c r="E813">
        <v>20018331</v>
      </c>
      <c r="F813" t="s">
        <v>509</v>
      </c>
      <c r="G813">
        <v>591738</v>
      </c>
      <c r="H813" s="184">
        <v>43914</v>
      </c>
      <c r="I813" s="184">
        <v>43920</v>
      </c>
      <c r="J813" t="s">
        <v>510</v>
      </c>
      <c r="K813">
        <v>60000</v>
      </c>
      <c r="L813" t="s">
        <v>230</v>
      </c>
    </row>
    <row r="814" spans="1:12" x14ac:dyDescent="0.4">
      <c r="A814" t="s">
        <v>166</v>
      </c>
      <c r="B814" t="s">
        <v>3</v>
      </c>
      <c r="C814" t="s">
        <v>450</v>
      </c>
      <c r="D814" t="s">
        <v>451</v>
      </c>
      <c r="E814">
        <v>20018331</v>
      </c>
      <c r="F814" t="s">
        <v>509</v>
      </c>
      <c r="G814">
        <v>591738</v>
      </c>
      <c r="H814" s="184">
        <v>43914</v>
      </c>
      <c r="I814" s="184">
        <v>43920</v>
      </c>
      <c r="J814" t="s">
        <v>510</v>
      </c>
      <c r="K814">
        <v>60000</v>
      </c>
      <c r="L814" t="s">
        <v>243</v>
      </c>
    </row>
    <row r="815" spans="1:12" x14ac:dyDescent="0.4">
      <c r="A815" t="s">
        <v>166</v>
      </c>
      <c r="B815" t="s">
        <v>3</v>
      </c>
      <c r="C815" t="s">
        <v>450</v>
      </c>
      <c r="D815" t="s">
        <v>451</v>
      </c>
      <c r="E815">
        <v>20018331</v>
      </c>
      <c r="F815" t="s">
        <v>509</v>
      </c>
      <c r="G815">
        <v>591738</v>
      </c>
      <c r="H815" s="184">
        <v>43914</v>
      </c>
      <c r="I815" s="184">
        <v>43920</v>
      </c>
      <c r="J815" t="s">
        <v>510</v>
      </c>
      <c r="K815">
        <v>60000</v>
      </c>
      <c r="L815" t="s">
        <v>244</v>
      </c>
    </row>
    <row r="816" spans="1:12" x14ac:dyDescent="0.4">
      <c r="A816" t="s">
        <v>166</v>
      </c>
      <c r="B816" t="s">
        <v>3</v>
      </c>
      <c r="C816" t="s">
        <v>450</v>
      </c>
      <c r="D816" t="s">
        <v>451</v>
      </c>
      <c r="E816">
        <v>20018331</v>
      </c>
      <c r="F816" t="s">
        <v>509</v>
      </c>
      <c r="G816">
        <v>591738</v>
      </c>
      <c r="H816" s="184">
        <v>43914</v>
      </c>
      <c r="I816" s="184">
        <v>43920</v>
      </c>
      <c r="J816" t="s">
        <v>510</v>
      </c>
      <c r="K816">
        <v>60000</v>
      </c>
      <c r="L816" t="s">
        <v>245</v>
      </c>
    </row>
    <row r="817" spans="1:12" x14ac:dyDescent="0.4">
      <c r="A817" t="s">
        <v>166</v>
      </c>
      <c r="B817" t="s">
        <v>3</v>
      </c>
      <c r="C817" t="s">
        <v>450</v>
      </c>
      <c r="D817" t="s">
        <v>451</v>
      </c>
      <c r="E817">
        <v>20018331</v>
      </c>
      <c r="F817" t="s">
        <v>509</v>
      </c>
      <c r="G817">
        <v>591738</v>
      </c>
      <c r="H817" s="184">
        <v>43914</v>
      </c>
      <c r="I817" s="184">
        <v>43920</v>
      </c>
      <c r="J817" t="s">
        <v>510</v>
      </c>
      <c r="K817">
        <v>60000</v>
      </c>
      <c r="L817" t="s">
        <v>246</v>
      </c>
    </row>
    <row r="818" spans="1:12" x14ac:dyDescent="0.4">
      <c r="A818" t="s">
        <v>166</v>
      </c>
      <c r="B818" t="s">
        <v>3</v>
      </c>
      <c r="C818" t="s">
        <v>450</v>
      </c>
      <c r="D818" t="s">
        <v>451</v>
      </c>
      <c r="E818">
        <v>20018396</v>
      </c>
      <c r="F818" t="s">
        <v>511</v>
      </c>
      <c r="G818">
        <v>591498</v>
      </c>
      <c r="H818" s="184">
        <v>43888</v>
      </c>
      <c r="I818" s="184">
        <v>43902</v>
      </c>
      <c r="J818" t="s">
        <v>373</v>
      </c>
      <c r="K818">
        <v>60000</v>
      </c>
      <c r="L818" t="s">
        <v>281</v>
      </c>
    </row>
    <row r="819" spans="1:12" x14ac:dyDescent="0.4">
      <c r="A819" t="s">
        <v>166</v>
      </c>
      <c r="B819" t="s">
        <v>3</v>
      </c>
      <c r="C819" t="s">
        <v>450</v>
      </c>
      <c r="D819" t="s">
        <v>451</v>
      </c>
      <c r="E819">
        <v>20018396</v>
      </c>
      <c r="F819" t="s">
        <v>511</v>
      </c>
      <c r="G819">
        <v>591498</v>
      </c>
      <c r="H819" s="184">
        <v>43888</v>
      </c>
      <c r="I819" s="184">
        <v>43902</v>
      </c>
      <c r="J819" t="s">
        <v>373</v>
      </c>
      <c r="K819">
        <v>60000</v>
      </c>
      <c r="L819" t="s">
        <v>230</v>
      </c>
    </row>
    <row r="820" spans="1:12" x14ac:dyDescent="0.4">
      <c r="A820" t="s">
        <v>166</v>
      </c>
      <c r="B820" t="s">
        <v>3</v>
      </c>
      <c r="C820" t="s">
        <v>450</v>
      </c>
      <c r="D820" t="s">
        <v>451</v>
      </c>
      <c r="E820">
        <v>20018396</v>
      </c>
      <c r="F820" t="s">
        <v>511</v>
      </c>
      <c r="G820">
        <v>591498</v>
      </c>
      <c r="H820" s="184">
        <v>43888</v>
      </c>
      <c r="I820" s="184">
        <v>43902</v>
      </c>
      <c r="J820" t="s">
        <v>373</v>
      </c>
      <c r="K820">
        <v>60000</v>
      </c>
      <c r="L820" t="s">
        <v>243</v>
      </c>
    </row>
    <row r="821" spans="1:12" x14ac:dyDescent="0.4">
      <c r="A821" t="s">
        <v>166</v>
      </c>
      <c r="B821" t="s">
        <v>3</v>
      </c>
      <c r="C821" t="s">
        <v>450</v>
      </c>
      <c r="D821" t="s">
        <v>451</v>
      </c>
      <c r="E821">
        <v>20018396</v>
      </c>
      <c r="F821" t="s">
        <v>511</v>
      </c>
      <c r="G821">
        <v>591498</v>
      </c>
      <c r="H821" s="184">
        <v>43888</v>
      </c>
      <c r="I821" s="184">
        <v>43902</v>
      </c>
      <c r="J821" t="s">
        <v>373</v>
      </c>
      <c r="K821">
        <v>60000</v>
      </c>
      <c r="L821" t="s">
        <v>244</v>
      </c>
    </row>
    <row r="822" spans="1:12" x14ac:dyDescent="0.4">
      <c r="A822" t="s">
        <v>166</v>
      </c>
      <c r="B822" t="s">
        <v>3</v>
      </c>
      <c r="C822" t="s">
        <v>450</v>
      </c>
      <c r="D822" t="s">
        <v>451</v>
      </c>
      <c r="E822">
        <v>20018396</v>
      </c>
      <c r="F822" t="s">
        <v>511</v>
      </c>
      <c r="G822">
        <v>591498</v>
      </c>
      <c r="H822" s="184">
        <v>43888</v>
      </c>
      <c r="I822" s="184">
        <v>43902</v>
      </c>
      <c r="J822" t="s">
        <v>373</v>
      </c>
      <c r="K822">
        <v>60000</v>
      </c>
      <c r="L822" t="s">
        <v>245</v>
      </c>
    </row>
    <row r="823" spans="1:12" x14ac:dyDescent="0.4">
      <c r="A823" t="s">
        <v>166</v>
      </c>
      <c r="B823" t="s">
        <v>3</v>
      </c>
      <c r="C823" t="s">
        <v>450</v>
      </c>
      <c r="D823" t="s">
        <v>451</v>
      </c>
      <c r="E823">
        <v>20018396</v>
      </c>
      <c r="F823" t="s">
        <v>511</v>
      </c>
      <c r="G823">
        <v>591498</v>
      </c>
      <c r="H823" s="184">
        <v>43888</v>
      </c>
      <c r="I823" s="184">
        <v>43902</v>
      </c>
      <c r="J823" t="s">
        <v>373</v>
      </c>
      <c r="K823">
        <v>60000</v>
      </c>
      <c r="L823" t="s">
        <v>246</v>
      </c>
    </row>
    <row r="824" spans="1:12" x14ac:dyDescent="0.4">
      <c r="A824" t="s">
        <v>166</v>
      </c>
      <c r="B824" t="s">
        <v>3</v>
      </c>
      <c r="C824" t="s">
        <v>450</v>
      </c>
      <c r="D824" t="s">
        <v>451</v>
      </c>
      <c r="E824">
        <v>20018398</v>
      </c>
      <c r="F824" t="s">
        <v>512</v>
      </c>
      <c r="G824">
        <v>594508</v>
      </c>
      <c r="H824" s="184">
        <v>44071</v>
      </c>
      <c r="I824" s="184">
        <v>44074</v>
      </c>
      <c r="J824" t="s">
        <v>202</v>
      </c>
      <c r="K824">
        <v>60000</v>
      </c>
      <c r="L824" t="s">
        <v>203</v>
      </c>
    </row>
    <row r="825" spans="1:12" x14ac:dyDescent="0.4">
      <c r="A825" t="s">
        <v>166</v>
      </c>
      <c r="B825" t="s">
        <v>3</v>
      </c>
      <c r="C825" t="s">
        <v>450</v>
      </c>
      <c r="D825" t="s">
        <v>451</v>
      </c>
      <c r="E825">
        <v>20018398</v>
      </c>
      <c r="F825" t="s">
        <v>512</v>
      </c>
      <c r="G825">
        <v>594508</v>
      </c>
      <c r="H825" s="184">
        <v>44071</v>
      </c>
      <c r="I825" s="184">
        <v>44074</v>
      </c>
      <c r="J825" t="s">
        <v>202</v>
      </c>
      <c r="K825">
        <v>60000</v>
      </c>
      <c r="L825" t="s">
        <v>204</v>
      </c>
    </row>
    <row r="826" spans="1:12" x14ac:dyDescent="0.4">
      <c r="A826" t="s">
        <v>166</v>
      </c>
      <c r="B826" t="s">
        <v>3</v>
      </c>
      <c r="C826" t="s">
        <v>450</v>
      </c>
      <c r="D826" t="s">
        <v>451</v>
      </c>
      <c r="E826">
        <v>20018398</v>
      </c>
      <c r="F826" t="s">
        <v>512</v>
      </c>
      <c r="G826">
        <v>594508</v>
      </c>
      <c r="H826" s="184">
        <v>44071</v>
      </c>
      <c r="I826" s="184">
        <v>44074</v>
      </c>
      <c r="J826" t="s">
        <v>202</v>
      </c>
      <c r="K826">
        <v>60000</v>
      </c>
      <c r="L826" t="s">
        <v>205</v>
      </c>
    </row>
    <row r="827" spans="1:12" x14ac:dyDescent="0.4">
      <c r="A827" t="s">
        <v>166</v>
      </c>
      <c r="B827" t="s">
        <v>3</v>
      </c>
      <c r="C827" t="s">
        <v>450</v>
      </c>
      <c r="D827" t="s">
        <v>451</v>
      </c>
      <c r="E827">
        <v>20018398</v>
      </c>
      <c r="F827" t="s">
        <v>512</v>
      </c>
      <c r="G827">
        <v>594508</v>
      </c>
      <c r="H827" s="184">
        <v>44071</v>
      </c>
      <c r="I827" s="184">
        <v>44074</v>
      </c>
      <c r="J827" t="s">
        <v>202</v>
      </c>
      <c r="K827">
        <v>60000</v>
      </c>
      <c r="L827" t="s">
        <v>206</v>
      </c>
    </row>
    <row r="828" spans="1:12" x14ac:dyDescent="0.4">
      <c r="A828" t="s">
        <v>166</v>
      </c>
      <c r="B828" t="s">
        <v>3</v>
      </c>
      <c r="C828" t="s">
        <v>450</v>
      </c>
      <c r="D828" t="s">
        <v>451</v>
      </c>
      <c r="E828">
        <v>20018398</v>
      </c>
      <c r="F828" t="s">
        <v>512</v>
      </c>
      <c r="G828">
        <v>594508</v>
      </c>
      <c r="H828" s="184">
        <v>44071</v>
      </c>
      <c r="I828" s="184">
        <v>44074</v>
      </c>
      <c r="J828" t="s">
        <v>202</v>
      </c>
      <c r="K828">
        <v>60000</v>
      </c>
      <c r="L828" t="s">
        <v>207</v>
      </c>
    </row>
    <row r="829" spans="1:12" x14ac:dyDescent="0.4">
      <c r="A829" t="s">
        <v>166</v>
      </c>
      <c r="B829" t="s">
        <v>3</v>
      </c>
      <c r="C829" t="s">
        <v>450</v>
      </c>
      <c r="D829" t="s">
        <v>451</v>
      </c>
      <c r="E829">
        <v>20018398</v>
      </c>
      <c r="F829" t="s">
        <v>512</v>
      </c>
      <c r="G829">
        <v>594508</v>
      </c>
      <c r="H829" s="184">
        <v>44071</v>
      </c>
      <c r="I829" s="184">
        <v>44074</v>
      </c>
      <c r="J829" t="s">
        <v>202</v>
      </c>
      <c r="K829">
        <v>60000</v>
      </c>
      <c r="L829" t="s">
        <v>208</v>
      </c>
    </row>
    <row r="830" spans="1:12" x14ac:dyDescent="0.4">
      <c r="A830" t="s">
        <v>166</v>
      </c>
      <c r="B830" t="s">
        <v>3</v>
      </c>
      <c r="C830" t="s">
        <v>450</v>
      </c>
      <c r="D830" t="s">
        <v>451</v>
      </c>
      <c r="E830">
        <v>20018400</v>
      </c>
      <c r="F830" t="s">
        <v>513</v>
      </c>
      <c r="G830">
        <v>594003</v>
      </c>
      <c r="H830" s="184">
        <v>44068</v>
      </c>
      <c r="I830" s="184">
        <v>44074</v>
      </c>
      <c r="J830" t="s">
        <v>514</v>
      </c>
      <c r="K830">
        <v>60000</v>
      </c>
      <c r="L830" t="s">
        <v>203</v>
      </c>
    </row>
    <row r="831" spans="1:12" x14ac:dyDescent="0.4">
      <c r="A831" t="s">
        <v>166</v>
      </c>
      <c r="B831" t="s">
        <v>3</v>
      </c>
      <c r="C831" t="s">
        <v>450</v>
      </c>
      <c r="D831" t="s">
        <v>451</v>
      </c>
      <c r="E831">
        <v>20018400</v>
      </c>
      <c r="F831" t="s">
        <v>513</v>
      </c>
      <c r="G831">
        <v>594003</v>
      </c>
      <c r="H831" s="184">
        <v>44068</v>
      </c>
      <c r="I831" s="184">
        <v>44074</v>
      </c>
      <c r="J831" t="s">
        <v>514</v>
      </c>
      <c r="K831">
        <v>60000</v>
      </c>
      <c r="L831" t="s">
        <v>204</v>
      </c>
    </row>
    <row r="832" spans="1:12" x14ac:dyDescent="0.4">
      <c r="A832" t="s">
        <v>166</v>
      </c>
      <c r="B832" t="s">
        <v>3</v>
      </c>
      <c r="C832" t="s">
        <v>450</v>
      </c>
      <c r="D832" t="s">
        <v>451</v>
      </c>
      <c r="E832">
        <v>20018400</v>
      </c>
      <c r="F832" t="s">
        <v>513</v>
      </c>
      <c r="G832">
        <v>594003</v>
      </c>
      <c r="H832" s="184">
        <v>44068</v>
      </c>
      <c r="I832" s="184">
        <v>44074</v>
      </c>
      <c r="J832" t="s">
        <v>514</v>
      </c>
      <c r="K832">
        <v>60000</v>
      </c>
      <c r="L832" t="s">
        <v>205</v>
      </c>
    </row>
    <row r="833" spans="1:12" x14ac:dyDescent="0.4">
      <c r="A833" t="s">
        <v>166</v>
      </c>
      <c r="B833" t="s">
        <v>3</v>
      </c>
      <c r="C833" t="s">
        <v>450</v>
      </c>
      <c r="D833" t="s">
        <v>451</v>
      </c>
      <c r="E833">
        <v>20018400</v>
      </c>
      <c r="F833" t="s">
        <v>513</v>
      </c>
      <c r="G833">
        <v>594003</v>
      </c>
      <c r="H833" s="184">
        <v>44068</v>
      </c>
      <c r="I833" s="184">
        <v>44074</v>
      </c>
      <c r="J833" t="s">
        <v>514</v>
      </c>
      <c r="K833">
        <v>60000</v>
      </c>
      <c r="L833" t="s">
        <v>206</v>
      </c>
    </row>
    <row r="834" spans="1:12" x14ac:dyDescent="0.4">
      <c r="A834" t="s">
        <v>166</v>
      </c>
      <c r="B834" t="s">
        <v>3</v>
      </c>
      <c r="C834" t="s">
        <v>450</v>
      </c>
      <c r="D834" t="s">
        <v>451</v>
      </c>
      <c r="E834">
        <v>20018400</v>
      </c>
      <c r="F834" t="s">
        <v>513</v>
      </c>
      <c r="G834">
        <v>594003</v>
      </c>
      <c r="H834" s="184">
        <v>44068</v>
      </c>
      <c r="I834" s="184">
        <v>44074</v>
      </c>
      <c r="J834" t="s">
        <v>514</v>
      </c>
      <c r="K834">
        <v>60000</v>
      </c>
      <c r="L834" t="s">
        <v>207</v>
      </c>
    </row>
    <row r="835" spans="1:12" x14ac:dyDescent="0.4">
      <c r="A835" t="s">
        <v>166</v>
      </c>
      <c r="B835" t="s">
        <v>3</v>
      </c>
      <c r="C835" t="s">
        <v>450</v>
      </c>
      <c r="D835" t="s">
        <v>451</v>
      </c>
      <c r="E835">
        <v>20018400</v>
      </c>
      <c r="F835" t="s">
        <v>513</v>
      </c>
      <c r="G835">
        <v>594003</v>
      </c>
      <c r="H835" s="184">
        <v>44068</v>
      </c>
      <c r="I835" s="184">
        <v>44074</v>
      </c>
      <c r="J835" t="s">
        <v>514</v>
      </c>
      <c r="K835">
        <v>60000</v>
      </c>
      <c r="L835" t="s">
        <v>208</v>
      </c>
    </row>
    <row r="836" spans="1:12" x14ac:dyDescent="0.4">
      <c r="A836" t="s">
        <v>166</v>
      </c>
      <c r="B836" t="s">
        <v>3</v>
      </c>
      <c r="C836" t="s">
        <v>446</v>
      </c>
      <c r="D836" t="s">
        <v>447</v>
      </c>
      <c r="E836">
        <v>20018431</v>
      </c>
      <c r="F836" t="s">
        <v>515</v>
      </c>
      <c r="G836">
        <v>591817</v>
      </c>
      <c r="H836" s="184">
        <v>43951</v>
      </c>
      <c r="I836" s="184">
        <v>43959</v>
      </c>
      <c r="J836" t="s">
        <v>384</v>
      </c>
      <c r="K836">
        <v>60000</v>
      </c>
      <c r="L836" t="s">
        <v>376</v>
      </c>
    </row>
    <row r="837" spans="1:12" x14ac:dyDescent="0.4">
      <c r="A837" t="s">
        <v>166</v>
      </c>
      <c r="B837" t="s">
        <v>3</v>
      </c>
      <c r="C837" t="s">
        <v>446</v>
      </c>
      <c r="D837" t="s">
        <v>447</v>
      </c>
      <c r="E837">
        <v>20018431</v>
      </c>
      <c r="F837" t="s">
        <v>515</v>
      </c>
      <c r="G837">
        <v>591817</v>
      </c>
      <c r="H837" s="184">
        <v>43951</v>
      </c>
      <c r="I837" s="184">
        <v>43959</v>
      </c>
      <c r="J837" t="s">
        <v>384</v>
      </c>
      <c r="K837">
        <v>60000</v>
      </c>
      <c r="L837" t="s">
        <v>311</v>
      </c>
    </row>
    <row r="838" spans="1:12" x14ac:dyDescent="0.4">
      <c r="A838" t="s">
        <v>166</v>
      </c>
      <c r="B838" t="s">
        <v>3</v>
      </c>
      <c r="C838" t="s">
        <v>446</v>
      </c>
      <c r="D838" t="s">
        <v>447</v>
      </c>
      <c r="E838">
        <v>20018431</v>
      </c>
      <c r="F838" t="s">
        <v>515</v>
      </c>
      <c r="G838">
        <v>591817</v>
      </c>
      <c r="H838" s="184">
        <v>43951</v>
      </c>
      <c r="I838" s="184">
        <v>43959</v>
      </c>
      <c r="J838" t="s">
        <v>384</v>
      </c>
      <c r="K838">
        <v>60000</v>
      </c>
      <c r="L838" t="s">
        <v>259</v>
      </c>
    </row>
    <row r="839" spans="1:12" x14ac:dyDescent="0.4">
      <c r="A839" t="s">
        <v>166</v>
      </c>
      <c r="B839" t="s">
        <v>3</v>
      </c>
      <c r="C839" t="s">
        <v>446</v>
      </c>
      <c r="D839" t="s">
        <v>447</v>
      </c>
      <c r="E839">
        <v>20018431</v>
      </c>
      <c r="F839" t="s">
        <v>515</v>
      </c>
      <c r="G839">
        <v>591817</v>
      </c>
      <c r="H839" s="184">
        <v>43951</v>
      </c>
      <c r="I839" s="184">
        <v>43959</v>
      </c>
      <c r="J839" t="s">
        <v>384</v>
      </c>
      <c r="K839">
        <v>60000</v>
      </c>
      <c r="L839" t="s">
        <v>260</v>
      </c>
    </row>
    <row r="840" spans="1:12" x14ac:dyDescent="0.4">
      <c r="A840" t="s">
        <v>166</v>
      </c>
      <c r="B840" t="s">
        <v>3</v>
      </c>
      <c r="C840" t="s">
        <v>446</v>
      </c>
      <c r="D840" t="s">
        <v>447</v>
      </c>
      <c r="E840">
        <v>20018431</v>
      </c>
      <c r="F840" t="s">
        <v>515</v>
      </c>
      <c r="G840">
        <v>591817</v>
      </c>
      <c r="H840" s="184">
        <v>43951</v>
      </c>
      <c r="I840" s="184">
        <v>43959</v>
      </c>
      <c r="J840" t="s">
        <v>384</v>
      </c>
      <c r="K840">
        <v>60000</v>
      </c>
      <c r="L840" t="s">
        <v>261</v>
      </c>
    </row>
    <row r="841" spans="1:12" x14ac:dyDescent="0.4">
      <c r="A841" t="s">
        <v>166</v>
      </c>
      <c r="B841" t="s">
        <v>3</v>
      </c>
      <c r="C841" t="s">
        <v>446</v>
      </c>
      <c r="D841" t="s">
        <v>447</v>
      </c>
      <c r="E841">
        <v>20018431</v>
      </c>
      <c r="F841" t="s">
        <v>515</v>
      </c>
      <c r="G841">
        <v>591817</v>
      </c>
      <c r="H841" s="184">
        <v>43951</v>
      </c>
      <c r="I841" s="184">
        <v>43959</v>
      </c>
      <c r="J841" t="s">
        <v>384</v>
      </c>
      <c r="K841">
        <v>60000</v>
      </c>
      <c r="L841" t="s">
        <v>262</v>
      </c>
    </row>
    <row r="842" spans="1:12" x14ac:dyDescent="0.4">
      <c r="A842" t="s">
        <v>166</v>
      </c>
      <c r="B842" t="s">
        <v>3</v>
      </c>
      <c r="C842" t="s">
        <v>450</v>
      </c>
      <c r="D842" t="s">
        <v>451</v>
      </c>
      <c r="E842">
        <v>20018437</v>
      </c>
      <c r="F842" t="s">
        <v>516</v>
      </c>
      <c r="G842">
        <v>594656</v>
      </c>
      <c r="H842" s="184">
        <v>44088</v>
      </c>
      <c r="I842" s="184">
        <v>44091</v>
      </c>
      <c r="J842" t="s">
        <v>517</v>
      </c>
      <c r="K842">
        <v>60000</v>
      </c>
      <c r="L842" t="s">
        <v>290</v>
      </c>
    </row>
    <row r="843" spans="1:12" x14ac:dyDescent="0.4">
      <c r="A843" t="s">
        <v>166</v>
      </c>
      <c r="B843" t="s">
        <v>3</v>
      </c>
      <c r="C843" t="s">
        <v>450</v>
      </c>
      <c r="D843" t="s">
        <v>451</v>
      </c>
      <c r="E843">
        <v>20018437</v>
      </c>
      <c r="F843" t="s">
        <v>516</v>
      </c>
      <c r="G843">
        <v>594656</v>
      </c>
      <c r="H843" s="184">
        <v>44088</v>
      </c>
      <c r="I843" s="184">
        <v>44091</v>
      </c>
      <c r="J843" t="s">
        <v>517</v>
      </c>
      <c r="K843">
        <v>60000</v>
      </c>
      <c r="L843" t="s">
        <v>291</v>
      </c>
    </row>
    <row r="844" spans="1:12" x14ac:dyDescent="0.4">
      <c r="A844" t="s">
        <v>166</v>
      </c>
      <c r="B844" t="s">
        <v>3</v>
      </c>
      <c r="C844" t="s">
        <v>450</v>
      </c>
      <c r="D844" t="s">
        <v>451</v>
      </c>
      <c r="E844">
        <v>20018437</v>
      </c>
      <c r="F844" t="s">
        <v>516</v>
      </c>
      <c r="G844">
        <v>594656</v>
      </c>
      <c r="H844" s="184">
        <v>44088</v>
      </c>
      <c r="I844" s="184">
        <v>44091</v>
      </c>
      <c r="J844" t="s">
        <v>517</v>
      </c>
      <c r="K844">
        <v>60000</v>
      </c>
      <c r="L844" t="s">
        <v>292</v>
      </c>
    </row>
    <row r="845" spans="1:12" x14ac:dyDescent="0.4">
      <c r="A845" t="s">
        <v>166</v>
      </c>
      <c r="B845" t="s">
        <v>3</v>
      </c>
      <c r="C845" t="s">
        <v>450</v>
      </c>
      <c r="D845" t="s">
        <v>451</v>
      </c>
      <c r="E845">
        <v>20018437</v>
      </c>
      <c r="F845" t="s">
        <v>516</v>
      </c>
      <c r="G845">
        <v>594656</v>
      </c>
      <c r="H845" s="184">
        <v>44088</v>
      </c>
      <c r="I845" s="184">
        <v>44091</v>
      </c>
      <c r="J845" t="s">
        <v>517</v>
      </c>
      <c r="K845">
        <v>60000</v>
      </c>
      <c r="L845" t="s">
        <v>293</v>
      </c>
    </row>
    <row r="846" spans="1:12" x14ac:dyDescent="0.4">
      <c r="A846" t="s">
        <v>166</v>
      </c>
      <c r="B846" t="s">
        <v>3</v>
      </c>
      <c r="C846" t="s">
        <v>450</v>
      </c>
      <c r="D846" t="s">
        <v>451</v>
      </c>
      <c r="E846">
        <v>20018437</v>
      </c>
      <c r="F846" t="s">
        <v>516</v>
      </c>
      <c r="G846">
        <v>594656</v>
      </c>
      <c r="H846" s="184">
        <v>44088</v>
      </c>
      <c r="I846" s="184">
        <v>44091</v>
      </c>
      <c r="J846" t="s">
        <v>517</v>
      </c>
      <c r="K846">
        <v>60000</v>
      </c>
      <c r="L846" t="s">
        <v>294</v>
      </c>
    </row>
    <row r="847" spans="1:12" x14ac:dyDescent="0.4">
      <c r="A847" t="s">
        <v>166</v>
      </c>
      <c r="B847" t="s">
        <v>3</v>
      </c>
      <c r="C847" t="s">
        <v>450</v>
      </c>
      <c r="D847" t="s">
        <v>451</v>
      </c>
      <c r="E847">
        <v>20018437</v>
      </c>
      <c r="F847" t="s">
        <v>516</v>
      </c>
      <c r="G847">
        <v>594656</v>
      </c>
      <c r="H847" s="184">
        <v>44088</v>
      </c>
      <c r="I847" s="184">
        <v>44091</v>
      </c>
      <c r="J847" t="s">
        <v>517</v>
      </c>
      <c r="K847">
        <v>60000</v>
      </c>
      <c r="L847" t="s">
        <v>295</v>
      </c>
    </row>
    <row r="848" spans="1:12" x14ac:dyDescent="0.4">
      <c r="A848" t="s">
        <v>166</v>
      </c>
      <c r="B848" t="s">
        <v>3</v>
      </c>
      <c r="C848" t="s">
        <v>450</v>
      </c>
      <c r="D848" t="s">
        <v>451</v>
      </c>
      <c r="E848">
        <v>20018444</v>
      </c>
      <c r="F848" t="s">
        <v>518</v>
      </c>
      <c r="G848">
        <v>592880</v>
      </c>
      <c r="H848" s="184">
        <v>43943</v>
      </c>
      <c r="I848" s="184">
        <v>43945</v>
      </c>
      <c r="J848" t="s">
        <v>519</v>
      </c>
      <c r="K848">
        <v>60000</v>
      </c>
      <c r="L848" t="s">
        <v>363</v>
      </c>
    </row>
    <row r="849" spans="1:12" x14ac:dyDescent="0.4">
      <c r="A849" t="s">
        <v>166</v>
      </c>
      <c r="B849" t="s">
        <v>3</v>
      </c>
      <c r="C849" t="s">
        <v>450</v>
      </c>
      <c r="D849" t="s">
        <v>451</v>
      </c>
      <c r="E849">
        <v>20018444</v>
      </c>
      <c r="F849" t="s">
        <v>518</v>
      </c>
      <c r="G849">
        <v>592880</v>
      </c>
      <c r="H849" s="184">
        <v>43943</v>
      </c>
      <c r="I849" s="184">
        <v>43945</v>
      </c>
      <c r="J849" t="s">
        <v>519</v>
      </c>
      <c r="K849">
        <v>60000</v>
      </c>
      <c r="L849" t="s">
        <v>242</v>
      </c>
    </row>
    <row r="850" spans="1:12" x14ac:dyDescent="0.4">
      <c r="A850" t="s">
        <v>166</v>
      </c>
      <c r="B850" t="s">
        <v>3</v>
      </c>
      <c r="C850" t="s">
        <v>450</v>
      </c>
      <c r="D850" t="s">
        <v>451</v>
      </c>
      <c r="E850">
        <v>20018444</v>
      </c>
      <c r="F850" t="s">
        <v>518</v>
      </c>
      <c r="G850">
        <v>592880</v>
      </c>
      <c r="H850" s="184">
        <v>43943</v>
      </c>
      <c r="I850" s="184">
        <v>43945</v>
      </c>
      <c r="J850" t="s">
        <v>519</v>
      </c>
      <c r="K850">
        <v>60000</v>
      </c>
      <c r="L850" t="s">
        <v>312</v>
      </c>
    </row>
    <row r="851" spans="1:12" x14ac:dyDescent="0.4">
      <c r="A851" t="s">
        <v>166</v>
      </c>
      <c r="B851" t="s">
        <v>3</v>
      </c>
      <c r="C851" t="s">
        <v>450</v>
      </c>
      <c r="D851" t="s">
        <v>451</v>
      </c>
      <c r="E851">
        <v>20018444</v>
      </c>
      <c r="F851" t="s">
        <v>518</v>
      </c>
      <c r="G851">
        <v>592880</v>
      </c>
      <c r="H851" s="184">
        <v>43943</v>
      </c>
      <c r="I851" s="184">
        <v>43945</v>
      </c>
      <c r="J851" t="s">
        <v>519</v>
      </c>
      <c r="K851">
        <v>60000</v>
      </c>
      <c r="L851" t="s">
        <v>313</v>
      </c>
    </row>
    <row r="852" spans="1:12" x14ac:dyDescent="0.4">
      <c r="A852" t="s">
        <v>166</v>
      </c>
      <c r="B852" t="s">
        <v>3</v>
      </c>
      <c r="C852" t="s">
        <v>450</v>
      </c>
      <c r="D852" t="s">
        <v>451</v>
      </c>
      <c r="E852">
        <v>20018444</v>
      </c>
      <c r="F852" t="s">
        <v>518</v>
      </c>
      <c r="G852">
        <v>592880</v>
      </c>
      <c r="H852" s="184">
        <v>43943</v>
      </c>
      <c r="I852" s="184">
        <v>43945</v>
      </c>
      <c r="J852" t="s">
        <v>519</v>
      </c>
      <c r="K852">
        <v>60000</v>
      </c>
      <c r="L852" t="s">
        <v>314</v>
      </c>
    </row>
    <row r="853" spans="1:12" x14ac:dyDescent="0.4">
      <c r="A853" t="s">
        <v>166</v>
      </c>
      <c r="B853" t="s">
        <v>3</v>
      </c>
      <c r="C853" t="s">
        <v>450</v>
      </c>
      <c r="D853" t="s">
        <v>451</v>
      </c>
      <c r="E853">
        <v>20018444</v>
      </c>
      <c r="F853" t="s">
        <v>518</v>
      </c>
      <c r="G853">
        <v>592880</v>
      </c>
      <c r="H853" s="184">
        <v>43943</v>
      </c>
      <c r="I853" s="184">
        <v>43945</v>
      </c>
      <c r="J853" t="s">
        <v>519</v>
      </c>
      <c r="K853">
        <v>60000</v>
      </c>
      <c r="L853" t="s">
        <v>315</v>
      </c>
    </row>
    <row r="854" spans="1:12" x14ac:dyDescent="0.4">
      <c r="A854" t="s">
        <v>166</v>
      </c>
      <c r="B854" t="s">
        <v>3</v>
      </c>
      <c r="C854" t="s">
        <v>450</v>
      </c>
      <c r="D854" t="s">
        <v>451</v>
      </c>
      <c r="E854">
        <v>20018551</v>
      </c>
      <c r="F854" t="s">
        <v>520</v>
      </c>
      <c r="G854">
        <v>592885</v>
      </c>
      <c r="H854" s="184">
        <v>43945</v>
      </c>
      <c r="I854" s="184">
        <v>43970</v>
      </c>
      <c r="J854" t="s">
        <v>384</v>
      </c>
      <c r="K854">
        <v>60000</v>
      </c>
      <c r="L854" t="s">
        <v>376</v>
      </c>
    </row>
    <row r="855" spans="1:12" x14ac:dyDescent="0.4">
      <c r="A855" t="s">
        <v>166</v>
      </c>
      <c r="B855" t="s">
        <v>3</v>
      </c>
      <c r="C855" t="s">
        <v>450</v>
      </c>
      <c r="D855" t="s">
        <v>451</v>
      </c>
      <c r="E855">
        <v>20018551</v>
      </c>
      <c r="F855" t="s">
        <v>520</v>
      </c>
      <c r="G855">
        <v>592885</v>
      </c>
      <c r="H855" s="184">
        <v>43945</v>
      </c>
      <c r="I855" s="184">
        <v>43970</v>
      </c>
      <c r="J855" t="s">
        <v>384</v>
      </c>
      <c r="K855">
        <v>60000</v>
      </c>
      <c r="L855" t="s">
        <v>311</v>
      </c>
    </row>
    <row r="856" spans="1:12" x14ac:dyDescent="0.4">
      <c r="A856" t="s">
        <v>166</v>
      </c>
      <c r="B856" t="s">
        <v>3</v>
      </c>
      <c r="C856" t="s">
        <v>450</v>
      </c>
      <c r="D856" t="s">
        <v>451</v>
      </c>
      <c r="E856">
        <v>20018551</v>
      </c>
      <c r="F856" t="s">
        <v>520</v>
      </c>
      <c r="G856">
        <v>592885</v>
      </c>
      <c r="H856" s="184">
        <v>43945</v>
      </c>
      <c r="I856" s="184">
        <v>43970</v>
      </c>
      <c r="J856" t="s">
        <v>384</v>
      </c>
      <c r="K856">
        <v>60000</v>
      </c>
      <c r="L856" t="s">
        <v>259</v>
      </c>
    </row>
    <row r="857" spans="1:12" x14ac:dyDescent="0.4">
      <c r="A857" t="s">
        <v>166</v>
      </c>
      <c r="B857" t="s">
        <v>3</v>
      </c>
      <c r="C857" t="s">
        <v>450</v>
      </c>
      <c r="D857" t="s">
        <v>451</v>
      </c>
      <c r="E857">
        <v>20018551</v>
      </c>
      <c r="F857" t="s">
        <v>520</v>
      </c>
      <c r="G857">
        <v>592885</v>
      </c>
      <c r="H857" s="184">
        <v>43945</v>
      </c>
      <c r="I857" s="184">
        <v>43970</v>
      </c>
      <c r="J857" t="s">
        <v>384</v>
      </c>
      <c r="K857">
        <v>60000</v>
      </c>
      <c r="L857" t="s">
        <v>260</v>
      </c>
    </row>
    <row r="858" spans="1:12" x14ac:dyDescent="0.4">
      <c r="A858" t="s">
        <v>166</v>
      </c>
      <c r="B858" t="s">
        <v>3</v>
      </c>
      <c r="C858" t="s">
        <v>450</v>
      </c>
      <c r="D858" t="s">
        <v>451</v>
      </c>
      <c r="E858">
        <v>20018551</v>
      </c>
      <c r="F858" t="s">
        <v>520</v>
      </c>
      <c r="G858">
        <v>592885</v>
      </c>
      <c r="H858" s="184">
        <v>43945</v>
      </c>
      <c r="I858" s="184">
        <v>43970</v>
      </c>
      <c r="J858" t="s">
        <v>384</v>
      </c>
      <c r="K858">
        <v>60000</v>
      </c>
      <c r="L858" t="s">
        <v>261</v>
      </c>
    </row>
    <row r="859" spans="1:12" x14ac:dyDescent="0.4">
      <c r="A859" t="s">
        <v>166</v>
      </c>
      <c r="B859" t="s">
        <v>3</v>
      </c>
      <c r="C859" t="s">
        <v>450</v>
      </c>
      <c r="D859" t="s">
        <v>451</v>
      </c>
      <c r="E859">
        <v>20018551</v>
      </c>
      <c r="F859" t="s">
        <v>520</v>
      </c>
      <c r="G859">
        <v>592885</v>
      </c>
      <c r="H859" s="184">
        <v>43945</v>
      </c>
      <c r="I859" s="184">
        <v>43970</v>
      </c>
      <c r="J859" t="s">
        <v>384</v>
      </c>
      <c r="K859">
        <v>60000</v>
      </c>
      <c r="L859" t="s">
        <v>262</v>
      </c>
    </row>
    <row r="860" spans="1:12" x14ac:dyDescent="0.4">
      <c r="A860" t="s">
        <v>166</v>
      </c>
      <c r="B860" t="s">
        <v>3</v>
      </c>
      <c r="C860" t="s">
        <v>446</v>
      </c>
      <c r="D860" t="s">
        <v>447</v>
      </c>
      <c r="E860">
        <v>20018699</v>
      </c>
      <c r="F860" t="s">
        <v>521</v>
      </c>
      <c r="G860">
        <v>592942</v>
      </c>
      <c r="H860" s="184">
        <v>43961</v>
      </c>
      <c r="I860" s="184">
        <v>43963</v>
      </c>
      <c r="J860" t="s">
        <v>522</v>
      </c>
      <c r="K860">
        <v>60000</v>
      </c>
      <c r="L860" t="s">
        <v>376</v>
      </c>
    </row>
    <row r="861" spans="1:12" x14ac:dyDescent="0.4">
      <c r="A861" t="s">
        <v>166</v>
      </c>
      <c r="B861" t="s">
        <v>3</v>
      </c>
      <c r="C861" t="s">
        <v>446</v>
      </c>
      <c r="D861" t="s">
        <v>447</v>
      </c>
      <c r="E861">
        <v>20018699</v>
      </c>
      <c r="F861" t="s">
        <v>521</v>
      </c>
      <c r="G861">
        <v>592942</v>
      </c>
      <c r="H861" s="184">
        <v>43961</v>
      </c>
      <c r="I861" s="184">
        <v>43963</v>
      </c>
      <c r="J861" t="s">
        <v>522</v>
      </c>
      <c r="K861">
        <v>60000</v>
      </c>
      <c r="L861" t="s">
        <v>311</v>
      </c>
    </row>
    <row r="862" spans="1:12" x14ac:dyDescent="0.4">
      <c r="A862" t="s">
        <v>166</v>
      </c>
      <c r="B862" t="s">
        <v>3</v>
      </c>
      <c r="C862" t="s">
        <v>446</v>
      </c>
      <c r="D862" t="s">
        <v>447</v>
      </c>
      <c r="E862">
        <v>20018699</v>
      </c>
      <c r="F862" t="s">
        <v>521</v>
      </c>
      <c r="G862">
        <v>592942</v>
      </c>
      <c r="H862" s="184">
        <v>43961</v>
      </c>
      <c r="I862" s="184">
        <v>43963</v>
      </c>
      <c r="J862" t="s">
        <v>522</v>
      </c>
      <c r="K862">
        <v>60000</v>
      </c>
      <c r="L862" t="s">
        <v>259</v>
      </c>
    </row>
    <row r="863" spans="1:12" x14ac:dyDescent="0.4">
      <c r="A863" t="s">
        <v>166</v>
      </c>
      <c r="B863" t="s">
        <v>3</v>
      </c>
      <c r="C863" t="s">
        <v>446</v>
      </c>
      <c r="D863" t="s">
        <v>447</v>
      </c>
      <c r="E863">
        <v>20018699</v>
      </c>
      <c r="F863" t="s">
        <v>521</v>
      </c>
      <c r="G863">
        <v>592942</v>
      </c>
      <c r="H863" s="184">
        <v>43961</v>
      </c>
      <c r="I863" s="184">
        <v>43963</v>
      </c>
      <c r="J863" t="s">
        <v>522</v>
      </c>
      <c r="K863">
        <v>60000</v>
      </c>
      <c r="L863" t="s">
        <v>260</v>
      </c>
    </row>
    <row r="864" spans="1:12" x14ac:dyDescent="0.4">
      <c r="A864" t="s">
        <v>166</v>
      </c>
      <c r="B864" t="s">
        <v>3</v>
      </c>
      <c r="C864" t="s">
        <v>446</v>
      </c>
      <c r="D864" t="s">
        <v>447</v>
      </c>
      <c r="E864">
        <v>20018699</v>
      </c>
      <c r="F864" t="s">
        <v>521</v>
      </c>
      <c r="G864">
        <v>592942</v>
      </c>
      <c r="H864" s="184">
        <v>43961</v>
      </c>
      <c r="I864" s="184">
        <v>43963</v>
      </c>
      <c r="J864" t="s">
        <v>522</v>
      </c>
      <c r="K864">
        <v>60000</v>
      </c>
      <c r="L864" t="s">
        <v>261</v>
      </c>
    </row>
    <row r="865" spans="1:12" x14ac:dyDescent="0.4">
      <c r="A865" t="s">
        <v>166</v>
      </c>
      <c r="B865" t="s">
        <v>3</v>
      </c>
      <c r="C865" t="s">
        <v>446</v>
      </c>
      <c r="D865" t="s">
        <v>447</v>
      </c>
      <c r="E865">
        <v>20018699</v>
      </c>
      <c r="F865" t="s">
        <v>521</v>
      </c>
      <c r="G865">
        <v>592942</v>
      </c>
      <c r="H865" s="184">
        <v>43961</v>
      </c>
      <c r="I865" s="184">
        <v>43963</v>
      </c>
      <c r="J865" t="s">
        <v>522</v>
      </c>
      <c r="K865">
        <v>60000</v>
      </c>
      <c r="L865" t="s">
        <v>262</v>
      </c>
    </row>
    <row r="866" spans="1:12" x14ac:dyDescent="0.4">
      <c r="A866" t="s">
        <v>166</v>
      </c>
      <c r="B866" t="s">
        <v>3</v>
      </c>
      <c r="C866" t="s">
        <v>450</v>
      </c>
      <c r="D866" t="s">
        <v>451</v>
      </c>
      <c r="E866">
        <v>20018711</v>
      </c>
      <c r="F866" t="s">
        <v>523</v>
      </c>
      <c r="G866">
        <v>593091</v>
      </c>
      <c r="H866" s="184">
        <v>43978</v>
      </c>
      <c r="I866" s="184">
        <v>43992</v>
      </c>
      <c r="J866" t="s">
        <v>524</v>
      </c>
      <c r="K866">
        <v>60000</v>
      </c>
      <c r="L866" t="s">
        <v>353</v>
      </c>
    </row>
    <row r="867" spans="1:12" x14ac:dyDescent="0.4">
      <c r="A867" t="s">
        <v>166</v>
      </c>
      <c r="B867" t="s">
        <v>3</v>
      </c>
      <c r="C867" t="s">
        <v>450</v>
      </c>
      <c r="D867" t="s">
        <v>451</v>
      </c>
      <c r="E867">
        <v>20018711</v>
      </c>
      <c r="F867" t="s">
        <v>523</v>
      </c>
      <c r="G867">
        <v>593091</v>
      </c>
      <c r="H867" s="184">
        <v>43978</v>
      </c>
      <c r="I867" s="184">
        <v>43992</v>
      </c>
      <c r="J867" t="s">
        <v>524</v>
      </c>
      <c r="K867">
        <v>60000</v>
      </c>
      <c r="L867" t="s">
        <v>258</v>
      </c>
    </row>
    <row r="868" spans="1:12" x14ac:dyDescent="0.4">
      <c r="A868" t="s">
        <v>166</v>
      </c>
      <c r="B868" t="s">
        <v>3</v>
      </c>
      <c r="C868" t="s">
        <v>450</v>
      </c>
      <c r="D868" t="s">
        <v>451</v>
      </c>
      <c r="E868">
        <v>20018711</v>
      </c>
      <c r="F868" t="s">
        <v>523</v>
      </c>
      <c r="G868">
        <v>593091</v>
      </c>
      <c r="H868" s="184">
        <v>43978</v>
      </c>
      <c r="I868" s="184">
        <v>43992</v>
      </c>
      <c r="J868" t="s">
        <v>524</v>
      </c>
      <c r="K868">
        <v>60000</v>
      </c>
      <c r="L868" t="s">
        <v>327</v>
      </c>
    </row>
    <row r="869" spans="1:12" x14ac:dyDescent="0.4">
      <c r="A869" t="s">
        <v>166</v>
      </c>
      <c r="B869" t="s">
        <v>3</v>
      </c>
      <c r="C869" t="s">
        <v>450</v>
      </c>
      <c r="D869" t="s">
        <v>451</v>
      </c>
      <c r="E869">
        <v>20018711</v>
      </c>
      <c r="F869" t="s">
        <v>523</v>
      </c>
      <c r="G869">
        <v>593091</v>
      </c>
      <c r="H869" s="184">
        <v>43978</v>
      </c>
      <c r="I869" s="184">
        <v>43992</v>
      </c>
      <c r="J869" t="s">
        <v>524</v>
      </c>
      <c r="K869">
        <v>60000</v>
      </c>
      <c r="L869" t="s">
        <v>328</v>
      </c>
    </row>
    <row r="870" spans="1:12" x14ac:dyDescent="0.4">
      <c r="A870" t="s">
        <v>166</v>
      </c>
      <c r="B870" t="s">
        <v>3</v>
      </c>
      <c r="C870" t="s">
        <v>450</v>
      </c>
      <c r="D870" t="s">
        <v>451</v>
      </c>
      <c r="E870">
        <v>20018711</v>
      </c>
      <c r="F870" t="s">
        <v>523</v>
      </c>
      <c r="G870">
        <v>593091</v>
      </c>
      <c r="H870" s="184">
        <v>43978</v>
      </c>
      <c r="I870" s="184">
        <v>43992</v>
      </c>
      <c r="J870" t="s">
        <v>524</v>
      </c>
      <c r="K870">
        <v>60000</v>
      </c>
      <c r="L870" t="s">
        <v>329</v>
      </c>
    </row>
    <row r="871" spans="1:12" x14ac:dyDescent="0.4">
      <c r="A871" t="s">
        <v>166</v>
      </c>
      <c r="B871" t="s">
        <v>3</v>
      </c>
      <c r="C871" t="s">
        <v>450</v>
      </c>
      <c r="D871" t="s">
        <v>451</v>
      </c>
      <c r="E871">
        <v>20018711</v>
      </c>
      <c r="F871" t="s">
        <v>523</v>
      </c>
      <c r="G871">
        <v>593091</v>
      </c>
      <c r="H871" s="184">
        <v>43978</v>
      </c>
      <c r="I871" s="184">
        <v>43992</v>
      </c>
      <c r="J871" t="s">
        <v>524</v>
      </c>
      <c r="K871">
        <v>60000</v>
      </c>
      <c r="L871" t="s">
        <v>330</v>
      </c>
    </row>
    <row r="872" spans="1:12" x14ac:dyDescent="0.4">
      <c r="A872" t="s">
        <v>166</v>
      </c>
      <c r="B872" t="s">
        <v>3</v>
      </c>
      <c r="C872" t="s">
        <v>450</v>
      </c>
      <c r="D872" t="s">
        <v>451</v>
      </c>
      <c r="E872">
        <v>20018722</v>
      </c>
      <c r="F872" t="s">
        <v>525</v>
      </c>
      <c r="G872">
        <v>593458</v>
      </c>
      <c r="H872" s="184">
        <v>43990</v>
      </c>
      <c r="I872" s="184">
        <v>43992</v>
      </c>
      <c r="J872" t="s">
        <v>524</v>
      </c>
      <c r="K872">
        <v>60000</v>
      </c>
      <c r="L872" t="s">
        <v>353</v>
      </c>
    </row>
    <row r="873" spans="1:12" x14ac:dyDescent="0.4">
      <c r="A873" t="s">
        <v>166</v>
      </c>
      <c r="B873" t="s">
        <v>3</v>
      </c>
      <c r="C873" t="s">
        <v>450</v>
      </c>
      <c r="D873" t="s">
        <v>451</v>
      </c>
      <c r="E873">
        <v>20018722</v>
      </c>
      <c r="F873" t="s">
        <v>525</v>
      </c>
      <c r="G873">
        <v>593458</v>
      </c>
      <c r="H873" s="184">
        <v>43990</v>
      </c>
      <c r="I873" s="184">
        <v>43992</v>
      </c>
      <c r="J873" t="s">
        <v>524</v>
      </c>
      <c r="K873">
        <v>60000</v>
      </c>
      <c r="L873" t="s">
        <v>258</v>
      </c>
    </row>
    <row r="874" spans="1:12" x14ac:dyDescent="0.4">
      <c r="A874" t="s">
        <v>166</v>
      </c>
      <c r="B874" t="s">
        <v>3</v>
      </c>
      <c r="C874" t="s">
        <v>450</v>
      </c>
      <c r="D874" t="s">
        <v>451</v>
      </c>
      <c r="E874">
        <v>20018722</v>
      </c>
      <c r="F874" t="s">
        <v>525</v>
      </c>
      <c r="G874">
        <v>593458</v>
      </c>
      <c r="H874" s="184">
        <v>43990</v>
      </c>
      <c r="I874" s="184">
        <v>43992</v>
      </c>
      <c r="J874" t="s">
        <v>524</v>
      </c>
      <c r="K874">
        <v>60000</v>
      </c>
      <c r="L874" t="s">
        <v>327</v>
      </c>
    </row>
    <row r="875" spans="1:12" x14ac:dyDescent="0.4">
      <c r="A875" t="s">
        <v>166</v>
      </c>
      <c r="B875" t="s">
        <v>3</v>
      </c>
      <c r="C875" t="s">
        <v>450</v>
      </c>
      <c r="D875" t="s">
        <v>451</v>
      </c>
      <c r="E875">
        <v>20018722</v>
      </c>
      <c r="F875" t="s">
        <v>525</v>
      </c>
      <c r="G875">
        <v>593458</v>
      </c>
      <c r="H875" s="184">
        <v>43990</v>
      </c>
      <c r="I875" s="184">
        <v>43992</v>
      </c>
      <c r="J875" t="s">
        <v>524</v>
      </c>
      <c r="K875">
        <v>60000</v>
      </c>
      <c r="L875" t="s">
        <v>328</v>
      </c>
    </row>
    <row r="876" spans="1:12" x14ac:dyDescent="0.4">
      <c r="A876" t="s">
        <v>166</v>
      </c>
      <c r="B876" t="s">
        <v>3</v>
      </c>
      <c r="C876" t="s">
        <v>450</v>
      </c>
      <c r="D876" t="s">
        <v>451</v>
      </c>
      <c r="E876">
        <v>20018722</v>
      </c>
      <c r="F876" t="s">
        <v>525</v>
      </c>
      <c r="G876">
        <v>593458</v>
      </c>
      <c r="H876" s="184">
        <v>43990</v>
      </c>
      <c r="I876" s="184">
        <v>43992</v>
      </c>
      <c r="J876" t="s">
        <v>524</v>
      </c>
      <c r="K876">
        <v>60000</v>
      </c>
      <c r="L876" t="s">
        <v>329</v>
      </c>
    </row>
    <row r="877" spans="1:12" x14ac:dyDescent="0.4">
      <c r="A877" t="s">
        <v>166</v>
      </c>
      <c r="B877" t="s">
        <v>3</v>
      </c>
      <c r="C877" t="s">
        <v>450</v>
      </c>
      <c r="D877" t="s">
        <v>451</v>
      </c>
      <c r="E877">
        <v>20018722</v>
      </c>
      <c r="F877" t="s">
        <v>525</v>
      </c>
      <c r="G877">
        <v>593458</v>
      </c>
      <c r="H877" s="184">
        <v>43990</v>
      </c>
      <c r="I877" s="184">
        <v>43992</v>
      </c>
      <c r="J877" t="s">
        <v>524</v>
      </c>
      <c r="K877">
        <v>60000</v>
      </c>
      <c r="L877" t="s">
        <v>330</v>
      </c>
    </row>
    <row r="878" spans="1:12" x14ac:dyDescent="0.4">
      <c r="A878" t="s">
        <v>166</v>
      </c>
      <c r="B878" t="s">
        <v>3</v>
      </c>
      <c r="C878" t="s">
        <v>450</v>
      </c>
      <c r="D878" t="s">
        <v>451</v>
      </c>
      <c r="E878">
        <v>20018883</v>
      </c>
      <c r="F878" t="s">
        <v>526</v>
      </c>
      <c r="G878">
        <v>594504</v>
      </c>
      <c r="H878" s="184">
        <v>44076</v>
      </c>
      <c r="I878" s="184">
        <v>44082</v>
      </c>
      <c r="J878" t="s">
        <v>411</v>
      </c>
      <c r="K878">
        <v>60000</v>
      </c>
      <c r="L878" t="s">
        <v>290</v>
      </c>
    </row>
    <row r="879" spans="1:12" x14ac:dyDescent="0.4">
      <c r="A879" t="s">
        <v>166</v>
      </c>
      <c r="B879" t="s">
        <v>3</v>
      </c>
      <c r="C879" t="s">
        <v>450</v>
      </c>
      <c r="D879" t="s">
        <v>451</v>
      </c>
      <c r="E879">
        <v>20018883</v>
      </c>
      <c r="F879" t="s">
        <v>526</v>
      </c>
      <c r="G879">
        <v>594504</v>
      </c>
      <c r="H879" s="184">
        <v>44076</v>
      </c>
      <c r="I879" s="184">
        <v>44082</v>
      </c>
      <c r="J879" t="s">
        <v>411</v>
      </c>
      <c r="K879">
        <v>60000</v>
      </c>
      <c r="L879" t="s">
        <v>291</v>
      </c>
    </row>
    <row r="880" spans="1:12" x14ac:dyDescent="0.4">
      <c r="A880" t="s">
        <v>166</v>
      </c>
      <c r="B880" t="s">
        <v>3</v>
      </c>
      <c r="C880" t="s">
        <v>450</v>
      </c>
      <c r="D880" t="s">
        <v>451</v>
      </c>
      <c r="E880">
        <v>20018883</v>
      </c>
      <c r="F880" t="s">
        <v>526</v>
      </c>
      <c r="G880">
        <v>594504</v>
      </c>
      <c r="H880" s="184">
        <v>44076</v>
      </c>
      <c r="I880" s="184">
        <v>44082</v>
      </c>
      <c r="J880" t="s">
        <v>411</v>
      </c>
      <c r="K880">
        <v>60000</v>
      </c>
      <c r="L880" t="s">
        <v>292</v>
      </c>
    </row>
    <row r="881" spans="1:12" x14ac:dyDescent="0.4">
      <c r="A881" t="s">
        <v>166</v>
      </c>
      <c r="B881" t="s">
        <v>3</v>
      </c>
      <c r="C881" t="s">
        <v>450</v>
      </c>
      <c r="D881" t="s">
        <v>451</v>
      </c>
      <c r="E881">
        <v>20018883</v>
      </c>
      <c r="F881" t="s">
        <v>526</v>
      </c>
      <c r="G881">
        <v>594504</v>
      </c>
      <c r="H881" s="184">
        <v>44076</v>
      </c>
      <c r="I881" s="184">
        <v>44082</v>
      </c>
      <c r="J881" t="s">
        <v>411</v>
      </c>
      <c r="K881">
        <v>60000</v>
      </c>
      <c r="L881" t="s">
        <v>293</v>
      </c>
    </row>
    <row r="882" spans="1:12" x14ac:dyDescent="0.4">
      <c r="A882" t="s">
        <v>166</v>
      </c>
      <c r="B882" t="s">
        <v>3</v>
      </c>
      <c r="C882" t="s">
        <v>450</v>
      </c>
      <c r="D882" t="s">
        <v>451</v>
      </c>
      <c r="E882">
        <v>20018883</v>
      </c>
      <c r="F882" t="s">
        <v>526</v>
      </c>
      <c r="G882">
        <v>594504</v>
      </c>
      <c r="H882" s="184">
        <v>44076</v>
      </c>
      <c r="I882" s="184">
        <v>44082</v>
      </c>
      <c r="J882" t="s">
        <v>411</v>
      </c>
      <c r="K882">
        <v>60000</v>
      </c>
      <c r="L882" t="s">
        <v>294</v>
      </c>
    </row>
    <row r="883" spans="1:12" x14ac:dyDescent="0.4">
      <c r="A883" t="s">
        <v>166</v>
      </c>
      <c r="B883" t="s">
        <v>3</v>
      </c>
      <c r="C883" t="s">
        <v>450</v>
      </c>
      <c r="D883" t="s">
        <v>451</v>
      </c>
      <c r="E883">
        <v>20018883</v>
      </c>
      <c r="F883" t="s">
        <v>526</v>
      </c>
      <c r="G883">
        <v>594504</v>
      </c>
      <c r="H883" s="184">
        <v>44076</v>
      </c>
      <c r="I883" s="184">
        <v>44082</v>
      </c>
      <c r="J883" t="s">
        <v>411</v>
      </c>
      <c r="K883">
        <v>60000</v>
      </c>
      <c r="L883" t="s">
        <v>295</v>
      </c>
    </row>
    <row r="884" spans="1:12" x14ac:dyDescent="0.4">
      <c r="A884" t="s">
        <v>166</v>
      </c>
      <c r="B884" t="s">
        <v>3</v>
      </c>
      <c r="C884" t="s">
        <v>446</v>
      </c>
      <c r="D884" t="s">
        <v>447</v>
      </c>
      <c r="E884">
        <v>20018886</v>
      </c>
      <c r="F884" t="s">
        <v>527</v>
      </c>
      <c r="G884">
        <v>593836</v>
      </c>
      <c r="H884" s="184">
        <v>44020</v>
      </c>
      <c r="I884" s="184">
        <v>44041</v>
      </c>
      <c r="J884" t="s">
        <v>528</v>
      </c>
      <c r="K884">
        <v>60000</v>
      </c>
      <c r="L884" t="s">
        <v>220</v>
      </c>
    </row>
    <row r="885" spans="1:12" x14ac:dyDescent="0.4">
      <c r="A885" t="s">
        <v>166</v>
      </c>
      <c r="B885" t="s">
        <v>3</v>
      </c>
      <c r="C885" t="s">
        <v>446</v>
      </c>
      <c r="D885" t="s">
        <v>447</v>
      </c>
      <c r="E885">
        <v>20018886</v>
      </c>
      <c r="F885" t="s">
        <v>527</v>
      </c>
      <c r="G885">
        <v>593836</v>
      </c>
      <c r="H885" s="184">
        <v>44020</v>
      </c>
      <c r="I885" s="184">
        <v>44041</v>
      </c>
      <c r="J885" t="s">
        <v>528</v>
      </c>
      <c r="K885">
        <v>60000</v>
      </c>
      <c r="L885" t="s">
        <v>221</v>
      </c>
    </row>
    <row r="886" spans="1:12" x14ac:dyDescent="0.4">
      <c r="A886" t="s">
        <v>166</v>
      </c>
      <c r="B886" t="s">
        <v>3</v>
      </c>
      <c r="C886" t="s">
        <v>446</v>
      </c>
      <c r="D886" t="s">
        <v>447</v>
      </c>
      <c r="E886">
        <v>20018886</v>
      </c>
      <c r="F886" t="s">
        <v>527</v>
      </c>
      <c r="G886">
        <v>593836</v>
      </c>
      <c r="H886" s="184">
        <v>44020</v>
      </c>
      <c r="I886" s="184">
        <v>44041</v>
      </c>
      <c r="J886" t="s">
        <v>528</v>
      </c>
      <c r="K886">
        <v>60000</v>
      </c>
      <c r="L886" t="s">
        <v>222</v>
      </c>
    </row>
    <row r="887" spans="1:12" x14ac:dyDescent="0.4">
      <c r="A887" t="s">
        <v>166</v>
      </c>
      <c r="B887" t="s">
        <v>3</v>
      </c>
      <c r="C887" t="s">
        <v>446</v>
      </c>
      <c r="D887" t="s">
        <v>447</v>
      </c>
      <c r="E887">
        <v>20018886</v>
      </c>
      <c r="F887" t="s">
        <v>527</v>
      </c>
      <c r="G887">
        <v>593836</v>
      </c>
      <c r="H887" s="184">
        <v>44020</v>
      </c>
      <c r="I887" s="184">
        <v>44041</v>
      </c>
      <c r="J887" t="s">
        <v>528</v>
      </c>
      <c r="K887">
        <v>60000</v>
      </c>
      <c r="L887" t="s">
        <v>223</v>
      </c>
    </row>
    <row r="888" spans="1:12" x14ac:dyDescent="0.4">
      <c r="A888" t="s">
        <v>166</v>
      </c>
      <c r="B888" t="s">
        <v>3</v>
      </c>
      <c r="C888" t="s">
        <v>446</v>
      </c>
      <c r="D888" t="s">
        <v>447</v>
      </c>
      <c r="E888">
        <v>20018886</v>
      </c>
      <c r="F888" t="s">
        <v>527</v>
      </c>
      <c r="G888">
        <v>593836</v>
      </c>
      <c r="H888" s="184">
        <v>44020</v>
      </c>
      <c r="I888" s="184">
        <v>44041</v>
      </c>
      <c r="J888" t="s">
        <v>528</v>
      </c>
      <c r="K888">
        <v>60000</v>
      </c>
      <c r="L888" t="s">
        <v>224</v>
      </c>
    </row>
    <row r="889" spans="1:12" x14ac:dyDescent="0.4">
      <c r="A889" t="s">
        <v>166</v>
      </c>
      <c r="B889" t="s">
        <v>3</v>
      </c>
      <c r="C889" t="s">
        <v>446</v>
      </c>
      <c r="D889" t="s">
        <v>447</v>
      </c>
      <c r="E889">
        <v>20018886</v>
      </c>
      <c r="F889" t="s">
        <v>527</v>
      </c>
      <c r="G889">
        <v>593836</v>
      </c>
      <c r="H889" s="184">
        <v>44020</v>
      </c>
      <c r="I889" s="184">
        <v>44041</v>
      </c>
      <c r="J889" t="s">
        <v>528</v>
      </c>
      <c r="K889">
        <v>60000</v>
      </c>
      <c r="L889" t="s">
        <v>225</v>
      </c>
    </row>
    <row r="890" spans="1:12" x14ac:dyDescent="0.4">
      <c r="A890" t="s">
        <v>166</v>
      </c>
      <c r="B890" t="s">
        <v>3</v>
      </c>
      <c r="C890" t="s">
        <v>446</v>
      </c>
      <c r="D890" t="s">
        <v>447</v>
      </c>
      <c r="E890">
        <v>20019080</v>
      </c>
      <c r="F890" t="s">
        <v>529</v>
      </c>
      <c r="G890">
        <v>595525</v>
      </c>
      <c r="H890" s="184">
        <v>44120</v>
      </c>
      <c r="I890" s="184">
        <v>44132</v>
      </c>
      <c r="J890" t="s">
        <v>530</v>
      </c>
      <c r="K890">
        <v>60000</v>
      </c>
      <c r="L890" t="s">
        <v>250</v>
      </c>
    </row>
    <row r="891" spans="1:12" x14ac:dyDescent="0.4">
      <c r="A891" t="s">
        <v>166</v>
      </c>
      <c r="B891" t="s">
        <v>3</v>
      </c>
      <c r="C891" t="s">
        <v>446</v>
      </c>
      <c r="D891" t="s">
        <v>447</v>
      </c>
      <c r="E891">
        <v>20019080</v>
      </c>
      <c r="F891" t="s">
        <v>529</v>
      </c>
      <c r="G891">
        <v>595525</v>
      </c>
      <c r="H891" s="184">
        <v>44120</v>
      </c>
      <c r="I891" s="184">
        <v>44132</v>
      </c>
      <c r="J891" t="s">
        <v>530</v>
      </c>
      <c r="K891">
        <v>60000</v>
      </c>
      <c r="L891" t="s">
        <v>251</v>
      </c>
    </row>
    <row r="892" spans="1:12" x14ac:dyDescent="0.4">
      <c r="A892" t="s">
        <v>166</v>
      </c>
      <c r="B892" t="s">
        <v>3</v>
      </c>
      <c r="C892" t="s">
        <v>446</v>
      </c>
      <c r="D892" t="s">
        <v>447</v>
      </c>
      <c r="E892">
        <v>20019080</v>
      </c>
      <c r="F892" t="s">
        <v>529</v>
      </c>
      <c r="G892">
        <v>595525</v>
      </c>
      <c r="H892" s="184">
        <v>44120</v>
      </c>
      <c r="I892" s="184">
        <v>44132</v>
      </c>
      <c r="J892" t="s">
        <v>530</v>
      </c>
      <c r="K892">
        <v>60000</v>
      </c>
      <c r="L892" t="s">
        <v>252</v>
      </c>
    </row>
    <row r="893" spans="1:12" x14ac:dyDescent="0.4">
      <c r="A893" t="s">
        <v>166</v>
      </c>
      <c r="B893" t="s">
        <v>3</v>
      </c>
      <c r="C893" t="s">
        <v>446</v>
      </c>
      <c r="D893" t="s">
        <v>447</v>
      </c>
      <c r="E893">
        <v>20019080</v>
      </c>
      <c r="F893" t="s">
        <v>529</v>
      </c>
      <c r="G893">
        <v>595525</v>
      </c>
      <c r="H893" s="184">
        <v>44120</v>
      </c>
      <c r="I893" s="184">
        <v>44132</v>
      </c>
      <c r="J893" t="s">
        <v>530</v>
      </c>
      <c r="K893">
        <v>60000</v>
      </c>
      <c r="L893" t="s">
        <v>253</v>
      </c>
    </row>
    <row r="894" spans="1:12" x14ac:dyDescent="0.4">
      <c r="A894" t="s">
        <v>166</v>
      </c>
      <c r="B894" t="s">
        <v>3</v>
      </c>
      <c r="C894" t="s">
        <v>446</v>
      </c>
      <c r="D894" t="s">
        <v>447</v>
      </c>
      <c r="E894">
        <v>20019080</v>
      </c>
      <c r="F894" t="s">
        <v>529</v>
      </c>
      <c r="G894">
        <v>595525</v>
      </c>
      <c r="H894" s="184">
        <v>44120</v>
      </c>
      <c r="I894" s="184">
        <v>44132</v>
      </c>
      <c r="J894" t="s">
        <v>530</v>
      </c>
      <c r="K894">
        <v>60000</v>
      </c>
      <c r="L894" t="s">
        <v>254</v>
      </c>
    </row>
    <row r="895" spans="1:12" x14ac:dyDescent="0.4">
      <c r="A895" t="s">
        <v>166</v>
      </c>
      <c r="B895" t="s">
        <v>3</v>
      </c>
      <c r="C895" t="s">
        <v>446</v>
      </c>
      <c r="D895" t="s">
        <v>447</v>
      </c>
      <c r="E895">
        <v>20019080</v>
      </c>
      <c r="F895" t="s">
        <v>529</v>
      </c>
      <c r="G895">
        <v>595525</v>
      </c>
      <c r="H895" s="184">
        <v>44120</v>
      </c>
      <c r="I895" s="184">
        <v>44132</v>
      </c>
      <c r="J895" t="s">
        <v>530</v>
      </c>
      <c r="K895">
        <v>60000</v>
      </c>
      <c r="L895" t="s">
        <v>255</v>
      </c>
    </row>
    <row r="896" spans="1:12" x14ac:dyDescent="0.4">
      <c r="A896" t="s">
        <v>166</v>
      </c>
      <c r="B896" t="s">
        <v>3</v>
      </c>
      <c r="C896" t="s">
        <v>450</v>
      </c>
      <c r="D896" t="s">
        <v>451</v>
      </c>
      <c r="E896">
        <v>20019081</v>
      </c>
      <c r="F896" t="s">
        <v>531</v>
      </c>
      <c r="G896">
        <v>594631</v>
      </c>
      <c r="H896" s="184">
        <v>44074</v>
      </c>
      <c r="I896" s="184">
        <v>44082</v>
      </c>
      <c r="J896" t="s">
        <v>532</v>
      </c>
      <c r="K896">
        <v>60000</v>
      </c>
      <c r="L896" t="s">
        <v>290</v>
      </c>
    </row>
    <row r="897" spans="1:12" x14ac:dyDescent="0.4">
      <c r="A897" t="s">
        <v>166</v>
      </c>
      <c r="B897" t="s">
        <v>3</v>
      </c>
      <c r="C897" t="s">
        <v>450</v>
      </c>
      <c r="D897" t="s">
        <v>451</v>
      </c>
      <c r="E897">
        <v>20019081</v>
      </c>
      <c r="F897" t="s">
        <v>531</v>
      </c>
      <c r="G897">
        <v>594631</v>
      </c>
      <c r="H897" s="184">
        <v>44074</v>
      </c>
      <c r="I897" s="184">
        <v>44082</v>
      </c>
      <c r="J897" t="s">
        <v>532</v>
      </c>
      <c r="K897">
        <v>60000</v>
      </c>
      <c r="L897" t="s">
        <v>291</v>
      </c>
    </row>
    <row r="898" spans="1:12" x14ac:dyDescent="0.4">
      <c r="A898" t="s">
        <v>166</v>
      </c>
      <c r="B898" t="s">
        <v>3</v>
      </c>
      <c r="C898" t="s">
        <v>450</v>
      </c>
      <c r="D898" t="s">
        <v>451</v>
      </c>
      <c r="E898">
        <v>20019081</v>
      </c>
      <c r="F898" t="s">
        <v>531</v>
      </c>
      <c r="G898">
        <v>594631</v>
      </c>
      <c r="H898" s="184">
        <v>44074</v>
      </c>
      <c r="I898" s="184">
        <v>44082</v>
      </c>
      <c r="J898" t="s">
        <v>532</v>
      </c>
      <c r="K898">
        <v>60000</v>
      </c>
      <c r="L898" t="s">
        <v>292</v>
      </c>
    </row>
    <row r="899" spans="1:12" x14ac:dyDescent="0.4">
      <c r="A899" t="s">
        <v>166</v>
      </c>
      <c r="B899" t="s">
        <v>3</v>
      </c>
      <c r="C899" t="s">
        <v>450</v>
      </c>
      <c r="D899" t="s">
        <v>451</v>
      </c>
      <c r="E899">
        <v>20019081</v>
      </c>
      <c r="F899" t="s">
        <v>531</v>
      </c>
      <c r="G899">
        <v>594631</v>
      </c>
      <c r="H899" s="184">
        <v>44074</v>
      </c>
      <c r="I899" s="184">
        <v>44082</v>
      </c>
      <c r="J899" t="s">
        <v>532</v>
      </c>
      <c r="K899">
        <v>60000</v>
      </c>
      <c r="L899" t="s">
        <v>293</v>
      </c>
    </row>
    <row r="900" spans="1:12" x14ac:dyDescent="0.4">
      <c r="A900" t="s">
        <v>166</v>
      </c>
      <c r="B900" t="s">
        <v>3</v>
      </c>
      <c r="C900" t="s">
        <v>450</v>
      </c>
      <c r="D900" t="s">
        <v>451</v>
      </c>
      <c r="E900">
        <v>20019081</v>
      </c>
      <c r="F900" t="s">
        <v>531</v>
      </c>
      <c r="G900">
        <v>594631</v>
      </c>
      <c r="H900" s="184">
        <v>44074</v>
      </c>
      <c r="I900" s="184">
        <v>44082</v>
      </c>
      <c r="J900" t="s">
        <v>532</v>
      </c>
      <c r="K900">
        <v>60000</v>
      </c>
      <c r="L900" t="s">
        <v>294</v>
      </c>
    </row>
    <row r="901" spans="1:12" x14ac:dyDescent="0.4">
      <c r="A901" t="s">
        <v>166</v>
      </c>
      <c r="B901" t="s">
        <v>3</v>
      </c>
      <c r="C901" t="s">
        <v>450</v>
      </c>
      <c r="D901" t="s">
        <v>451</v>
      </c>
      <c r="E901">
        <v>20019081</v>
      </c>
      <c r="F901" t="s">
        <v>531</v>
      </c>
      <c r="G901">
        <v>594631</v>
      </c>
      <c r="H901" s="184">
        <v>44074</v>
      </c>
      <c r="I901" s="184">
        <v>44082</v>
      </c>
      <c r="J901" t="s">
        <v>532</v>
      </c>
      <c r="K901">
        <v>60000</v>
      </c>
      <c r="L901" t="s">
        <v>295</v>
      </c>
    </row>
    <row r="902" spans="1:12" x14ac:dyDescent="0.4">
      <c r="A902" t="s">
        <v>166</v>
      </c>
      <c r="B902" t="s">
        <v>3</v>
      </c>
      <c r="C902" t="s">
        <v>450</v>
      </c>
      <c r="D902" t="s">
        <v>451</v>
      </c>
      <c r="E902">
        <v>20019085</v>
      </c>
      <c r="F902" t="s">
        <v>533</v>
      </c>
      <c r="G902">
        <v>594594</v>
      </c>
      <c r="H902" s="184">
        <v>44082</v>
      </c>
      <c r="I902" s="184">
        <v>44119</v>
      </c>
      <c r="J902" t="s">
        <v>417</v>
      </c>
      <c r="K902">
        <v>60000</v>
      </c>
      <c r="L902" t="s">
        <v>250</v>
      </c>
    </row>
    <row r="903" spans="1:12" x14ac:dyDescent="0.4">
      <c r="A903" t="s">
        <v>166</v>
      </c>
      <c r="B903" t="s">
        <v>3</v>
      </c>
      <c r="C903" t="s">
        <v>450</v>
      </c>
      <c r="D903" t="s">
        <v>451</v>
      </c>
      <c r="E903">
        <v>20019085</v>
      </c>
      <c r="F903" t="s">
        <v>533</v>
      </c>
      <c r="G903">
        <v>594594</v>
      </c>
      <c r="H903" s="184">
        <v>44082</v>
      </c>
      <c r="I903" s="184">
        <v>44119</v>
      </c>
      <c r="J903" t="s">
        <v>417</v>
      </c>
      <c r="K903">
        <v>60000</v>
      </c>
      <c r="L903" t="s">
        <v>251</v>
      </c>
    </row>
    <row r="904" spans="1:12" x14ac:dyDescent="0.4">
      <c r="A904" t="s">
        <v>166</v>
      </c>
      <c r="B904" t="s">
        <v>3</v>
      </c>
      <c r="C904" t="s">
        <v>450</v>
      </c>
      <c r="D904" t="s">
        <v>451</v>
      </c>
      <c r="E904">
        <v>20019085</v>
      </c>
      <c r="F904" t="s">
        <v>533</v>
      </c>
      <c r="G904">
        <v>594594</v>
      </c>
      <c r="H904" s="184">
        <v>44082</v>
      </c>
      <c r="I904" s="184">
        <v>44119</v>
      </c>
      <c r="J904" t="s">
        <v>417</v>
      </c>
      <c r="K904">
        <v>60000</v>
      </c>
      <c r="L904" t="s">
        <v>252</v>
      </c>
    </row>
    <row r="905" spans="1:12" x14ac:dyDescent="0.4">
      <c r="A905" t="s">
        <v>166</v>
      </c>
      <c r="B905" t="s">
        <v>3</v>
      </c>
      <c r="C905" t="s">
        <v>450</v>
      </c>
      <c r="D905" t="s">
        <v>451</v>
      </c>
      <c r="E905">
        <v>20019085</v>
      </c>
      <c r="F905" t="s">
        <v>533</v>
      </c>
      <c r="G905">
        <v>594594</v>
      </c>
      <c r="H905" s="184">
        <v>44082</v>
      </c>
      <c r="I905" s="184">
        <v>44119</v>
      </c>
      <c r="J905" t="s">
        <v>417</v>
      </c>
      <c r="K905">
        <v>60000</v>
      </c>
      <c r="L905" t="s">
        <v>253</v>
      </c>
    </row>
    <row r="906" spans="1:12" x14ac:dyDescent="0.4">
      <c r="A906" t="s">
        <v>166</v>
      </c>
      <c r="B906" t="s">
        <v>3</v>
      </c>
      <c r="C906" t="s">
        <v>450</v>
      </c>
      <c r="D906" t="s">
        <v>451</v>
      </c>
      <c r="E906">
        <v>20019085</v>
      </c>
      <c r="F906" t="s">
        <v>533</v>
      </c>
      <c r="G906">
        <v>594594</v>
      </c>
      <c r="H906" s="184">
        <v>44082</v>
      </c>
      <c r="I906" s="184">
        <v>44119</v>
      </c>
      <c r="J906" t="s">
        <v>417</v>
      </c>
      <c r="K906">
        <v>60000</v>
      </c>
      <c r="L906" t="s">
        <v>254</v>
      </c>
    </row>
    <row r="907" spans="1:12" x14ac:dyDescent="0.4">
      <c r="A907" t="s">
        <v>166</v>
      </c>
      <c r="B907" t="s">
        <v>3</v>
      </c>
      <c r="C907" t="s">
        <v>450</v>
      </c>
      <c r="D907" t="s">
        <v>451</v>
      </c>
      <c r="E907">
        <v>20019085</v>
      </c>
      <c r="F907" t="s">
        <v>533</v>
      </c>
      <c r="G907">
        <v>594594</v>
      </c>
      <c r="H907" s="184">
        <v>44082</v>
      </c>
      <c r="I907" s="184">
        <v>44119</v>
      </c>
      <c r="J907" t="s">
        <v>417</v>
      </c>
      <c r="K907">
        <v>60000</v>
      </c>
      <c r="L907" t="s">
        <v>255</v>
      </c>
    </row>
    <row r="908" spans="1:12" x14ac:dyDescent="0.4">
      <c r="A908" t="s">
        <v>166</v>
      </c>
      <c r="B908" t="s">
        <v>3</v>
      </c>
      <c r="C908" t="s">
        <v>450</v>
      </c>
      <c r="D908" t="s">
        <v>451</v>
      </c>
      <c r="E908">
        <v>20019171</v>
      </c>
      <c r="F908" t="s">
        <v>534</v>
      </c>
      <c r="G908">
        <v>597691</v>
      </c>
      <c r="H908" s="184">
        <v>44235</v>
      </c>
      <c r="I908" s="184">
        <v>44252</v>
      </c>
      <c r="J908" t="s">
        <v>285</v>
      </c>
      <c r="K908">
        <v>60000</v>
      </c>
      <c r="L908" t="s">
        <v>230</v>
      </c>
    </row>
    <row r="909" spans="1:12" x14ac:dyDescent="0.4">
      <c r="A909" t="s">
        <v>166</v>
      </c>
      <c r="B909" t="s">
        <v>3</v>
      </c>
      <c r="C909" t="s">
        <v>450</v>
      </c>
      <c r="D909" t="s">
        <v>451</v>
      </c>
      <c r="E909">
        <v>20019171</v>
      </c>
      <c r="F909" t="s">
        <v>534</v>
      </c>
      <c r="G909">
        <v>597691</v>
      </c>
      <c r="H909" s="184">
        <v>44235</v>
      </c>
      <c r="I909" s="184">
        <v>44252</v>
      </c>
      <c r="J909" t="s">
        <v>285</v>
      </c>
      <c r="K909">
        <v>60000</v>
      </c>
      <c r="L909" t="s">
        <v>231</v>
      </c>
    </row>
    <row r="910" spans="1:12" x14ac:dyDescent="0.4">
      <c r="A910" t="s">
        <v>166</v>
      </c>
      <c r="B910" t="s">
        <v>3</v>
      </c>
      <c r="C910" t="s">
        <v>450</v>
      </c>
      <c r="D910" t="s">
        <v>451</v>
      </c>
      <c r="E910">
        <v>20019171</v>
      </c>
      <c r="F910" t="s">
        <v>534</v>
      </c>
      <c r="G910">
        <v>597691</v>
      </c>
      <c r="H910" s="184">
        <v>44235</v>
      </c>
      <c r="I910" s="184">
        <v>44252</v>
      </c>
      <c r="J910" t="s">
        <v>285</v>
      </c>
      <c r="K910">
        <v>60000</v>
      </c>
      <c r="L910" t="s">
        <v>232</v>
      </c>
    </row>
    <row r="911" spans="1:12" x14ac:dyDescent="0.4">
      <c r="A911" t="s">
        <v>166</v>
      </c>
      <c r="B911" t="s">
        <v>3</v>
      </c>
      <c r="C911" t="s">
        <v>450</v>
      </c>
      <c r="D911" t="s">
        <v>451</v>
      </c>
      <c r="E911">
        <v>20019171</v>
      </c>
      <c r="F911" t="s">
        <v>534</v>
      </c>
      <c r="G911">
        <v>597691</v>
      </c>
      <c r="H911" s="184">
        <v>44235</v>
      </c>
      <c r="I911" s="184">
        <v>44252</v>
      </c>
      <c r="J911" t="s">
        <v>285</v>
      </c>
      <c r="K911">
        <v>60000</v>
      </c>
      <c r="L911" t="s">
        <v>233</v>
      </c>
    </row>
    <row r="912" spans="1:12" x14ac:dyDescent="0.4">
      <c r="A912" t="s">
        <v>166</v>
      </c>
      <c r="B912" t="s">
        <v>3</v>
      </c>
      <c r="C912" t="s">
        <v>450</v>
      </c>
      <c r="D912" t="s">
        <v>451</v>
      </c>
      <c r="E912">
        <v>20019171</v>
      </c>
      <c r="F912" t="s">
        <v>534</v>
      </c>
      <c r="G912">
        <v>597691</v>
      </c>
      <c r="H912" s="184">
        <v>44235</v>
      </c>
      <c r="I912" s="184">
        <v>44252</v>
      </c>
      <c r="J912" t="s">
        <v>285</v>
      </c>
      <c r="K912">
        <v>60000</v>
      </c>
      <c r="L912" t="s">
        <v>234</v>
      </c>
    </row>
    <row r="913" spans="1:12" x14ac:dyDescent="0.4">
      <c r="A913" t="s">
        <v>166</v>
      </c>
      <c r="B913" t="s">
        <v>3</v>
      </c>
      <c r="C913" t="s">
        <v>450</v>
      </c>
      <c r="D913" t="s">
        <v>451</v>
      </c>
      <c r="E913">
        <v>20019171</v>
      </c>
      <c r="F913" t="s">
        <v>534</v>
      </c>
      <c r="G913">
        <v>597691</v>
      </c>
      <c r="H913" s="184">
        <v>44235</v>
      </c>
      <c r="I913" s="184">
        <v>44252</v>
      </c>
      <c r="J913" t="s">
        <v>285</v>
      </c>
      <c r="K913">
        <v>60000</v>
      </c>
      <c r="L913" t="s">
        <v>235</v>
      </c>
    </row>
    <row r="914" spans="1:12" x14ac:dyDescent="0.4">
      <c r="A914" t="s">
        <v>166</v>
      </c>
      <c r="B914" t="s">
        <v>3</v>
      </c>
      <c r="C914" t="s">
        <v>446</v>
      </c>
      <c r="D914" t="s">
        <v>447</v>
      </c>
      <c r="E914">
        <v>20019306</v>
      </c>
      <c r="F914" t="s">
        <v>535</v>
      </c>
      <c r="G914">
        <v>595572</v>
      </c>
      <c r="H914" s="184">
        <v>44140</v>
      </c>
      <c r="I914" s="184">
        <v>44159</v>
      </c>
      <c r="J914" t="s">
        <v>536</v>
      </c>
      <c r="K914">
        <v>60000</v>
      </c>
      <c r="L914" t="s">
        <v>196</v>
      </c>
    </row>
    <row r="915" spans="1:12" x14ac:dyDescent="0.4">
      <c r="A915" t="s">
        <v>166</v>
      </c>
      <c r="B915" t="s">
        <v>3</v>
      </c>
      <c r="C915" t="s">
        <v>446</v>
      </c>
      <c r="D915" t="s">
        <v>447</v>
      </c>
      <c r="E915">
        <v>20019306</v>
      </c>
      <c r="F915" t="s">
        <v>535</v>
      </c>
      <c r="G915">
        <v>595572</v>
      </c>
      <c r="H915" s="184">
        <v>44140</v>
      </c>
      <c r="I915" s="184">
        <v>44159</v>
      </c>
      <c r="J915" t="s">
        <v>536</v>
      </c>
      <c r="K915">
        <v>60000</v>
      </c>
      <c r="L915" t="s">
        <v>211</v>
      </c>
    </row>
    <row r="916" spans="1:12" x14ac:dyDescent="0.4">
      <c r="A916" t="s">
        <v>166</v>
      </c>
      <c r="B916" t="s">
        <v>3</v>
      </c>
      <c r="C916" t="s">
        <v>446</v>
      </c>
      <c r="D916" t="s">
        <v>447</v>
      </c>
      <c r="E916">
        <v>20019306</v>
      </c>
      <c r="F916" t="s">
        <v>535</v>
      </c>
      <c r="G916">
        <v>595572</v>
      </c>
      <c r="H916" s="184">
        <v>44140</v>
      </c>
      <c r="I916" s="184">
        <v>44159</v>
      </c>
      <c r="J916" t="s">
        <v>536</v>
      </c>
      <c r="K916">
        <v>60000</v>
      </c>
      <c r="L916" t="s">
        <v>212</v>
      </c>
    </row>
    <row r="917" spans="1:12" x14ac:dyDescent="0.4">
      <c r="A917" t="s">
        <v>166</v>
      </c>
      <c r="B917" t="s">
        <v>3</v>
      </c>
      <c r="C917" t="s">
        <v>446</v>
      </c>
      <c r="D917" t="s">
        <v>447</v>
      </c>
      <c r="E917">
        <v>20019306</v>
      </c>
      <c r="F917" t="s">
        <v>535</v>
      </c>
      <c r="G917">
        <v>595572</v>
      </c>
      <c r="H917" s="184">
        <v>44140</v>
      </c>
      <c r="I917" s="184">
        <v>44159</v>
      </c>
      <c r="J917" t="s">
        <v>536</v>
      </c>
      <c r="K917">
        <v>60000</v>
      </c>
      <c r="L917" t="s">
        <v>213</v>
      </c>
    </row>
    <row r="918" spans="1:12" x14ac:dyDescent="0.4">
      <c r="A918" t="s">
        <v>166</v>
      </c>
      <c r="B918" t="s">
        <v>3</v>
      </c>
      <c r="C918" t="s">
        <v>446</v>
      </c>
      <c r="D918" t="s">
        <v>447</v>
      </c>
      <c r="E918">
        <v>20019306</v>
      </c>
      <c r="F918" t="s">
        <v>535</v>
      </c>
      <c r="G918">
        <v>595572</v>
      </c>
      <c r="H918" s="184">
        <v>44140</v>
      </c>
      <c r="I918" s="184">
        <v>44159</v>
      </c>
      <c r="J918" t="s">
        <v>536</v>
      </c>
      <c r="K918">
        <v>60000</v>
      </c>
      <c r="L918" t="s">
        <v>214</v>
      </c>
    </row>
    <row r="919" spans="1:12" x14ac:dyDescent="0.4">
      <c r="A919" t="s">
        <v>166</v>
      </c>
      <c r="B919" t="s">
        <v>3</v>
      </c>
      <c r="C919" t="s">
        <v>446</v>
      </c>
      <c r="D919" t="s">
        <v>447</v>
      </c>
      <c r="E919">
        <v>20019306</v>
      </c>
      <c r="F919" t="s">
        <v>535</v>
      </c>
      <c r="G919">
        <v>595572</v>
      </c>
      <c r="H919" s="184">
        <v>44140</v>
      </c>
      <c r="I919" s="184">
        <v>44159</v>
      </c>
      <c r="J919" t="s">
        <v>536</v>
      </c>
      <c r="K919">
        <v>60000</v>
      </c>
      <c r="L919" t="s">
        <v>215</v>
      </c>
    </row>
    <row r="920" spans="1:12" x14ac:dyDescent="0.4">
      <c r="A920" t="s">
        <v>166</v>
      </c>
      <c r="B920" t="s">
        <v>3</v>
      </c>
      <c r="C920" t="s">
        <v>450</v>
      </c>
      <c r="D920" t="s">
        <v>451</v>
      </c>
      <c r="E920">
        <v>20019318</v>
      </c>
      <c r="F920" t="s">
        <v>537</v>
      </c>
      <c r="G920">
        <v>595943</v>
      </c>
      <c r="H920" s="184">
        <v>44209</v>
      </c>
      <c r="I920" s="184">
        <v>44214</v>
      </c>
      <c r="J920" t="s">
        <v>237</v>
      </c>
      <c r="K920">
        <v>60000</v>
      </c>
      <c r="L920" t="s">
        <v>238</v>
      </c>
    </row>
    <row r="921" spans="1:12" x14ac:dyDescent="0.4">
      <c r="A921" t="s">
        <v>166</v>
      </c>
      <c r="B921" t="s">
        <v>3</v>
      </c>
      <c r="C921" t="s">
        <v>450</v>
      </c>
      <c r="D921" t="s">
        <v>451</v>
      </c>
      <c r="E921">
        <v>20019318</v>
      </c>
      <c r="F921" t="s">
        <v>537</v>
      </c>
      <c r="G921">
        <v>595943</v>
      </c>
      <c r="H921" s="184">
        <v>44209</v>
      </c>
      <c r="I921" s="184">
        <v>44214</v>
      </c>
      <c r="J921" t="s">
        <v>237</v>
      </c>
      <c r="K921">
        <v>60000</v>
      </c>
      <c r="L921" t="s">
        <v>187</v>
      </c>
    </row>
    <row r="922" spans="1:12" x14ac:dyDescent="0.4">
      <c r="A922" t="s">
        <v>166</v>
      </c>
      <c r="B922" t="s">
        <v>3</v>
      </c>
      <c r="C922" t="s">
        <v>450</v>
      </c>
      <c r="D922" t="s">
        <v>451</v>
      </c>
      <c r="E922">
        <v>20019318</v>
      </c>
      <c r="F922" t="s">
        <v>537</v>
      </c>
      <c r="G922">
        <v>595943</v>
      </c>
      <c r="H922" s="184">
        <v>44209</v>
      </c>
      <c r="I922" s="184">
        <v>44214</v>
      </c>
      <c r="J922" t="s">
        <v>237</v>
      </c>
      <c r="K922">
        <v>60000</v>
      </c>
      <c r="L922" t="s">
        <v>188</v>
      </c>
    </row>
    <row r="923" spans="1:12" x14ac:dyDescent="0.4">
      <c r="A923" t="s">
        <v>166</v>
      </c>
      <c r="B923" t="s">
        <v>3</v>
      </c>
      <c r="C923" t="s">
        <v>450</v>
      </c>
      <c r="D923" t="s">
        <v>451</v>
      </c>
      <c r="E923">
        <v>20019318</v>
      </c>
      <c r="F923" t="s">
        <v>537</v>
      </c>
      <c r="G923">
        <v>595943</v>
      </c>
      <c r="H923" s="184">
        <v>44209</v>
      </c>
      <c r="I923" s="184">
        <v>44214</v>
      </c>
      <c r="J923" t="s">
        <v>237</v>
      </c>
      <c r="K923">
        <v>60000</v>
      </c>
      <c r="L923" t="s">
        <v>189</v>
      </c>
    </row>
    <row r="924" spans="1:12" x14ac:dyDescent="0.4">
      <c r="A924" t="s">
        <v>166</v>
      </c>
      <c r="B924" t="s">
        <v>3</v>
      </c>
      <c r="C924" t="s">
        <v>450</v>
      </c>
      <c r="D924" t="s">
        <v>451</v>
      </c>
      <c r="E924">
        <v>20019318</v>
      </c>
      <c r="F924" t="s">
        <v>537</v>
      </c>
      <c r="G924">
        <v>595943</v>
      </c>
      <c r="H924" s="184">
        <v>44209</v>
      </c>
      <c r="I924" s="184">
        <v>44214</v>
      </c>
      <c r="J924" t="s">
        <v>237</v>
      </c>
      <c r="K924">
        <v>60000</v>
      </c>
      <c r="L924" t="s">
        <v>190</v>
      </c>
    </row>
    <row r="925" spans="1:12" x14ac:dyDescent="0.4">
      <c r="A925" t="s">
        <v>166</v>
      </c>
      <c r="B925" t="s">
        <v>3</v>
      </c>
      <c r="C925" t="s">
        <v>450</v>
      </c>
      <c r="D925" t="s">
        <v>451</v>
      </c>
      <c r="E925">
        <v>20019318</v>
      </c>
      <c r="F925" t="s">
        <v>537</v>
      </c>
      <c r="G925">
        <v>595943</v>
      </c>
      <c r="H925" s="184">
        <v>44209</v>
      </c>
      <c r="I925" s="184">
        <v>44214</v>
      </c>
      <c r="J925" t="s">
        <v>237</v>
      </c>
      <c r="K925">
        <v>60000</v>
      </c>
      <c r="L925" t="s">
        <v>239</v>
      </c>
    </row>
    <row r="926" spans="1:12" x14ac:dyDescent="0.4">
      <c r="A926" t="s">
        <v>166</v>
      </c>
      <c r="B926" t="s">
        <v>3</v>
      </c>
      <c r="C926" t="s">
        <v>450</v>
      </c>
      <c r="D926" t="s">
        <v>451</v>
      </c>
      <c r="E926">
        <v>20019320</v>
      </c>
      <c r="F926" t="s">
        <v>538</v>
      </c>
      <c r="G926">
        <v>595992</v>
      </c>
      <c r="H926" s="184">
        <v>44140</v>
      </c>
      <c r="I926" s="184">
        <v>44140</v>
      </c>
      <c r="J926" t="s">
        <v>539</v>
      </c>
      <c r="K926">
        <v>60000</v>
      </c>
      <c r="L926" t="s">
        <v>196</v>
      </c>
    </row>
    <row r="927" spans="1:12" x14ac:dyDescent="0.4">
      <c r="A927" t="s">
        <v>166</v>
      </c>
      <c r="B927" t="s">
        <v>3</v>
      </c>
      <c r="C927" t="s">
        <v>450</v>
      </c>
      <c r="D927" t="s">
        <v>451</v>
      </c>
      <c r="E927">
        <v>20019320</v>
      </c>
      <c r="F927" t="s">
        <v>538</v>
      </c>
      <c r="G927">
        <v>595992</v>
      </c>
      <c r="H927" s="184">
        <v>44140</v>
      </c>
      <c r="I927" s="184">
        <v>44140</v>
      </c>
      <c r="J927" t="s">
        <v>539</v>
      </c>
      <c r="K927">
        <v>60000</v>
      </c>
      <c r="L927" t="s">
        <v>211</v>
      </c>
    </row>
    <row r="928" spans="1:12" x14ac:dyDescent="0.4">
      <c r="A928" t="s">
        <v>166</v>
      </c>
      <c r="B928" t="s">
        <v>3</v>
      </c>
      <c r="C928" t="s">
        <v>450</v>
      </c>
      <c r="D928" t="s">
        <v>451</v>
      </c>
      <c r="E928">
        <v>20019320</v>
      </c>
      <c r="F928" t="s">
        <v>538</v>
      </c>
      <c r="G928">
        <v>595992</v>
      </c>
      <c r="H928" s="184">
        <v>44140</v>
      </c>
      <c r="I928" s="184">
        <v>44140</v>
      </c>
      <c r="J928" t="s">
        <v>539</v>
      </c>
      <c r="K928">
        <v>60000</v>
      </c>
      <c r="L928" t="s">
        <v>212</v>
      </c>
    </row>
    <row r="929" spans="1:12" x14ac:dyDescent="0.4">
      <c r="A929" t="s">
        <v>166</v>
      </c>
      <c r="B929" t="s">
        <v>3</v>
      </c>
      <c r="C929" t="s">
        <v>450</v>
      </c>
      <c r="D929" t="s">
        <v>451</v>
      </c>
      <c r="E929">
        <v>20019320</v>
      </c>
      <c r="F929" t="s">
        <v>538</v>
      </c>
      <c r="G929">
        <v>595992</v>
      </c>
      <c r="H929" s="184">
        <v>44140</v>
      </c>
      <c r="I929" s="184">
        <v>44140</v>
      </c>
      <c r="J929" t="s">
        <v>539</v>
      </c>
      <c r="K929">
        <v>60000</v>
      </c>
      <c r="L929" t="s">
        <v>213</v>
      </c>
    </row>
    <row r="930" spans="1:12" x14ac:dyDescent="0.4">
      <c r="A930" t="s">
        <v>166</v>
      </c>
      <c r="B930" t="s">
        <v>3</v>
      </c>
      <c r="C930" t="s">
        <v>450</v>
      </c>
      <c r="D930" t="s">
        <v>451</v>
      </c>
      <c r="E930">
        <v>20019320</v>
      </c>
      <c r="F930" t="s">
        <v>538</v>
      </c>
      <c r="G930">
        <v>595992</v>
      </c>
      <c r="H930" s="184">
        <v>44140</v>
      </c>
      <c r="I930" s="184">
        <v>44140</v>
      </c>
      <c r="J930" t="s">
        <v>539</v>
      </c>
      <c r="K930">
        <v>60000</v>
      </c>
      <c r="L930" t="s">
        <v>214</v>
      </c>
    </row>
    <row r="931" spans="1:12" x14ac:dyDescent="0.4">
      <c r="A931" t="s">
        <v>166</v>
      </c>
      <c r="B931" t="s">
        <v>3</v>
      </c>
      <c r="C931" t="s">
        <v>450</v>
      </c>
      <c r="D931" t="s">
        <v>451</v>
      </c>
      <c r="E931">
        <v>20019320</v>
      </c>
      <c r="F931" t="s">
        <v>538</v>
      </c>
      <c r="G931">
        <v>595992</v>
      </c>
      <c r="H931" s="184">
        <v>44140</v>
      </c>
      <c r="I931" s="184">
        <v>44140</v>
      </c>
      <c r="J931" t="s">
        <v>539</v>
      </c>
      <c r="K931">
        <v>60000</v>
      </c>
      <c r="L931" t="s">
        <v>215</v>
      </c>
    </row>
    <row r="932" spans="1:12" x14ac:dyDescent="0.4">
      <c r="A932" t="s">
        <v>166</v>
      </c>
      <c r="B932" t="s">
        <v>3</v>
      </c>
      <c r="C932" t="s">
        <v>450</v>
      </c>
      <c r="D932" t="s">
        <v>451</v>
      </c>
      <c r="E932">
        <v>20020218</v>
      </c>
      <c r="F932" t="s">
        <v>540</v>
      </c>
      <c r="G932">
        <v>597695</v>
      </c>
      <c r="H932" s="184">
        <v>44231</v>
      </c>
      <c r="I932" s="184">
        <v>44243</v>
      </c>
      <c r="J932" t="s">
        <v>432</v>
      </c>
      <c r="K932">
        <v>60000</v>
      </c>
      <c r="L932" t="s">
        <v>230</v>
      </c>
    </row>
    <row r="933" spans="1:12" x14ac:dyDescent="0.4">
      <c r="A933" t="s">
        <v>166</v>
      </c>
      <c r="B933" t="s">
        <v>3</v>
      </c>
      <c r="C933" t="s">
        <v>450</v>
      </c>
      <c r="D933" t="s">
        <v>451</v>
      </c>
      <c r="E933">
        <v>20020218</v>
      </c>
      <c r="F933" t="s">
        <v>540</v>
      </c>
      <c r="G933">
        <v>597695</v>
      </c>
      <c r="H933" s="184">
        <v>44231</v>
      </c>
      <c r="I933" s="184">
        <v>44243</v>
      </c>
      <c r="J933" t="s">
        <v>432</v>
      </c>
      <c r="K933">
        <v>60000</v>
      </c>
      <c r="L933" t="s">
        <v>231</v>
      </c>
    </row>
    <row r="934" spans="1:12" x14ac:dyDescent="0.4">
      <c r="A934" t="s">
        <v>166</v>
      </c>
      <c r="B934" t="s">
        <v>3</v>
      </c>
      <c r="C934" t="s">
        <v>450</v>
      </c>
      <c r="D934" t="s">
        <v>451</v>
      </c>
      <c r="E934">
        <v>20020218</v>
      </c>
      <c r="F934" t="s">
        <v>540</v>
      </c>
      <c r="G934">
        <v>597695</v>
      </c>
      <c r="H934" s="184">
        <v>44231</v>
      </c>
      <c r="I934" s="184">
        <v>44243</v>
      </c>
      <c r="J934" t="s">
        <v>432</v>
      </c>
      <c r="K934">
        <v>60000</v>
      </c>
      <c r="L934" t="s">
        <v>232</v>
      </c>
    </row>
    <row r="935" spans="1:12" x14ac:dyDescent="0.4">
      <c r="A935" t="s">
        <v>166</v>
      </c>
      <c r="B935" t="s">
        <v>3</v>
      </c>
      <c r="C935" t="s">
        <v>450</v>
      </c>
      <c r="D935" t="s">
        <v>451</v>
      </c>
      <c r="E935">
        <v>20020218</v>
      </c>
      <c r="F935" t="s">
        <v>540</v>
      </c>
      <c r="G935">
        <v>597695</v>
      </c>
      <c r="H935" s="184">
        <v>44231</v>
      </c>
      <c r="I935" s="184">
        <v>44243</v>
      </c>
      <c r="J935" t="s">
        <v>432</v>
      </c>
      <c r="K935">
        <v>60000</v>
      </c>
      <c r="L935" t="s">
        <v>233</v>
      </c>
    </row>
    <row r="936" spans="1:12" x14ac:dyDescent="0.4">
      <c r="A936" t="s">
        <v>166</v>
      </c>
      <c r="B936" t="s">
        <v>3</v>
      </c>
      <c r="C936" t="s">
        <v>450</v>
      </c>
      <c r="D936" t="s">
        <v>451</v>
      </c>
      <c r="E936">
        <v>20020218</v>
      </c>
      <c r="F936" t="s">
        <v>540</v>
      </c>
      <c r="G936">
        <v>597695</v>
      </c>
      <c r="H936" s="184">
        <v>44231</v>
      </c>
      <c r="I936" s="184">
        <v>44243</v>
      </c>
      <c r="J936" t="s">
        <v>432</v>
      </c>
      <c r="K936">
        <v>60000</v>
      </c>
      <c r="L936" t="s">
        <v>234</v>
      </c>
    </row>
    <row r="937" spans="1:12" x14ac:dyDescent="0.4">
      <c r="A937" t="s">
        <v>166</v>
      </c>
      <c r="B937" t="s">
        <v>3</v>
      </c>
      <c r="C937" t="s">
        <v>450</v>
      </c>
      <c r="D937" t="s">
        <v>451</v>
      </c>
      <c r="E937">
        <v>20020218</v>
      </c>
      <c r="F937" t="s">
        <v>540</v>
      </c>
      <c r="G937">
        <v>597695</v>
      </c>
      <c r="H937" s="184">
        <v>44231</v>
      </c>
      <c r="I937" s="184">
        <v>44243</v>
      </c>
      <c r="J937" t="s">
        <v>432</v>
      </c>
      <c r="K937">
        <v>60000</v>
      </c>
      <c r="L937" t="s">
        <v>235</v>
      </c>
    </row>
    <row r="938" spans="1:12" x14ac:dyDescent="0.4">
      <c r="A938" t="s">
        <v>166</v>
      </c>
      <c r="B938" t="s">
        <v>3</v>
      </c>
      <c r="C938" t="s">
        <v>450</v>
      </c>
      <c r="D938" t="s">
        <v>451</v>
      </c>
      <c r="E938">
        <v>20020341</v>
      </c>
      <c r="F938" t="s">
        <v>541</v>
      </c>
      <c r="G938">
        <v>597088</v>
      </c>
      <c r="H938" s="184">
        <v>44253</v>
      </c>
      <c r="I938" s="184">
        <v>44253</v>
      </c>
      <c r="J938" t="s">
        <v>229</v>
      </c>
      <c r="K938">
        <v>60000</v>
      </c>
      <c r="L938" t="s">
        <v>230</v>
      </c>
    </row>
    <row r="939" spans="1:12" x14ac:dyDescent="0.4">
      <c r="A939" t="s">
        <v>166</v>
      </c>
      <c r="B939" t="s">
        <v>3</v>
      </c>
      <c r="C939" t="s">
        <v>450</v>
      </c>
      <c r="D939" t="s">
        <v>451</v>
      </c>
      <c r="E939">
        <v>20020341</v>
      </c>
      <c r="F939" t="s">
        <v>541</v>
      </c>
      <c r="G939">
        <v>597088</v>
      </c>
      <c r="H939" s="184">
        <v>44253</v>
      </c>
      <c r="I939" s="184">
        <v>44253</v>
      </c>
      <c r="J939" t="s">
        <v>229</v>
      </c>
      <c r="K939">
        <v>60000</v>
      </c>
      <c r="L939" t="s">
        <v>231</v>
      </c>
    </row>
    <row r="940" spans="1:12" x14ac:dyDescent="0.4">
      <c r="A940" t="s">
        <v>166</v>
      </c>
      <c r="B940" t="s">
        <v>3</v>
      </c>
      <c r="C940" t="s">
        <v>450</v>
      </c>
      <c r="D940" t="s">
        <v>451</v>
      </c>
      <c r="E940">
        <v>20020341</v>
      </c>
      <c r="F940" t="s">
        <v>541</v>
      </c>
      <c r="G940">
        <v>597088</v>
      </c>
      <c r="H940" s="184">
        <v>44253</v>
      </c>
      <c r="I940" s="184">
        <v>44253</v>
      </c>
      <c r="J940" t="s">
        <v>229</v>
      </c>
      <c r="K940">
        <v>60000</v>
      </c>
      <c r="L940" t="s">
        <v>232</v>
      </c>
    </row>
    <row r="941" spans="1:12" x14ac:dyDescent="0.4">
      <c r="A941" t="s">
        <v>166</v>
      </c>
      <c r="B941" t="s">
        <v>3</v>
      </c>
      <c r="C941" t="s">
        <v>450</v>
      </c>
      <c r="D941" t="s">
        <v>451</v>
      </c>
      <c r="E941">
        <v>20020341</v>
      </c>
      <c r="F941" t="s">
        <v>541</v>
      </c>
      <c r="G941">
        <v>597088</v>
      </c>
      <c r="H941" s="184">
        <v>44253</v>
      </c>
      <c r="I941" s="184">
        <v>44253</v>
      </c>
      <c r="J941" t="s">
        <v>229</v>
      </c>
      <c r="K941">
        <v>60000</v>
      </c>
      <c r="L941" t="s">
        <v>233</v>
      </c>
    </row>
    <row r="942" spans="1:12" x14ac:dyDescent="0.4">
      <c r="A942" t="s">
        <v>166</v>
      </c>
      <c r="B942" t="s">
        <v>3</v>
      </c>
      <c r="C942" t="s">
        <v>450</v>
      </c>
      <c r="D942" t="s">
        <v>451</v>
      </c>
      <c r="E942">
        <v>20020341</v>
      </c>
      <c r="F942" t="s">
        <v>541</v>
      </c>
      <c r="G942">
        <v>597088</v>
      </c>
      <c r="H942" s="184">
        <v>44253</v>
      </c>
      <c r="I942" s="184">
        <v>44253</v>
      </c>
      <c r="J942" t="s">
        <v>229</v>
      </c>
      <c r="K942">
        <v>60000</v>
      </c>
      <c r="L942" t="s">
        <v>234</v>
      </c>
    </row>
    <row r="943" spans="1:12" x14ac:dyDescent="0.4">
      <c r="A943" t="s">
        <v>166</v>
      </c>
      <c r="B943" t="s">
        <v>3</v>
      </c>
      <c r="C943" t="s">
        <v>450</v>
      </c>
      <c r="D943" t="s">
        <v>451</v>
      </c>
      <c r="E943">
        <v>20020341</v>
      </c>
      <c r="F943" t="s">
        <v>541</v>
      </c>
      <c r="G943">
        <v>597088</v>
      </c>
      <c r="H943" s="184">
        <v>44253</v>
      </c>
      <c r="I943" s="184">
        <v>44253</v>
      </c>
      <c r="J943" t="s">
        <v>229</v>
      </c>
      <c r="K943">
        <v>60000</v>
      </c>
      <c r="L943" t="s">
        <v>235</v>
      </c>
    </row>
    <row r="944" spans="1:12" x14ac:dyDescent="0.4">
      <c r="A944" t="s">
        <v>166</v>
      </c>
      <c r="B944" t="s">
        <v>3</v>
      </c>
      <c r="C944" t="s">
        <v>450</v>
      </c>
      <c r="D944" t="s">
        <v>451</v>
      </c>
      <c r="E944">
        <v>20020346</v>
      </c>
      <c r="F944" t="s">
        <v>542</v>
      </c>
      <c r="G944">
        <v>597494</v>
      </c>
      <c r="H944" s="184">
        <v>44242</v>
      </c>
      <c r="I944" s="184">
        <v>44245</v>
      </c>
      <c r="J944" t="s">
        <v>360</v>
      </c>
      <c r="K944">
        <v>60000</v>
      </c>
      <c r="L944" t="s">
        <v>230</v>
      </c>
    </row>
    <row r="945" spans="1:12" x14ac:dyDescent="0.4">
      <c r="A945" t="s">
        <v>166</v>
      </c>
      <c r="B945" t="s">
        <v>3</v>
      </c>
      <c r="C945" t="s">
        <v>450</v>
      </c>
      <c r="D945" t="s">
        <v>451</v>
      </c>
      <c r="E945">
        <v>20020346</v>
      </c>
      <c r="F945" t="s">
        <v>542</v>
      </c>
      <c r="G945">
        <v>597494</v>
      </c>
      <c r="H945" s="184">
        <v>44242</v>
      </c>
      <c r="I945" s="184">
        <v>44245</v>
      </c>
      <c r="J945" t="s">
        <v>360</v>
      </c>
      <c r="K945">
        <v>60000</v>
      </c>
      <c r="L945" t="s">
        <v>231</v>
      </c>
    </row>
    <row r="946" spans="1:12" x14ac:dyDescent="0.4">
      <c r="A946" t="s">
        <v>166</v>
      </c>
      <c r="B946" t="s">
        <v>3</v>
      </c>
      <c r="C946" t="s">
        <v>450</v>
      </c>
      <c r="D946" t="s">
        <v>451</v>
      </c>
      <c r="E946">
        <v>20020346</v>
      </c>
      <c r="F946" t="s">
        <v>542</v>
      </c>
      <c r="G946">
        <v>597494</v>
      </c>
      <c r="H946" s="184">
        <v>44242</v>
      </c>
      <c r="I946" s="184">
        <v>44245</v>
      </c>
      <c r="J946" t="s">
        <v>360</v>
      </c>
      <c r="K946">
        <v>60000</v>
      </c>
      <c r="L946" t="s">
        <v>232</v>
      </c>
    </row>
    <row r="947" spans="1:12" x14ac:dyDescent="0.4">
      <c r="A947" t="s">
        <v>166</v>
      </c>
      <c r="B947" t="s">
        <v>3</v>
      </c>
      <c r="C947" t="s">
        <v>450</v>
      </c>
      <c r="D947" t="s">
        <v>451</v>
      </c>
      <c r="E947">
        <v>20020346</v>
      </c>
      <c r="F947" t="s">
        <v>542</v>
      </c>
      <c r="G947">
        <v>597494</v>
      </c>
      <c r="H947" s="184">
        <v>44242</v>
      </c>
      <c r="I947" s="184">
        <v>44245</v>
      </c>
      <c r="J947" t="s">
        <v>360</v>
      </c>
      <c r="K947">
        <v>60000</v>
      </c>
      <c r="L947" t="s">
        <v>233</v>
      </c>
    </row>
    <row r="948" spans="1:12" x14ac:dyDescent="0.4">
      <c r="A948" t="s">
        <v>166</v>
      </c>
      <c r="B948" t="s">
        <v>3</v>
      </c>
      <c r="C948" t="s">
        <v>450</v>
      </c>
      <c r="D948" t="s">
        <v>451</v>
      </c>
      <c r="E948">
        <v>20020346</v>
      </c>
      <c r="F948" t="s">
        <v>542</v>
      </c>
      <c r="G948">
        <v>597494</v>
      </c>
      <c r="H948" s="184">
        <v>44242</v>
      </c>
      <c r="I948" s="184">
        <v>44245</v>
      </c>
      <c r="J948" t="s">
        <v>360</v>
      </c>
      <c r="K948">
        <v>60000</v>
      </c>
      <c r="L948" t="s">
        <v>234</v>
      </c>
    </row>
    <row r="949" spans="1:12" x14ac:dyDescent="0.4">
      <c r="A949" t="s">
        <v>166</v>
      </c>
      <c r="B949" t="s">
        <v>3</v>
      </c>
      <c r="C949" t="s">
        <v>450</v>
      </c>
      <c r="D949" t="s">
        <v>451</v>
      </c>
      <c r="E949">
        <v>20020346</v>
      </c>
      <c r="F949" t="s">
        <v>542</v>
      </c>
      <c r="G949">
        <v>597494</v>
      </c>
      <c r="H949" s="184">
        <v>44242</v>
      </c>
      <c r="I949" s="184">
        <v>44245</v>
      </c>
      <c r="J949" t="s">
        <v>360</v>
      </c>
      <c r="K949">
        <v>60000</v>
      </c>
      <c r="L949" t="s">
        <v>235</v>
      </c>
    </row>
    <row r="950" spans="1:12" x14ac:dyDescent="0.4">
      <c r="A950" t="s">
        <v>166</v>
      </c>
      <c r="B950" t="s">
        <v>3</v>
      </c>
      <c r="C950" t="s">
        <v>446</v>
      </c>
      <c r="D950" t="s">
        <v>447</v>
      </c>
      <c r="E950">
        <v>20020413</v>
      </c>
      <c r="F950" t="s">
        <v>543</v>
      </c>
      <c r="G950">
        <v>598453</v>
      </c>
      <c r="H950" s="184">
        <v>44295</v>
      </c>
      <c r="I950" s="184"/>
      <c r="J950" t="s">
        <v>409</v>
      </c>
      <c r="K950">
        <v>60000</v>
      </c>
      <c r="L950" t="s">
        <v>258</v>
      </c>
    </row>
    <row r="951" spans="1:12" x14ac:dyDescent="0.4">
      <c r="A951" t="s">
        <v>166</v>
      </c>
      <c r="B951" t="s">
        <v>3</v>
      </c>
      <c r="C951" t="s">
        <v>446</v>
      </c>
      <c r="D951" t="s">
        <v>447</v>
      </c>
      <c r="E951">
        <v>20020413</v>
      </c>
      <c r="F951" t="s">
        <v>543</v>
      </c>
      <c r="G951">
        <v>598453</v>
      </c>
      <c r="H951" s="184">
        <v>44295</v>
      </c>
      <c r="I951" s="184"/>
      <c r="J951" t="s">
        <v>409</v>
      </c>
      <c r="K951">
        <v>60000</v>
      </c>
      <c r="L951" t="s">
        <v>259</v>
      </c>
    </row>
    <row r="952" spans="1:12" x14ac:dyDescent="0.4">
      <c r="A952" t="s">
        <v>166</v>
      </c>
      <c r="B952" t="s">
        <v>3</v>
      </c>
      <c r="C952" t="s">
        <v>446</v>
      </c>
      <c r="D952" t="s">
        <v>447</v>
      </c>
      <c r="E952">
        <v>20020413</v>
      </c>
      <c r="F952" t="s">
        <v>543</v>
      </c>
      <c r="G952">
        <v>598453</v>
      </c>
      <c r="H952" s="184">
        <v>44295</v>
      </c>
      <c r="I952" s="184"/>
      <c r="J952" t="s">
        <v>409</v>
      </c>
      <c r="K952">
        <v>60000</v>
      </c>
      <c r="L952" t="s">
        <v>260</v>
      </c>
    </row>
    <row r="953" spans="1:12" x14ac:dyDescent="0.4">
      <c r="A953" t="s">
        <v>166</v>
      </c>
      <c r="B953" t="s">
        <v>3</v>
      </c>
      <c r="C953" t="s">
        <v>446</v>
      </c>
      <c r="D953" t="s">
        <v>447</v>
      </c>
      <c r="E953">
        <v>20020413</v>
      </c>
      <c r="F953" t="s">
        <v>543</v>
      </c>
      <c r="G953">
        <v>598453</v>
      </c>
      <c r="H953" s="184">
        <v>44295</v>
      </c>
      <c r="I953" s="184"/>
      <c r="J953" t="s">
        <v>409</v>
      </c>
      <c r="K953">
        <v>60000</v>
      </c>
      <c r="L953" t="s">
        <v>261</v>
      </c>
    </row>
    <row r="954" spans="1:12" x14ac:dyDescent="0.4">
      <c r="A954" t="s">
        <v>166</v>
      </c>
      <c r="B954" t="s">
        <v>3</v>
      </c>
      <c r="C954" t="s">
        <v>446</v>
      </c>
      <c r="D954" t="s">
        <v>447</v>
      </c>
      <c r="E954">
        <v>20020413</v>
      </c>
      <c r="F954" t="s">
        <v>543</v>
      </c>
      <c r="G954">
        <v>598453</v>
      </c>
      <c r="H954" s="184">
        <v>44295</v>
      </c>
      <c r="I954" s="184"/>
      <c r="J954" t="s">
        <v>409</v>
      </c>
      <c r="K954">
        <v>60000</v>
      </c>
      <c r="L954" t="s">
        <v>262</v>
      </c>
    </row>
    <row r="955" spans="1:12" x14ac:dyDescent="0.4">
      <c r="A955" t="s">
        <v>166</v>
      </c>
      <c r="B955" t="s">
        <v>3</v>
      </c>
      <c r="C955" t="s">
        <v>446</v>
      </c>
      <c r="D955" t="s">
        <v>447</v>
      </c>
      <c r="E955">
        <v>20020413</v>
      </c>
      <c r="F955" t="s">
        <v>543</v>
      </c>
      <c r="G955">
        <v>598453</v>
      </c>
      <c r="H955" s="184">
        <v>44295</v>
      </c>
      <c r="I955" s="184"/>
      <c r="J955" t="s">
        <v>409</v>
      </c>
      <c r="K955">
        <v>60000</v>
      </c>
      <c r="L955" t="s">
        <v>263</v>
      </c>
    </row>
    <row r="956" spans="1:12" x14ac:dyDescent="0.4">
      <c r="A956" t="s">
        <v>166</v>
      </c>
      <c r="B956" t="s">
        <v>3</v>
      </c>
      <c r="C956" t="s">
        <v>450</v>
      </c>
      <c r="D956" t="s">
        <v>451</v>
      </c>
      <c r="E956">
        <v>20020499</v>
      </c>
      <c r="F956" t="s">
        <v>544</v>
      </c>
      <c r="G956">
        <v>598835</v>
      </c>
      <c r="H956" s="184">
        <v>44327</v>
      </c>
      <c r="I956" s="184">
        <v>44328</v>
      </c>
      <c r="J956" t="s">
        <v>545</v>
      </c>
      <c r="K956">
        <v>60000</v>
      </c>
      <c r="L956" t="s">
        <v>258</v>
      </c>
    </row>
    <row r="957" spans="1:12" x14ac:dyDescent="0.4">
      <c r="A957" t="s">
        <v>166</v>
      </c>
      <c r="B957" t="s">
        <v>3</v>
      </c>
      <c r="C957" t="s">
        <v>450</v>
      </c>
      <c r="D957" t="s">
        <v>451</v>
      </c>
      <c r="E957">
        <v>20020499</v>
      </c>
      <c r="F957" t="s">
        <v>544</v>
      </c>
      <c r="G957">
        <v>598835</v>
      </c>
      <c r="H957" s="184">
        <v>44327</v>
      </c>
      <c r="I957" s="184">
        <v>44328</v>
      </c>
      <c r="J957" t="s">
        <v>545</v>
      </c>
      <c r="K957">
        <v>60000</v>
      </c>
      <c r="L957" t="s">
        <v>259</v>
      </c>
    </row>
    <row r="958" spans="1:12" x14ac:dyDescent="0.4">
      <c r="A958" t="s">
        <v>166</v>
      </c>
      <c r="B958" t="s">
        <v>3</v>
      </c>
      <c r="C958" t="s">
        <v>450</v>
      </c>
      <c r="D958" t="s">
        <v>451</v>
      </c>
      <c r="E958">
        <v>20020499</v>
      </c>
      <c r="F958" t="s">
        <v>544</v>
      </c>
      <c r="G958">
        <v>598835</v>
      </c>
      <c r="H958" s="184">
        <v>44327</v>
      </c>
      <c r="I958" s="184">
        <v>44328</v>
      </c>
      <c r="J958" t="s">
        <v>545</v>
      </c>
      <c r="K958">
        <v>60000</v>
      </c>
      <c r="L958" t="s">
        <v>260</v>
      </c>
    </row>
    <row r="959" spans="1:12" x14ac:dyDescent="0.4">
      <c r="A959" t="s">
        <v>166</v>
      </c>
      <c r="B959" t="s">
        <v>3</v>
      </c>
      <c r="C959" t="s">
        <v>450</v>
      </c>
      <c r="D959" t="s">
        <v>451</v>
      </c>
      <c r="E959">
        <v>20020499</v>
      </c>
      <c r="F959" t="s">
        <v>544</v>
      </c>
      <c r="G959">
        <v>598835</v>
      </c>
      <c r="H959" s="184">
        <v>44327</v>
      </c>
      <c r="I959" s="184">
        <v>44328</v>
      </c>
      <c r="J959" t="s">
        <v>545</v>
      </c>
      <c r="K959">
        <v>60000</v>
      </c>
      <c r="L959" t="s">
        <v>261</v>
      </c>
    </row>
    <row r="960" spans="1:12" x14ac:dyDescent="0.4">
      <c r="A960" t="s">
        <v>166</v>
      </c>
      <c r="B960" t="s">
        <v>3</v>
      </c>
      <c r="C960" t="s">
        <v>450</v>
      </c>
      <c r="D960" t="s">
        <v>451</v>
      </c>
      <c r="E960">
        <v>20020499</v>
      </c>
      <c r="F960" t="s">
        <v>544</v>
      </c>
      <c r="G960">
        <v>598835</v>
      </c>
      <c r="H960" s="184">
        <v>44327</v>
      </c>
      <c r="I960" s="184">
        <v>44328</v>
      </c>
      <c r="J960" t="s">
        <v>545</v>
      </c>
      <c r="K960">
        <v>60000</v>
      </c>
      <c r="L960" t="s">
        <v>262</v>
      </c>
    </row>
    <row r="961" spans="1:12" x14ac:dyDescent="0.4">
      <c r="A961" t="s">
        <v>166</v>
      </c>
      <c r="B961" t="s">
        <v>3</v>
      </c>
      <c r="C961" t="s">
        <v>450</v>
      </c>
      <c r="D961" t="s">
        <v>451</v>
      </c>
      <c r="E961">
        <v>20020499</v>
      </c>
      <c r="F961" t="s">
        <v>544</v>
      </c>
      <c r="G961">
        <v>598835</v>
      </c>
      <c r="H961" s="184">
        <v>44327</v>
      </c>
      <c r="I961" s="184">
        <v>44328</v>
      </c>
      <c r="J961" t="s">
        <v>545</v>
      </c>
      <c r="K961">
        <v>60000</v>
      </c>
      <c r="L961" t="s">
        <v>263</v>
      </c>
    </row>
    <row r="962" spans="1:12" x14ac:dyDescent="0.4">
      <c r="A962" t="s">
        <v>166</v>
      </c>
      <c r="B962" t="s">
        <v>3</v>
      </c>
      <c r="C962" t="s">
        <v>450</v>
      </c>
      <c r="D962" t="s">
        <v>451</v>
      </c>
      <c r="E962">
        <v>20020510</v>
      </c>
      <c r="F962" t="s">
        <v>546</v>
      </c>
      <c r="G962">
        <v>599181</v>
      </c>
      <c r="H962" s="184"/>
      <c r="I962" s="184"/>
      <c r="J962" t="s">
        <v>326</v>
      </c>
      <c r="K962">
        <v>60000</v>
      </c>
      <c r="L962" t="s">
        <v>221</v>
      </c>
    </row>
    <row r="963" spans="1:12" x14ac:dyDescent="0.4">
      <c r="A963" t="s">
        <v>166</v>
      </c>
      <c r="B963" t="s">
        <v>3</v>
      </c>
      <c r="C963" t="s">
        <v>450</v>
      </c>
      <c r="D963" t="s">
        <v>451</v>
      </c>
      <c r="E963">
        <v>20020510</v>
      </c>
      <c r="F963" t="s">
        <v>546</v>
      </c>
      <c r="G963">
        <v>599181</v>
      </c>
      <c r="H963" s="184"/>
      <c r="I963" s="184"/>
      <c r="J963" t="s">
        <v>326</v>
      </c>
      <c r="K963">
        <v>60000</v>
      </c>
      <c r="L963" t="s">
        <v>327</v>
      </c>
    </row>
    <row r="964" spans="1:12" x14ac:dyDescent="0.4">
      <c r="A964" t="s">
        <v>166</v>
      </c>
      <c r="B964" t="s">
        <v>3</v>
      </c>
      <c r="C964" t="s">
        <v>450</v>
      </c>
      <c r="D964" t="s">
        <v>451</v>
      </c>
      <c r="E964">
        <v>20020510</v>
      </c>
      <c r="F964" t="s">
        <v>546</v>
      </c>
      <c r="G964">
        <v>599181</v>
      </c>
      <c r="H964" s="184"/>
      <c r="I964" s="184"/>
      <c r="J964" t="s">
        <v>326</v>
      </c>
      <c r="K964">
        <v>60000</v>
      </c>
      <c r="L964" t="s">
        <v>328</v>
      </c>
    </row>
    <row r="965" spans="1:12" x14ac:dyDescent="0.4">
      <c r="A965" t="s">
        <v>166</v>
      </c>
      <c r="B965" t="s">
        <v>3</v>
      </c>
      <c r="C965" t="s">
        <v>450</v>
      </c>
      <c r="D965" t="s">
        <v>451</v>
      </c>
      <c r="E965">
        <v>20020510</v>
      </c>
      <c r="F965" t="s">
        <v>546</v>
      </c>
      <c r="G965">
        <v>599181</v>
      </c>
      <c r="H965" s="184"/>
      <c r="I965" s="184"/>
      <c r="J965" t="s">
        <v>326</v>
      </c>
      <c r="K965">
        <v>60000</v>
      </c>
      <c r="L965" t="s">
        <v>329</v>
      </c>
    </row>
    <row r="966" spans="1:12" x14ac:dyDescent="0.4">
      <c r="A966" t="s">
        <v>166</v>
      </c>
      <c r="B966" t="s">
        <v>3</v>
      </c>
      <c r="C966" t="s">
        <v>450</v>
      </c>
      <c r="D966" t="s">
        <v>451</v>
      </c>
      <c r="E966">
        <v>20020510</v>
      </c>
      <c r="F966" t="s">
        <v>546</v>
      </c>
      <c r="G966">
        <v>599181</v>
      </c>
      <c r="H966" s="184"/>
      <c r="I966" s="184"/>
      <c r="J966" t="s">
        <v>326</v>
      </c>
      <c r="K966">
        <v>60000</v>
      </c>
      <c r="L966" t="s">
        <v>330</v>
      </c>
    </row>
    <row r="967" spans="1:12" x14ac:dyDescent="0.4">
      <c r="A967" t="s">
        <v>166</v>
      </c>
      <c r="B967" t="s">
        <v>3</v>
      </c>
      <c r="C967" t="s">
        <v>450</v>
      </c>
      <c r="D967" t="s">
        <v>451</v>
      </c>
      <c r="E967">
        <v>20020510</v>
      </c>
      <c r="F967" t="s">
        <v>546</v>
      </c>
      <c r="G967">
        <v>599181</v>
      </c>
      <c r="H967" s="184"/>
      <c r="I967" s="184"/>
      <c r="J967" t="s">
        <v>326</v>
      </c>
      <c r="K967">
        <v>60000</v>
      </c>
      <c r="L967" t="s">
        <v>331</v>
      </c>
    </row>
    <row r="968" spans="1:12" x14ac:dyDescent="0.4">
      <c r="A968" t="s">
        <v>166</v>
      </c>
      <c r="B968" t="s">
        <v>3</v>
      </c>
      <c r="C968" t="s">
        <v>450</v>
      </c>
      <c r="D968" t="s">
        <v>451</v>
      </c>
      <c r="E968">
        <v>20020735</v>
      </c>
      <c r="F968" t="s">
        <v>547</v>
      </c>
      <c r="G968">
        <v>598925</v>
      </c>
      <c r="H968" s="184">
        <v>44307</v>
      </c>
      <c r="I968" s="184">
        <v>44322</v>
      </c>
      <c r="J968" t="s">
        <v>409</v>
      </c>
      <c r="K968">
        <v>60000</v>
      </c>
      <c r="L968" t="s">
        <v>258</v>
      </c>
    </row>
    <row r="969" spans="1:12" x14ac:dyDescent="0.4">
      <c r="A969" t="s">
        <v>166</v>
      </c>
      <c r="B969" t="s">
        <v>3</v>
      </c>
      <c r="C969" t="s">
        <v>450</v>
      </c>
      <c r="D969" t="s">
        <v>451</v>
      </c>
      <c r="E969">
        <v>20020735</v>
      </c>
      <c r="F969" t="s">
        <v>547</v>
      </c>
      <c r="G969">
        <v>598925</v>
      </c>
      <c r="H969" s="184">
        <v>44307</v>
      </c>
      <c r="I969" s="184">
        <v>44322</v>
      </c>
      <c r="J969" t="s">
        <v>409</v>
      </c>
      <c r="K969">
        <v>60000</v>
      </c>
      <c r="L969" t="s">
        <v>259</v>
      </c>
    </row>
    <row r="970" spans="1:12" x14ac:dyDescent="0.4">
      <c r="A970" t="s">
        <v>166</v>
      </c>
      <c r="B970" t="s">
        <v>3</v>
      </c>
      <c r="C970" t="s">
        <v>450</v>
      </c>
      <c r="D970" t="s">
        <v>451</v>
      </c>
      <c r="E970">
        <v>20020735</v>
      </c>
      <c r="F970" t="s">
        <v>547</v>
      </c>
      <c r="G970">
        <v>598925</v>
      </c>
      <c r="H970" s="184">
        <v>44307</v>
      </c>
      <c r="I970" s="184">
        <v>44322</v>
      </c>
      <c r="J970" t="s">
        <v>409</v>
      </c>
      <c r="K970">
        <v>60000</v>
      </c>
      <c r="L970" t="s">
        <v>260</v>
      </c>
    </row>
    <row r="971" spans="1:12" x14ac:dyDescent="0.4">
      <c r="A971" t="s">
        <v>166</v>
      </c>
      <c r="B971" t="s">
        <v>3</v>
      </c>
      <c r="C971" t="s">
        <v>450</v>
      </c>
      <c r="D971" t="s">
        <v>451</v>
      </c>
      <c r="E971">
        <v>20020735</v>
      </c>
      <c r="F971" t="s">
        <v>547</v>
      </c>
      <c r="G971">
        <v>598925</v>
      </c>
      <c r="H971" s="184">
        <v>44307</v>
      </c>
      <c r="I971" s="184">
        <v>44322</v>
      </c>
      <c r="J971" t="s">
        <v>409</v>
      </c>
      <c r="K971">
        <v>60000</v>
      </c>
      <c r="L971" t="s">
        <v>261</v>
      </c>
    </row>
    <row r="972" spans="1:12" x14ac:dyDescent="0.4">
      <c r="A972" t="s">
        <v>166</v>
      </c>
      <c r="B972" t="s">
        <v>3</v>
      </c>
      <c r="C972" t="s">
        <v>450</v>
      </c>
      <c r="D972" t="s">
        <v>451</v>
      </c>
      <c r="E972">
        <v>20020735</v>
      </c>
      <c r="F972" t="s">
        <v>547</v>
      </c>
      <c r="G972">
        <v>598925</v>
      </c>
      <c r="H972" s="184">
        <v>44307</v>
      </c>
      <c r="I972" s="184">
        <v>44322</v>
      </c>
      <c r="J972" t="s">
        <v>409</v>
      </c>
      <c r="K972">
        <v>60000</v>
      </c>
      <c r="L972" t="s">
        <v>262</v>
      </c>
    </row>
    <row r="973" spans="1:12" x14ac:dyDescent="0.4">
      <c r="A973" t="s">
        <v>166</v>
      </c>
      <c r="B973" t="s">
        <v>3</v>
      </c>
      <c r="C973" t="s">
        <v>450</v>
      </c>
      <c r="D973" t="s">
        <v>451</v>
      </c>
      <c r="E973">
        <v>20020735</v>
      </c>
      <c r="F973" t="s">
        <v>547</v>
      </c>
      <c r="G973">
        <v>598925</v>
      </c>
      <c r="H973" s="184">
        <v>44307</v>
      </c>
      <c r="I973" s="184">
        <v>44322</v>
      </c>
      <c r="J973" t="s">
        <v>409</v>
      </c>
      <c r="K973">
        <v>60000</v>
      </c>
      <c r="L973" t="s">
        <v>263</v>
      </c>
    </row>
    <row r="974" spans="1:12" x14ac:dyDescent="0.4">
      <c r="A974" t="s">
        <v>166</v>
      </c>
      <c r="B974" t="s">
        <v>3</v>
      </c>
      <c r="C974" t="s">
        <v>450</v>
      </c>
      <c r="D974" t="s">
        <v>451</v>
      </c>
      <c r="E974">
        <v>20020743</v>
      </c>
      <c r="F974" t="s">
        <v>548</v>
      </c>
      <c r="G974">
        <v>599009</v>
      </c>
      <c r="H974" s="184"/>
      <c r="I974" s="184"/>
      <c r="J974" t="s">
        <v>326</v>
      </c>
      <c r="K974">
        <v>60000</v>
      </c>
      <c r="L974" t="s">
        <v>221</v>
      </c>
    </row>
    <row r="975" spans="1:12" x14ac:dyDescent="0.4">
      <c r="A975" t="s">
        <v>166</v>
      </c>
      <c r="B975" t="s">
        <v>3</v>
      </c>
      <c r="C975" t="s">
        <v>450</v>
      </c>
      <c r="D975" t="s">
        <v>451</v>
      </c>
      <c r="E975">
        <v>20020743</v>
      </c>
      <c r="F975" t="s">
        <v>548</v>
      </c>
      <c r="G975">
        <v>599009</v>
      </c>
      <c r="H975" s="184"/>
      <c r="I975" s="184"/>
      <c r="J975" t="s">
        <v>326</v>
      </c>
      <c r="K975">
        <v>60000</v>
      </c>
      <c r="L975" t="s">
        <v>327</v>
      </c>
    </row>
    <row r="976" spans="1:12" x14ac:dyDescent="0.4">
      <c r="A976" t="s">
        <v>166</v>
      </c>
      <c r="B976" t="s">
        <v>3</v>
      </c>
      <c r="C976" t="s">
        <v>450</v>
      </c>
      <c r="D976" t="s">
        <v>451</v>
      </c>
      <c r="E976">
        <v>20020743</v>
      </c>
      <c r="F976" t="s">
        <v>548</v>
      </c>
      <c r="G976">
        <v>599009</v>
      </c>
      <c r="H976" s="184"/>
      <c r="I976" s="184"/>
      <c r="J976" t="s">
        <v>326</v>
      </c>
      <c r="K976">
        <v>60000</v>
      </c>
      <c r="L976" t="s">
        <v>328</v>
      </c>
    </row>
    <row r="977" spans="1:12" x14ac:dyDescent="0.4">
      <c r="A977" t="s">
        <v>166</v>
      </c>
      <c r="B977" t="s">
        <v>3</v>
      </c>
      <c r="C977" t="s">
        <v>450</v>
      </c>
      <c r="D977" t="s">
        <v>451</v>
      </c>
      <c r="E977">
        <v>20020743</v>
      </c>
      <c r="F977" t="s">
        <v>548</v>
      </c>
      <c r="G977">
        <v>599009</v>
      </c>
      <c r="H977" s="184"/>
      <c r="I977" s="184"/>
      <c r="J977" t="s">
        <v>326</v>
      </c>
      <c r="K977">
        <v>60000</v>
      </c>
      <c r="L977" t="s">
        <v>329</v>
      </c>
    </row>
    <row r="978" spans="1:12" x14ac:dyDescent="0.4">
      <c r="A978" t="s">
        <v>166</v>
      </c>
      <c r="B978" t="s">
        <v>3</v>
      </c>
      <c r="C978" t="s">
        <v>450</v>
      </c>
      <c r="D978" t="s">
        <v>451</v>
      </c>
      <c r="E978">
        <v>20020743</v>
      </c>
      <c r="F978" t="s">
        <v>548</v>
      </c>
      <c r="G978">
        <v>599009</v>
      </c>
      <c r="H978" s="184"/>
      <c r="I978" s="184"/>
      <c r="J978" t="s">
        <v>326</v>
      </c>
      <c r="K978">
        <v>60000</v>
      </c>
      <c r="L978" t="s">
        <v>330</v>
      </c>
    </row>
    <row r="979" spans="1:12" x14ac:dyDescent="0.4">
      <c r="A979" t="s">
        <v>166</v>
      </c>
      <c r="B979" t="s">
        <v>3</v>
      </c>
      <c r="C979" t="s">
        <v>450</v>
      </c>
      <c r="D979" t="s">
        <v>451</v>
      </c>
      <c r="E979">
        <v>20020743</v>
      </c>
      <c r="F979" t="s">
        <v>548</v>
      </c>
      <c r="G979">
        <v>599009</v>
      </c>
      <c r="H979" s="184"/>
      <c r="I979" s="184"/>
      <c r="J979" t="s">
        <v>326</v>
      </c>
      <c r="K979">
        <v>60000</v>
      </c>
      <c r="L979" t="s">
        <v>331</v>
      </c>
    </row>
    <row r="980" spans="1:12" x14ac:dyDescent="0.4">
      <c r="A980" t="s">
        <v>167</v>
      </c>
      <c r="B980" t="s">
        <v>4</v>
      </c>
      <c r="C980" t="s">
        <v>549</v>
      </c>
      <c r="D980" t="s">
        <v>550</v>
      </c>
      <c r="E980">
        <v>10008530</v>
      </c>
      <c r="F980" t="s">
        <v>551</v>
      </c>
      <c r="G980">
        <v>590245</v>
      </c>
      <c r="H980" s="184">
        <v>43861</v>
      </c>
      <c r="I980" s="184">
        <v>43861</v>
      </c>
      <c r="J980" t="s">
        <v>500</v>
      </c>
      <c r="K980">
        <v>60000</v>
      </c>
      <c r="L980" t="s">
        <v>185</v>
      </c>
    </row>
    <row r="981" spans="1:12" x14ac:dyDescent="0.4">
      <c r="A981" t="s">
        <v>167</v>
      </c>
      <c r="B981" t="s">
        <v>4</v>
      </c>
      <c r="C981" t="s">
        <v>549</v>
      </c>
      <c r="D981" t="s">
        <v>550</v>
      </c>
      <c r="E981">
        <v>10008530</v>
      </c>
      <c r="F981" t="s">
        <v>551</v>
      </c>
      <c r="G981">
        <v>590245</v>
      </c>
      <c r="H981" s="184">
        <v>43861</v>
      </c>
      <c r="I981" s="184">
        <v>43861</v>
      </c>
      <c r="J981" t="s">
        <v>500</v>
      </c>
      <c r="K981">
        <v>60000</v>
      </c>
      <c r="L981" t="s">
        <v>186</v>
      </c>
    </row>
    <row r="982" spans="1:12" x14ac:dyDescent="0.4">
      <c r="A982" t="s">
        <v>167</v>
      </c>
      <c r="B982" t="s">
        <v>4</v>
      </c>
      <c r="C982" t="s">
        <v>549</v>
      </c>
      <c r="D982" t="s">
        <v>550</v>
      </c>
      <c r="E982">
        <v>10008530</v>
      </c>
      <c r="F982" t="s">
        <v>551</v>
      </c>
      <c r="G982">
        <v>590245</v>
      </c>
      <c r="H982" s="184">
        <v>43861</v>
      </c>
      <c r="I982" s="184">
        <v>43861</v>
      </c>
      <c r="J982" t="s">
        <v>500</v>
      </c>
      <c r="K982">
        <v>60000</v>
      </c>
      <c r="L982" t="s">
        <v>187</v>
      </c>
    </row>
    <row r="983" spans="1:12" x14ac:dyDescent="0.4">
      <c r="A983" t="s">
        <v>167</v>
      </c>
      <c r="B983" t="s">
        <v>4</v>
      </c>
      <c r="C983" t="s">
        <v>549</v>
      </c>
      <c r="D983" t="s">
        <v>550</v>
      </c>
      <c r="E983">
        <v>10008530</v>
      </c>
      <c r="F983" t="s">
        <v>551</v>
      </c>
      <c r="G983">
        <v>590245</v>
      </c>
      <c r="H983" s="184">
        <v>43861</v>
      </c>
      <c r="I983" s="184">
        <v>43861</v>
      </c>
      <c r="J983" t="s">
        <v>500</v>
      </c>
      <c r="K983">
        <v>60000</v>
      </c>
      <c r="L983" t="s">
        <v>188</v>
      </c>
    </row>
    <row r="984" spans="1:12" x14ac:dyDescent="0.4">
      <c r="A984" t="s">
        <v>167</v>
      </c>
      <c r="B984" t="s">
        <v>4</v>
      </c>
      <c r="C984" t="s">
        <v>549</v>
      </c>
      <c r="D984" t="s">
        <v>550</v>
      </c>
      <c r="E984">
        <v>10008530</v>
      </c>
      <c r="F984" t="s">
        <v>551</v>
      </c>
      <c r="G984">
        <v>590245</v>
      </c>
      <c r="H984" s="184">
        <v>43861</v>
      </c>
      <c r="I984" s="184">
        <v>43861</v>
      </c>
      <c r="J984" t="s">
        <v>500</v>
      </c>
      <c r="K984">
        <v>60000</v>
      </c>
      <c r="L984" t="s">
        <v>189</v>
      </c>
    </row>
    <row r="985" spans="1:12" x14ac:dyDescent="0.4">
      <c r="A985" t="s">
        <v>167</v>
      </c>
      <c r="B985" t="s">
        <v>4</v>
      </c>
      <c r="C985" t="s">
        <v>549</v>
      </c>
      <c r="D985" t="s">
        <v>550</v>
      </c>
      <c r="E985">
        <v>10008530</v>
      </c>
      <c r="F985" t="s">
        <v>551</v>
      </c>
      <c r="G985">
        <v>590245</v>
      </c>
      <c r="H985" s="184">
        <v>43861</v>
      </c>
      <c r="I985" s="184">
        <v>43861</v>
      </c>
      <c r="J985" t="s">
        <v>500</v>
      </c>
      <c r="K985">
        <v>60000</v>
      </c>
      <c r="L985" t="s">
        <v>190</v>
      </c>
    </row>
    <row r="986" spans="1:12" x14ac:dyDescent="0.4">
      <c r="A986" t="s">
        <v>167</v>
      </c>
      <c r="B986" t="s">
        <v>4</v>
      </c>
      <c r="C986" t="s">
        <v>549</v>
      </c>
      <c r="D986" t="s">
        <v>550</v>
      </c>
      <c r="E986">
        <v>10014754</v>
      </c>
      <c r="F986" t="s">
        <v>552</v>
      </c>
      <c r="G986">
        <v>592581</v>
      </c>
      <c r="H986" s="184">
        <v>43920</v>
      </c>
      <c r="I986" s="184">
        <v>43945</v>
      </c>
      <c r="J986" t="s">
        <v>519</v>
      </c>
      <c r="K986">
        <v>60000</v>
      </c>
      <c r="L986" t="s">
        <v>363</v>
      </c>
    </row>
    <row r="987" spans="1:12" x14ac:dyDescent="0.4">
      <c r="A987" t="s">
        <v>167</v>
      </c>
      <c r="B987" t="s">
        <v>4</v>
      </c>
      <c r="C987" t="s">
        <v>549</v>
      </c>
      <c r="D987" t="s">
        <v>550</v>
      </c>
      <c r="E987">
        <v>10014754</v>
      </c>
      <c r="F987" t="s">
        <v>552</v>
      </c>
      <c r="G987">
        <v>592581</v>
      </c>
      <c r="H987" s="184">
        <v>43920</v>
      </c>
      <c r="I987" s="184">
        <v>43945</v>
      </c>
      <c r="J987" t="s">
        <v>519</v>
      </c>
      <c r="K987">
        <v>60000</v>
      </c>
      <c r="L987" t="s">
        <v>242</v>
      </c>
    </row>
    <row r="988" spans="1:12" x14ac:dyDescent="0.4">
      <c r="A988" t="s">
        <v>167</v>
      </c>
      <c r="B988" t="s">
        <v>4</v>
      </c>
      <c r="C988" t="s">
        <v>549</v>
      </c>
      <c r="D988" t="s">
        <v>550</v>
      </c>
      <c r="E988">
        <v>10014754</v>
      </c>
      <c r="F988" t="s">
        <v>552</v>
      </c>
      <c r="G988">
        <v>592581</v>
      </c>
      <c r="H988" s="184">
        <v>43920</v>
      </c>
      <c r="I988" s="184">
        <v>43945</v>
      </c>
      <c r="J988" t="s">
        <v>519</v>
      </c>
      <c r="K988">
        <v>60000</v>
      </c>
      <c r="L988" t="s">
        <v>312</v>
      </c>
    </row>
    <row r="989" spans="1:12" x14ac:dyDescent="0.4">
      <c r="A989" t="s">
        <v>167</v>
      </c>
      <c r="B989" t="s">
        <v>4</v>
      </c>
      <c r="C989" t="s">
        <v>549</v>
      </c>
      <c r="D989" t="s">
        <v>550</v>
      </c>
      <c r="E989">
        <v>10014754</v>
      </c>
      <c r="F989" t="s">
        <v>552</v>
      </c>
      <c r="G989">
        <v>592581</v>
      </c>
      <c r="H989" s="184">
        <v>43920</v>
      </c>
      <c r="I989" s="184">
        <v>43945</v>
      </c>
      <c r="J989" t="s">
        <v>519</v>
      </c>
      <c r="K989">
        <v>60000</v>
      </c>
      <c r="L989" t="s">
        <v>313</v>
      </c>
    </row>
    <row r="990" spans="1:12" x14ac:dyDescent="0.4">
      <c r="A990" t="s">
        <v>167</v>
      </c>
      <c r="B990" t="s">
        <v>4</v>
      </c>
      <c r="C990" t="s">
        <v>549</v>
      </c>
      <c r="D990" t="s">
        <v>550</v>
      </c>
      <c r="E990">
        <v>10014754</v>
      </c>
      <c r="F990" t="s">
        <v>552</v>
      </c>
      <c r="G990">
        <v>592581</v>
      </c>
      <c r="H990" s="184">
        <v>43920</v>
      </c>
      <c r="I990" s="184">
        <v>43945</v>
      </c>
      <c r="J990" t="s">
        <v>519</v>
      </c>
      <c r="K990">
        <v>60000</v>
      </c>
      <c r="L990" t="s">
        <v>314</v>
      </c>
    </row>
    <row r="991" spans="1:12" x14ac:dyDescent="0.4">
      <c r="A991" t="s">
        <v>167</v>
      </c>
      <c r="B991" t="s">
        <v>4</v>
      </c>
      <c r="C991" t="s">
        <v>549</v>
      </c>
      <c r="D991" t="s">
        <v>550</v>
      </c>
      <c r="E991">
        <v>10014754</v>
      </c>
      <c r="F991" t="s">
        <v>552</v>
      </c>
      <c r="G991">
        <v>592581</v>
      </c>
      <c r="H991" s="184">
        <v>43920</v>
      </c>
      <c r="I991" s="184">
        <v>43945</v>
      </c>
      <c r="J991" t="s">
        <v>519</v>
      </c>
      <c r="K991">
        <v>60000</v>
      </c>
      <c r="L991" t="s">
        <v>315</v>
      </c>
    </row>
    <row r="992" spans="1:12" x14ac:dyDescent="0.4">
      <c r="A992" t="s">
        <v>167</v>
      </c>
      <c r="B992" t="s">
        <v>4</v>
      </c>
      <c r="C992" t="s">
        <v>549</v>
      </c>
      <c r="D992" t="s">
        <v>550</v>
      </c>
      <c r="E992">
        <v>10018747</v>
      </c>
      <c r="F992" t="s">
        <v>553</v>
      </c>
      <c r="G992">
        <v>593513</v>
      </c>
      <c r="H992" s="184">
        <v>43980</v>
      </c>
      <c r="I992" s="184">
        <v>43994</v>
      </c>
      <c r="J992" t="s">
        <v>554</v>
      </c>
      <c r="K992">
        <v>60000</v>
      </c>
      <c r="L992" t="s">
        <v>353</v>
      </c>
    </row>
    <row r="993" spans="1:12" x14ac:dyDescent="0.4">
      <c r="A993" t="s">
        <v>167</v>
      </c>
      <c r="B993" t="s">
        <v>4</v>
      </c>
      <c r="C993" t="s">
        <v>549</v>
      </c>
      <c r="D993" t="s">
        <v>550</v>
      </c>
      <c r="E993">
        <v>10018747</v>
      </c>
      <c r="F993" t="s">
        <v>553</v>
      </c>
      <c r="G993">
        <v>593513</v>
      </c>
      <c r="H993" s="184">
        <v>43980</v>
      </c>
      <c r="I993" s="184">
        <v>43994</v>
      </c>
      <c r="J993" t="s">
        <v>554</v>
      </c>
      <c r="K993">
        <v>60000</v>
      </c>
      <c r="L993" t="s">
        <v>258</v>
      </c>
    </row>
    <row r="994" spans="1:12" x14ac:dyDescent="0.4">
      <c r="A994" t="s">
        <v>167</v>
      </c>
      <c r="B994" t="s">
        <v>4</v>
      </c>
      <c r="C994" t="s">
        <v>549</v>
      </c>
      <c r="D994" t="s">
        <v>550</v>
      </c>
      <c r="E994">
        <v>10018747</v>
      </c>
      <c r="F994" t="s">
        <v>553</v>
      </c>
      <c r="G994">
        <v>593513</v>
      </c>
      <c r="H994" s="184">
        <v>43980</v>
      </c>
      <c r="I994" s="184">
        <v>43994</v>
      </c>
      <c r="J994" t="s">
        <v>554</v>
      </c>
      <c r="K994">
        <v>60000</v>
      </c>
      <c r="L994" t="s">
        <v>327</v>
      </c>
    </row>
    <row r="995" spans="1:12" x14ac:dyDescent="0.4">
      <c r="A995" t="s">
        <v>167</v>
      </c>
      <c r="B995" t="s">
        <v>4</v>
      </c>
      <c r="C995" t="s">
        <v>549</v>
      </c>
      <c r="D995" t="s">
        <v>550</v>
      </c>
      <c r="E995">
        <v>10018747</v>
      </c>
      <c r="F995" t="s">
        <v>553</v>
      </c>
      <c r="G995">
        <v>593513</v>
      </c>
      <c r="H995" s="184">
        <v>43980</v>
      </c>
      <c r="I995" s="184">
        <v>43994</v>
      </c>
      <c r="J995" t="s">
        <v>554</v>
      </c>
      <c r="K995">
        <v>60000</v>
      </c>
      <c r="L995" t="s">
        <v>328</v>
      </c>
    </row>
    <row r="996" spans="1:12" x14ac:dyDescent="0.4">
      <c r="A996" t="s">
        <v>167</v>
      </c>
      <c r="B996" t="s">
        <v>4</v>
      </c>
      <c r="C996" t="s">
        <v>549</v>
      </c>
      <c r="D996" t="s">
        <v>550</v>
      </c>
      <c r="E996">
        <v>10018747</v>
      </c>
      <c r="F996" t="s">
        <v>553</v>
      </c>
      <c r="G996">
        <v>593513</v>
      </c>
      <c r="H996" s="184">
        <v>43980</v>
      </c>
      <c r="I996" s="184">
        <v>43994</v>
      </c>
      <c r="J996" t="s">
        <v>554</v>
      </c>
      <c r="K996">
        <v>60000</v>
      </c>
      <c r="L996" t="s">
        <v>329</v>
      </c>
    </row>
    <row r="997" spans="1:12" x14ac:dyDescent="0.4">
      <c r="A997" t="s">
        <v>167</v>
      </c>
      <c r="B997" t="s">
        <v>4</v>
      </c>
      <c r="C997" t="s">
        <v>549</v>
      </c>
      <c r="D997" t="s">
        <v>550</v>
      </c>
      <c r="E997">
        <v>10018747</v>
      </c>
      <c r="F997" t="s">
        <v>553</v>
      </c>
      <c r="G997">
        <v>593513</v>
      </c>
      <c r="H997" s="184">
        <v>43980</v>
      </c>
      <c r="I997" s="184">
        <v>43994</v>
      </c>
      <c r="J997" t="s">
        <v>554</v>
      </c>
      <c r="K997">
        <v>60000</v>
      </c>
      <c r="L997" t="s">
        <v>330</v>
      </c>
    </row>
    <row r="998" spans="1:12" x14ac:dyDescent="0.4">
      <c r="A998" t="s">
        <v>167</v>
      </c>
      <c r="B998" t="s">
        <v>4</v>
      </c>
      <c r="C998" t="s">
        <v>555</v>
      </c>
      <c r="D998" t="s">
        <v>556</v>
      </c>
      <c r="E998">
        <v>10023263</v>
      </c>
      <c r="F998" t="s">
        <v>557</v>
      </c>
      <c r="G998">
        <v>596098</v>
      </c>
      <c r="H998" s="184">
        <v>44165</v>
      </c>
      <c r="I998" s="184">
        <v>44165</v>
      </c>
      <c r="J998" t="s">
        <v>558</v>
      </c>
      <c r="K998">
        <v>60000</v>
      </c>
      <c r="L998" t="s">
        <v>196</v>
      </c>
    </row>
    <row r="999" spans="1:12" x14ac:dyDescent="0.4">
      <c r="A999" t="s">
        <v>167</v>
      </c>
      <c r="B999" t="s">
        <v>4</v>
      </c>
      <c r="C999" t="s">
        <v>555</v>
      </c>
      <c r="D999" t="s">
        <v>556</v>
      </c>
      <c r="E999">
        <v>10023263</v>
      </c>
      <c r="F999" t="s">
        <v>557</v>
      </c>
      <c r="G999">
        <v>596098</v>
      </c>
      <c r="H999" s="184">
        <v>44165</v>
      </c>
      <c r="I999" s="184">
        <v>44165</v>
      </c>
      <c r="J999" t="s">
        <v>558</v>
      </c>
      <c r="K999">
        <v>60000</v>
      </c>
      <c r="L999" t="s">
        <v>211</v>
      </c>
    </row>
    <row r="1000" spans="1:12" x14ac:dyDescent="0.4">
      <c r="A1000" t="s">
        <v>167</v>
      </c>
      <c r="B1000" t="s">
        <v>4</v>
      </c>
      <c r="C1000" t="s">
        <v>555</v>
      </c>
      <c r="D1000" t="s">
        <v>556</v>
      </c>
      <c r="E1000">
        <v>10023263</v>
      </c>
      <c r="F1000" t="s">
        <v>557</v>
      </c>
      <c r="G1000">
        <v>596098</v>
      </c>
      <c r="H1000" s="184">
        <v>44165</v>
      </c>
      <c r="I1000" s="184">
        <v>44165</v>
      </c>
      <c r="J1000" t="s">
        <v>558</v>
      </c>
      <c r="K1000">
        <v>60000</v>
      </c>
      <c r="L1000" t="s">
        <v>212</v>
      </c>
    </row>
    <row r="1001" spans="1:12" x14ac:dyDescent="0.4">
      <c r="A1001" t="s">
        <v>167</v>
      </c>
      <c r="B1001" t="s">
        <v>4</v>
      </c>
      <c r="C1001" t="s">
        <v>555</v>
      </c>
      <c r="D1001" t="s">
        <v>556</v>
      </c>
      <c r="E1001">
        <v>10023263</v>
      </c>
      <c r="F1001" t="s">
        <v>557</v>
      </c>
      <c r="G1001">
        <v>596098</v>
      </c>
      <c r="H1001" s="184">
        <v>44165</v>
      </c>
      <c r="I1001" s="184">
        <v>44165</v>
      </c>
      <c r="J1001" t="s">
        <v>558</v>
      </c>
      <c r="K1001">
        <v>60000</v>
      </c>
      <c r="L1001" t="s">
        <v>213</v>
      </c>
    </row>
    <row r="1002" spans="1:12" x14ac:dyDescent="0.4">
      <c r="A1002" t="s">
        <v>167</v>
      </c>
      <c r="B1002" t="s">
        <v>4</v>
      </c>
      <c r="C1002" t="s">
        <v>555</v>
      </c>
      <c r="D1002" t="s">
        <v>556</v>
      </c>
      <c r="E1002">
        <v>10023263</v>
      </c>
      <c r="F1002" t="s">
        <v>557</v>
      </c>
      <c r="G1002">
        <v>596098</v>
      </c>
      <c r="H1002" s="184">
        <v>44165</v>
      </c>
      <c r="I1002" s="184">
        <v>44165</v>
      </c>
      <c r="J1002" t="s">
        <v>558</v>
      </c>
      <c r="K1002">
        <v>60000</v>
      </c>
      <c r="L1002" t="s">
        <v>214</v>
      </c>
    </row>
    <row r="1003" spans="1:12" x14ac:dyDescent="0.4">
      <c r="A1003" t="s">
        <v>167</v>
      </c>
      <c r="B1003" t="s">
        <v>4</v>
      </c>
      <c r="C1003" t="s">
        <v>555</v>
      </c>
      <c r="D1003" t="s">
        <v>556</v>
      </c>
      <c r="E1003">
        <v>10023263</v>
      </c>
      <c r="F1003" t="s">
        <v>557</v>
      </c>
      <c r="G1003">
        <v>596098</v>
      </c>
      <c r="H1003" s="184">
        <v>44165</v>
      </c>
      <c r="I1003" s="184">
        <v>44165</v>
      </c>
      <c r="J1003" t="s">
        <v>558</v>
      </c>
      <c r="K1003">
        <v>60000</v>
      </c>
      <c r="L1003" t="s">
        <v>215</v>
      </c>
    </row>
    <row r="1004" spans="1:12" x14ac:dyDescent="0.4">
      <c r="A1004" t="s">
        <v>167</v>
      </c>
      <c r="B1004" t="s">
        <v>4</v>
      </c>
      <c r="C1004" t="s">
        <v>555</v>
      </c>
      <c r="D1004" t="s">
        <v>556</v>
      </c>
      <c r="E1004">
        <v>10023268</v>
      </c>
      <c r="F1004" t="s">
        <v>559</v>
      </c>
      <c r="G1004">
        <v>592657</v>
      </c>
      <c r="H1004" s="184">
        <v>43949</v>
      </c>
      <c r="I1004" s="184">
        <v>43949</v>
      </c>
      <c r="J1004" t="s">
        <v>560</v>
      </c>
      <c r="K1004">
        <v>60000</v>
      </c>
      <c r="L1004" t="s">
        <v>363</v>
      </c>
    </row>
    <row r="1005" spans="1:12" x14ac:dyDescent="0.4">
      <c r="A1005" t="s">
        <v>167</v>
      </c>
      <c r="B1005" t="s">
        <v>4</v>
      </c>
      <c r="C1005" t="s">
        <v>555</v>
      </c>
      <c r="D1005" t="s">
        <v>556</v>
      </c>
      <c r="E1005">
        <v>10023268</v>
      </c>
      <c r="F1005" t="s">
        <v>559</v>
      </c>
      <c r="G1005">
        <v>592657</v>
      </c>
      <c r="H1005" s="184">
        <v>43949</v>
      </c>
      <c r="I1005" s="184">
        <v>43949</v>
      </c>
      <c r="J1005" t="s">
        <v>560</v>
      </c>
      <c r="K1005">
        <v>60000</v>
      </c>
      <c r="L1005" t="s">
        <v>242</v>
      </c>
    </row>
    <row r="1006" spans="1:12" x14ac:dyDescent="0.4">
      <c r="A1006" t="s">
        <v>167</v>
      </c>
      <c r="B1006" t="s">
        <v>4</v>
      </c>
      <c r="C1006" t="s">
        <v>555</v>
      </c>
      <c r="D1006" t="s">
        <v>556</v>
      </c>
      <c r="E1006">
        <v>10023268</v>
      </c>
      <c r="F1006" t="s">
        <v>559</v>
      </c>
      <c r="G1006">
        <v>592657</v>
      </c>
      <c r="H1006" s="184">
        <v>43949</v>
      </c>
      <c r="I1006" s="184">
        <v>43949</v>
      </c>
      <c r="J1006" t="s">
        <v>560</v>
      </c>
      <c r="K1006">
        <v>60000</v>
      </c>
      <c r="L1006" t="s">
        <v>312</v>
      </c>
    </row>
    <row r="1007" spans="1:12" x14ac:dyDescent="0.4">
      <c r="A1007" t="s">
        <v>167</v>
      </c>
      <c r="B1007" t="s">
        <v>4</v>
      </c>
      <c r="C1007" t="s">
        <v>555</v>
      </c>
      <c r="D1007" t="s">
        <v>556</v>
      </c>
      <c r="E1007">
        <v>10023268</v>
      </c>
      <c r="F1007" t="s">
        <v>559</v>
      </c>
      <c r="G1007">
        <v>592657</v>
      </c>
      <c r="H1007" s="184">
        <v>43949</v>
      </c>
      <c r="I1007" s="184">
        <v>43949</v>
      </c>
      <c r="J1007" t="s">
        <v>560</v>
      </c>
      <c r="K1007">
        <v>60000</v>
      </c>
      <c r="L1007" t="s">
        <v>313</v>
      </c>
    </row>
    <row r="1008" spans="1:12" x14ac:dyDescent="0.4">
      <c r="A1008" t="s">
        <v>167</v>
      </c>
      <c r="B1008" t="s">
        <v>4</v>
      </c>
      <c r="C1008" t="s">
        <v>555</v>
      </c>
      <c r="D1008" t="s">
        <v>556</v>
      </c>
      <c r="E1008">
        <v>10023268</v>
      </c>
      <c r="F1008" t="s">
        <v>559</v>
      </c>
      <c r="G1008">
        <v>592657</v>
      </c>
      <c r="H1008" s="184">
        <v>43949</v>
      </c>
      <c r="I1008" s="184">
        <v>43949</v>
      </c>
      <c r="J1008" t="s">
        <v>560</v>
      </c>
      <c r="K1008">
        <v>60000</v>
      </c>
      <c r="L1008" t="s">
        <v>314</v>
      </c>
    </row>
    <row r="1009" spans="1:12" x14ac:dyDescent="0.4">
      <c r="A1009" t="s">
        <v>167</v>
      </c>
      <c r="B1009" t="s">
        <v>4</v>
      </c>
      <c r="C1009" t="s">
        <v>555</v>
      </c>
      <c r="D1009" t="s">
        <v>556</v>
      </c>
      <c r="E1009">
        <v>10023268</v>
      </c>
      <c r="F1009" t="s">
        <v>559</v>
      </c>
      <c r="G1009">
        <v>592657</v>
      </c>
      <c r="H1009" s="184">
        <v>43949</v>
      </c>
      <c r="I1009" s="184">
        <v>43949</v>
      </c>
      <c r="J1009" t="s">
        <v>560</v>
      </c>
      <c r="K1009">
        <v>60000</v>
      </c>
      <c r="L1009" t="s">
        <v>315</v>
      </c>
    </row>
    <row r="1010" spans="1:12" x14ac:dyDescent="0.4">
      <c r="A1010" t="s">
        <v>167</v>
      </c>
      <c r="B1010" t="s">
        <v>4</v>
      </c>
      <c r="C1010" t="s">
        <v>549</v>
      </c>
      <c r="D1010" t="s">
        <v>550</v>
      </c>
      <c r="E1010">
        <v>10024328</v>
      </c>
      <c r="F1010" t="s">
        <v>561</v>
      </c>
      <c r="G1010">
        <v>589566</v>
      </c>
      <c r="H1010" s="184">
        <v>43815</v>
      </c>
      <c r="I1010" s="184">
        <v>43816</v>
      </c>
      <c r="J1010" t="s">
        <v>562</v>
      </c>
      <c r="K1010">
        <v>60000</v>
      </c>
      <c r="L1010" t="s">
        <v>195</v>
      </c>
    </row>
    <row r="1011" spans="1:12" x14ac:dyDescent="0.4">
      <c r="A1011" t="s">
        <v>167</v>
      </c>
      <c r="B1011" t="s">
        <v>4</v>
      </c>
      <c r="C1011" t="s">
        <v>549</v>
      </c>
      <c r="D1011" t="s">
        <v>550</v>
      </c>
      <c r="E1011">
        <v>10024328</v>
      </c>
      <c r="F1011" t="s">
        <v>561</v>
      </c>
      <c r="G1011">
        <v>589566</v>
      </c>
      <c r="H1011" s="184">
        <v>43815</v>
      </c>
      <c r="I1011" s="184">
        <v>43816</v>
      </c>
      <c r="J1011" t="s">
        <v>562</v>
      </c>
      <c r="K1011">
        <v>60000</v>
      </c>
      <c r="L1011" t="s">
        <v>196</v>
      </c>
    </row>
    <row r="1012" spans="1:12" x14ac:dyDescent="0.4">
      <c r="A1012" t="s">
        <v>167</v>
      </c>
      <c r="B1012" t="s">
        <v>4</v>
      </c>
      <c r="C1012" t="s">
        <v>549</v>
      </c>
      <c r="D1012" t="s">
        <v>550</v>
      </c>
      <c r="E1012">
        <v>10024328</v>
      </c>
      <c r="F1012" t="s">
        <v>561</v>
      </c>
      <c r="G1012">
        <v>589566</v>
      </c>
      <c r="H1012" s="184">
        <v>43815</v>
      </c>
      <c r="I1012" s="184">
        <v>43816</v>
      </c>
      <c r="J1012" t="s">
        <v>562</v>
      </c>
      <c r="K1012">
        <v>60000</v>
      </c>
      <c r="L1012" t="s">
        <v>197</v>
      </c>
    </row>
    <row r="1013" spans="1:12" x14ac:dyDescent="0.4">
      <c r="A1013" t="s">
        <v>167</v>
      </c>
      <c r="B1013" t="s">
        <v>4</v>
      </c>
      <c r="C1013" t="s">
        <v>549</v>
      </c>
      <c r="D1013" t="s">
        <v>550</v>
      </c>
      <c r="E1013">
        <v>10024328</v>
      </c>
      <c r="F1013" t="s">
        <v>561</v>
      </c>
      <c r="G1013">
        <v>589566</v>
      </c>
      <c r="H1013" s="184">
        <v>43815</v>
      </c>
      <c r="I1013" s="184">
        <v>43816</v>
      </c>
      <c r="J1013" t="s">
        <v>562</v>
      </c>
      <c r="K1013">
        <v>60000</v>
      </c>
      <c r="L1013" t="s">
        <v>198</v>
      </c>
    </row>
    <row r="1014" spans="1:12" x14ac:dyDescent="0.4">
      <c r="A1014" t="s">
        <v>167</v>
      </c>
      <c r="B1014" t="s">
        <v>4</v>
      </c>
      <c r="C1014" t="s">
        <v>549</v>
      </c>
      <c r="D1014" t="s">
        <v>550</v>
      </c>
      <c r="E1014">
        <v>10024328</v>
      </c>
      <c r="F1014" t="s">
        <v>561</v>
      </c>
      <c r="G1014">
        <v>589566</v>
      </c>
      <c r="H1014" s="184">
        <v>43815</v>
      </c>
      <c r="I1014" s="184">
        <v>43816</v>
      </c>
      <c r="J1014" t="s">
        <v>562</v>
      </c>
      <c r="K1014">
        <v>60000</v>
      </c>
      <c r="L1014" t="s">
        <v>199</v>
      </c>
    </row>
    <row r="1015" spans="1:12" x14ac:dyDescent="0.4">
      <c r="A1015" t="s">
        <v>167</v>
      </c>
      <c r="B1015" t="s">
        <v>4</v>
      </c>
      <c r="C1015" t="s">
        <v>549</v>
      </c>
      <c r="D1015" t="s">
        <v>550</v>
      </c>
      <c r="E1015">
        <v>10024328</v>
      </c>
      <c r="F1015" t="s">
        <v>561</v>
      </c>
      <c r="G1015">
        <v>589566</v>
      </c>
      <c r="H1015" s="184">
        <v>43815</v>
      </c>
      <c r="I1015" s="184">
        <v>43816</v>
      </c>
      <c r="J1015" t="s">
        <v>562</v>
      </c>
      <c r="K1015">
        <v>60000</v>
      </c>
      <c r="L1015" t="s">
        <v>200</v>
      </c>
    </row>
    <row r="1016" spans="1:12" x14ac:dyDescent="0.4">
      <c r="A1016" t="s">
        <v>167</v>
      </c>
      <c r="B1016" t="s">
        <v>4</v>
      </c>
      <c r="C1016" t="s">
        <v>549</v>
      </c>
      <c r="D1016" t="s">
        <v>550</v>
      </c>
      <c r="E1016">
        <v>10036436</v>
      </c>
      <c r="F1016" t="s">
        <v>563</v>
      </c>
      <c r="G1016">
        <v>591718</v>
      </c>
      <c r="H1016" s="184">
        <v>43900</v>
      </c>
      <c r="I1016" s="184">
        <v>43917</v>
      </c>
      <c r="J1016" t="s">
        <v>564</v>
      </c>
      <c r="K1016">
        <v>60000</v>
      </c>
      <c r="L1016" t="s">
        <v>281</v>
      </c>
    </row>
    <row r="1017" spans="1:12" x14ac:dyDescent="0.4">
      <c r="A1017" t="s">
        <v>167</v>
      </c>
      <c r="B1017" t="s">
        <v>4</v>
      </c>
      <c r="C1017" t="s">
        <v>549</v>
      </c>
      <c r="D1017" t="s">
        <v>550</v>
      </c>
      <c r="E1017">
        <v>10036436</v>
      </c>
      <c r="F1017" t="s">
        <v>563</v>
      </c>
      <c r="G1017">
        <v>591718</v>
      </c>
      <c r="H1017" s="184">
        <v>43900</v>
      </c>
      <c r="I1017" s="184">
        <v>43917</v>
      </c>
      <c r="J1017" t="s">
        <v>564</v>
      </c>
      <c r="K1017">
        <v>60000</v>
      </c>
      <c r="L1017" t="s">
        <v>230</v>
      </c>
    </row>
    <row r="1018" spans="1:12" x14ac:dyDescent="0.4">
      <c r="A1018" t="s">
        <v>167</v>
      </c>
      <c r="B1018" t="s">
        <v>4</v>
      </c>
      <c r="C1018" t="s">
        <v>549</v>
      </c>
      <c r="D1018" t="s">
        <v>550</v>
      </c>
      <c r="E1018">
        <v>10036436</v>
      </c>
      <c r="F1018" t="s">
        <v>563</v>
      </c>
      <c r="G1018">
        <v>591718</v>
      </c>
      <c r="H1018" s="184">
        <v>43900</v>
      </c>
      <c r="I1018" s="184">
        <v>43917</v>
      </c>
      <c r="J1018" t="s">
        <v>564</v>
      </c>
      <c r="K1018">
        <v>60000</v>
      </c>
      <c r="L1018" t="s">
        <v>243</v>
      </c>
    </row>
    <row r="1019" spans="1:12" x14ac:dyDescent="0.4">
      <c r="A1019" t="s">
        <v>167</v>
      </c>
      <c r="B1019" t="s">
        <v>4</v>
      </c>
      <c r="C1019" t="s">
        <v>549</v>
      </c>
      <c r="D1019" t="s">
        <v>550</v>
      </c>
      <c r="E1019">
        <v>10036436</v>
      </c>
      <c r="F1019" t="s">
        <v>563</v>
      </c>
      <c r="G1019">
        <v>591718</v>
      </c>
      <c r="H1019" s="184">
        <v>43900</v>
      </c>
      <c r="I1019" s="184">
        <v>43917</v>
      </c>
      <c r="J1019" t="s">
        <v>564</v>
      </c>
      <c r="K1019">
        <v>60000</v>
      </c>
      <c r="L1019" t="s">
        <v>244</v>
      </c>
    </row>
    <row r="1020" spans="1:12" x14ac:dyDescent="0.4">
      <c r="A1020" t="s">
        <v>167</v>
      </c>
      <c r="B1020" t="s">
        <v>4</v>
      </c>
      <c r="C1020" t="s">
        <v>549</v>
      </c>
      <c r="D1020" t="s">
        <v>550</v>
      </c>
      <c r="E1020">
        <v>10036436</v>
      </c>
      <c r="F1020" t="s">
        <v>563</v>
      </c>
      <c r="G1020">
        <v>591718</v>
      </c>
      <c r="H1020" s="184">
        <v>43900</v>
      </c>
      <c r="I1020" s="184">
        <v>43917</v>
      </c>
      <c r="J1020" t="s">
        <v>564</v>
      </c>
      <c r="K1020">
        <v>60000</v>
      </c>
      <c r="L1020" t="s">
        <v>245</v>
      </c>
    </row>
    <row r="1021" spans="1:12" x14ac:dyDescent="0.4">
      <c r="A1021" t="s">
        <v>167</v>
      </c>
      <c r="B1021" t="s">
        <v>4</v>
      </c>
      <c r="C1021" t="s">
        <v>549</v>
      </c>
      <c r="D1021" t="s">
        <v>550</v>
      </c>
      <c r="E1021">
        <v>10036436</v>
      </c>
      <c r="F1021" t="s">
        <v>563</v>
      </c>
      <c r="G1021">
        <v>591718</v>
      </c>
      <c r="H1021" s="184">
        <v>43900</v>
      </c>
      <c r="I1021" s="184">
        <v>43917</v>
      </c>
      <c r="J1021" t="s">
        <v>564</v>
      </c>
      <c r="K1021">
        <v>60000</v>
      </c>
      <c r="L1021" t="s">
        <v>246</v>
      </c>
    </row>
    <row r="1022" spans="1:12" x14ac:dyDescent="0.4">
      <c r="A1022" t="s">
        <v>167</v>
      </c>
      <c r="B1022" t="s">
        <v>4</v>
      </c>
      <c r="C1022" t="s">
        <v>549</v>
      </c>
      <c r="D1022" t="s">
        <v>550</v>
      </c>
      <c r="E1022">
        <v>10037862</v>
      </c>
      <c r="F1022" t="s">
        <v>565</v>
      </c>
      <c r="G1022">
        <v>590797</v>
      </c>
      <c r="H1022" s="184">
        <v>43879</v>
      </c>
      <c r="I1022" s="184">
        <v>43880</v>
      </c>
      <c r="J1022" t="s">
        <v>566</v>
      </c>
      <c r="K1022">
        <v>60000</v>
      </c>
      <c r="L1022" t="s">
        <v>275</v>
      </c>
    </row>
    <row r="1023" spans="1:12" x14ac:dyDescent="0.4">
      <c r="A1023" t="s">
        <v>167</v>
      </c>
      <c r="B1023" t="s">
        <v>4</v>
      </c>
      <c r="C1023" t="s">
        <v>549</v>
      </c>
      <c r="D1023" t="s">
        <v>550</v>
      </c>
      <c r="E1023">
        <v>10037862</v>
      </c>
      <c r="F1023" t="s">
        <v>565</v>
      </c>
      <c r="G1023">
        <v>590797</v>
      </c>
      <c r="H1023" s="184">
        <v>43879</v>
      </c>
      <c r="I1023" s="184">
        <v>43880</v>
      </c>
      <c r="J1023" t="s">
        <v>566</v>
      </c>
      <c r="K1023">
        <v>60000</v>
      </c>
      <c r="L1023" t="s">
        <v>238</v>
      </c>
    </row>
    <row r="1024" spans="1:12" x14ac:dyDescent="0.4">
      <c r="A1024" t="s">
        <v>167</v>
      </c>
      <c r="B1024" t="s">
        <v>4</v>
      </c>
      <c r="C1024" t="s">
        <v>549</v>
      </c>
      <c r="D1024" t="s">
        <v>550</v>
      </c>
      <c r="E1024">
        <v>10037862</v>
      </c>
      <c r="F1024" t="s">
        <v>565</v>
      </c>
      <c r="G1024">
        <v>590797</v>
      </c>
      <c r="H1024" s="184">
        <v>43879</v>
      </c>
      <c r="I1024" s="184">
        <v>43880</v>
      </c>
      <c r="J1024" t="s">
        <v>566</v>
      </c>
      <c r="K1024">
        <v>60000</v>
      </c>
      <c r="L1024" t="s">
        <v>231</v>
      </c>
    </row>
    <row r="1025" spans="1:12" x14ac:dyDescent="0.4">
      <c r="A1025" t="s">
        <v>167</v>
      </c>
      <c r="B1025" t="s">
        <v>4</v>
      </c>
      <c r="C1025" t="s">
        <v>549</v>
      </c>
      <c r="D1025" t="s">
        <v>550</v>
      </c>
      <c r="E1025">
        <v>10037862</v>
      </c>
      <c r="F1025" t="s">
        <v>565</v>
      </c>
      <c r="G1025">
        <v>590797</v>
      </c>
      <c r="H1025" s="184">
        <v>43879</v>
      </c>
      <c r="I1025" s="184">
        <v>43880</v>
      </c>
      <c r="J1025" t="s">
        <v>566</v>
      </c>
      <c r="K1025">
        <v>60000</v>
      </c>
      <c r="L1025" t="s">
        <v>232</v>
      </c>
    </row>
    <row r="1026" spans="1:12" x14ac:dyDescent="0.4">
      <c r="A1026" t="s">
        <v>167</v>
      </c>
      <c r="B1026" t="s">
        <v>4</v>
      </c>
      <c r="C1026" t="s">
        <v>549</v>
      </c>
      <c r="D1026" t="s">
        <v>550</v>
      </c>
      <c r="E1026">
        <v>10037862</v>
      </c>
      <c r="F1026" t="s">
        <v>565</v>
      </c>
      <c r="G1026">
        <v>590797</v>
      </c>
      <c r="H1026" s="184">
        <v>43879</v>
      </c>
      <c r="I1026" s="184">
        <v>43880</v>
      </c>
      <c r="J1026" t="s">
        <v>566</v>
      </c>
      <c r="K1026">
        <v>60000</v>
      </c>
      <c r="L1026" t="s">
        <v>233</v>
      </c>
    </row>
    <row r="1027" spans="1:12" x14ac:dyDescent="0.4">
      <c r="A1027" t="s">
        <v>167</v>
      </c>
      <c r="B1027" t="s">
        <v>4</v>
      </c>
      <c r="C1027" t="s">
        <v>549</v>
      </c>
      <c r="D1027" t="s">
        <v>550</v>
      </c>
      <c r="E1027">
        <v>10037862</v>
      </c>
      <c r="F1027" t="s">
        <v>565</v>
      </c>
      <c r="G1027">
        <v>590797</v>
      </c>
      <c r="H1027" s="184">
        <v>43879</v>
      </c>
      <c r="I1027" s="184">
        <v>43880</v>
      </c>
      <c r="J1027" t="s">
        <v>566</v>
      </c>
      <c r="K1027">
        <v>60000</v>
      </c>
      <c r="L1027" t="s">
        <v>234</v>
      </c>
    </row>
    <row r="1028" spans="1:12" x14ac:dyDescent="0.4">
      <c r="A1028" t="s">
        <v>167</v>
      </c>
      <c r="B1028" t="s">
        <v>4</v>
      </c>
      <c r="C1028" t="s">
        <v>555</v>
      </c>
      <c r="D1028" t="s">
        <v>556</v>
      </c>
      <c r="E1028">
        <v>10039615</v>
      </c>
      <c r="F1028" t="s">
        <v>567</v>
      </c>
      <c r="G1028">
        <v>595273</v>
      </c>
      <c r="H1028" s="184">
        <v>44104</v>
      </c>
      <c r="I1028" s="184">
        <v>44104</v>
      </c>
      <c r="J1028" t="s">
        <v>289</v>
      </c>
      <c r="K1028">
        <v>60000</v>
      </c>
      <c r="L1028" t="s">
        <v>290</v>
      </c>
    </row>
    <row r="1029" spans="1:12" x14ac:dyDescent="0.4">
      <c r="A1029" t="s">
        <v>167</v>
      </c>
      <c r="B1029" t="s">
        <v>4</v>
      </c>
      <c r="C1029" t="s">
        <v>555</v>
      </c>
      <c r="D1029" t="s">
        <v>556</v>
      </c>
      <c r="E1029">
        <v>10039615</v>
      </c>
      <c r="F1029" t="s">
        <v>567</v>
      </c>
      <c r="G1029">
        <v>595273</v>
      </c>
      <c r="H1029" s="184">
        <v>44104</v>
      </c>
      <c r="I1029" s="184">
        <v>44104</v>
      </c>
      <c r="J1029" t="s">
        <v>289</v>
      </c>
      <c r="K1029">
        <v>60000</v>
      </c>
      <c r="L1029" t="s">
        <v>291</v>
      </c>
    </row>
    <row r="1030" spans="1:12" x14ac:dyDescent="0.4">
      <c r="A1030" t="s">
        <v>167</v>
      </c>
      <c r="B1030" t="s">
        <v>4</v>
      </c>
      <c r="C1030" t="s">
        <v>555</v>
      </c>
      <c r="D1030" t="s">
        <v>556</v>
      </c>
      <c r="E1030">
        <v>10039615</v>
      </c>
      <c r="F1030" t="s">
        <v>567</v>
      </c>
      <c r="G1030">
        <v>595273</v>
      </c>
      <c r="H1030" s="184">
        <v>44104</v>
      </c>
      <c r="I1030" s="184">
        <v>44104</v>
      </c>
      <c r="J1030" t="s">
        <v>289</v>
      </c>
      <c r="K1030">
        <v>60000</v>
      </c>
      <c r="L1030" t="s">
        <v>292</v>
      </c>
    </row>
    <row r="1031" spans="1:12" x14ac:dyDescent="0.4">
      <c r="A1031" t="s">
        <v>167</v>
      </c>
      <c r="B1031" t="s">
        <v>4</v>
      </c>
      <c r="C1031" t="s">
        <v>555</v>
      </c>
      <c r="D1031" t="s">
        <v>556</v>
      </c>
      <c r="E1031">
        <v>10039615</v>
      </c>
      <c r="F1031" t="s">
        <v>567</v>
      </c>
      <c r="G1031">
        <v>595273</v>
      </c>
      <c r="H1031" s="184">
        <v>44104</v>
      </c>
      <c r="I1031" s="184">
        <v>44104</v>
      </c>
      <c r="J1031" t="s">
        <v>289</v>
      </c>
      <c r="K1031">
        <v>60000</v>
      </c>
      <c r="L1031" t="s">
        <v>293</v>
      </c>
    </row>
    <row r="1032" spans="1:12" x14ac:dyDescent="0.4">
      <c r="A1032" t="s">
        <v>167</v>
      </c>
      <c r="B1032" t="s">
        <v>4</v>
      </c>
      <c r="C1032" t="s">
        <v>555</v>
      </c>
      <c r="D1032" t="s">
        <v>556</v>
      </c>
      <c r="E1032">
        <v>10039615</v>
      </c>
      <c r="F1032" t="s">
        <v>567</v>
      </c>
      <c r="G1032">
        <v>595273</v>
      </c>
      <c r="H1032" s="184">
        <v>44104</v>
      </c>
      <c r="I1032" s="184">
        <v>44104</v>
      </c>
      <c r="J1032" t="s">
        <v>289</v>
      </c>
      <c r="K1032">
        <v>60000</v>
      </c>
      <c r="L1032" t="s">
        <v>294</v>
      </c>
    </row>
    <row r="1033" spans="1:12" x14ac:dyDescent="0.4">
      <c r="A1033" t="s">
        <v>167</v>
      </c>
      <c r="B1033" t="s">
        <v>4</v>
      </c>
      <c r="C1033" t="s">
        <v>555</v>
      </c>
      <c r="D1033" t="s">
        <v>556</v>
      </c>
      <c r="E1033">
        <v>10039615</v>
      </c>
      <c r="F1033" t="s">
        <v>567</v>
      </c>
      <c r="G1033">
        <v>595273</v>
      </c>
      <c r="H1033" s="184">
        <v>44104</v>
      </c>
      <c r="I1033" s="184">
        <v>44104</v>
      </c>
      <c r="J1033" t="s">
        <v>289</v>
      </c>
      <c r="K1033">
        <v>60000</v>
      </c>
      <c r="L1033" t="s">
        <v>295</v>
      </c>
    </row>
    <row r="1034" spans="1:12" x14ac:dyDescent="0.4">
      <c r="A1034" t="s">
        <v>167</v>
      </c>
      <c r="B1034" t="s">
        <v>4</v>
      </c>
      <c r="C1034" t="s">
        <v>549</v>
      </c>
      <c r="D1034" t="s">
        <v>550</v>
      </c>
      <c r="E1034">
        <v>10040308</v>
      </c>
      <c r="F1034" t="s">
        <v>568</v>
      </c>
      <c r="G1034">
        <v>593844</v>
      </c>
      <c r="H1034" s="184">
        <v>44011</v>
      </c>
      <c r="I1034" s="184">
        <v>44012</v>
      </c>
      <c r="J1034" t="s">
        <v>569</v>
      </c>
      <c r="K1034">
        <v>60000</v>
      </c>
      <c r="L1034" t="s">
        <v>353</v>
      </c>
    </row>
    <row r="1035" spans="1:12" x14ac:dyDescent="0.4">
      <c r="A1035" t="s">
        <v>167</v>
      </c>
      <c r="B1035" t="s">
        <v>4</v>
      </c>
      <c r="C1035" t="s">
        <v>549</v>
      </c>
      <c r="D1035" t="s">
        <v>550</v>
      </c>
      <c r="E1035">
        <v>10040308</v>
      </c>
      <c r="F1035" t="s">
        <v>568</v>
      </c>
      <c r="G1035">
        <v>593844</v>
      </c>
      <c r="H1035" s="184">
        <v>44011</v>
      </c>
      <c r="I1035" s="184">
        <v>44012</v>
      </c>
      <c r="J1035" t="s">
        <v>569</v>
      </c>
      <c r="K1035">
        <v>60000</v>
      </c>
      <c r="L1035" t="s">
        <v>258</v>
      </c>
    </row>
    <row r="1036" spans="1:12" x14ac:dyDescent="0.4">
      <c r="A1036" t="s">
        <v>167</v>
      </c>
      <c r="B1036" t="s">
        <v>4</v>
      </c>
      <c r="C1036" t="s">
        <v>549</v>
      </c>
      <c r="D1036" t="s">
        <v>550</v>
      </c>
      <c r="E1036">
        <v>10040308</v>
      </c>
      <c r="F1036" t="s">
        <v>568</v>
      </c>
      <c r="G1036">
        <v>593844</v>
      </c>
      <c r="H1036" s="184">
        <v>44011</v>
      </c>
      <c r="I1036" s="184">
        <v>44012</v>
      </c>
      <c r="J1036" t="s">
        <v>569</v>
      </c>
      <c r="K1036">
        <v>60000</v>
      </c>
      <c r="L1036" t="s">
        <v>327</v>
      </c>
    </row>
    <row r="1037" spans="1:12" x14ac:dyDescent="0.4">
      <c r="A1037" t="s">
        <v>167</v>
      </c>
      <c r="B1037" t="s">
        <v>4</v>
      </c>
      <c r="C1037" t="s">
        <v>549</v>
      </c>
      <c r="D1037" t="s">
        <v>550</v>
      </c>
      <c r="E1037">
        <v>10040308</v>
      </c>
      <c r="F1037" t="s">
        <v>568</v>
      </c>
      <c r="G1037">
        <v>593844</v>
      </c>
      <c r="H1037" s="184">
        <v>44011</v>
      </c>
      <c r="I1037" s="184">
        <v>44012</v>
      </c>
      <c r="J1037" t="s">
        <v>569</v>
      </c>
      <c r="K1037">
        <v>60000</v>
      </c>
      <c r="L1037" t="s">
        <v>328</v>
      </c>
    </row>
    <row r="1038" spans="1:12" x14ac:dyDescent="0.4">
      <c r="A1038" t="s">
        <v>167</v>
      </c>
      <c r="B1038" t="s">
        <v>4</v>
      </c>
      <c r="C1038" t="s">
        <v>549</v>
      </c>
      <c r="D1038" t="s">
        <v>550</v>
      </c>
      <c r="E1038">
        <v>10040308</v>
      </c>
      <c r="F1038" t="s">
        <v>568</v>
      </c>
      <c r="G1038">
        <v>593844</v>
      </c>
      <c r="H1038" s="184">
        <v>44011</v>
      </c>
      <c r="I1038" s="184">
        <v>44012</v>
      </c>
      <c r="J1038" t="s">
        <v>569</v>
      </c>
      <c r="K1038">
        <v>60000</v>
      </c>
      <c r="L1038" t="s">
        <v>329</v>
      </c>
    </row>
    <row r="1039" spans="1:12" x14ac:dyDescent="0.4">
      <c r="A1039" t="s">
        <v>167</v>
      </c>
      <c r="B1039" t="s">
        <v>4</v>
      </c>
      <c r="C1039" t="s">
        <v>549</v>
      </c>
      <c r="D1039" t="s">
        <v>550</v>
      </c>
      <c r="E1039">
        <v>10040308</v>
      </c>
      <c r="F1039" t="s">
        <v>568</v>
      </c>
      <c r="G1039">
        <v>593844</v>
      </c>
      <c r="H1039" s="184">
        <v>44011</v>
      </c>
      <c r="I1039" s="184">
        <v>44012</v>
      </c>
      <c r="J1039" t="s">
        <v>569</v>
      </c>
      <c r="K1039">
        <v>60000</v>
      </c>
      <c r="L1039" t="s">
        <v>330</v>
      </c>
    </row>
    <row r="1040" spans="1:12" x14ac:dyDescent="0.4">
      <c r="A1040" t="s">
        <v>167</v>
      </c>
      <c r="B1040" t="s">
        <v>4</v>
      </c>
      <c r="C1040" t="s">
        <v>549</v>
      </c>
      <c r="D1040" t="s">
        <v>550</v>
      </c>
      <c r="E1040">
        <v>10040843</v>
      </c>
      <c r="F1040" t="s">
        <v>570</v>
      </c>
      <c r="G1040">
        <v>596246</v>
      </c>
      <c r="H1040" s="184">
        <v>44180</v>
      </c>
      <c r="I1040" s="184">
        <v>44182</v>
      </c>
      <c r="J1040" t="s">
        <v>571</v>
      </c>
      <c r="K1040">
        <v>60000</v>
      </c>
      <c r="L1040" t="s">
        <v>186</v>
      </c>
    </row>
    <row r="1041" spans="1:12" x14ac:dyDescent="0.4">
      <c r="A1041" t="s">
        <v>167</v>
      </c>
      <c r="B1041" t="s">
        <v>4</v>
      </c>
      <c r="C1041" t="s">
        <v>549</v>
      </c>
      <c r="D1041" t="s">
        <v>550</v>
      </c>
      <c r="E1041">
        <v>10040843</v>
      </c>
      <c r="F1041" t="s">
        <v>570</v>
      </c>
      <c r="G1041">
        <v>596246</v>
      </c>
      <c r="H1041" s="184">
        <v>44180</v>
      </c>
      <c r="I1041" s="184">
        <v>44182</v>
      </c>
      <c r="J1041" t="s">
        <v>571</v>
      </c>
      <c r="K1041">
        <v>60000</v>
      </c>
      <c r="L1041" t="s">
        <v>197</v>
      </c>
    </row>
    <row r="1042" spans="1:12" x14ac:dyDescent="0.4">
      <c r="A1042" t="s">
        <v>167</v>
      </c>
      <c r="B1042" t="s">
        <v>4</v>
      </c>
      <c r="C1042" t="s">
        <v>549</v>
      </c>
      <c r="D1042" t="s">
        <v>550</v>
      </c>
      <c r="E1042">
        <v>10040843</v>
      </c>
      <c r="F1042" t="s">
        <v>570</v>
      </c>
      <c r="G1042">
        <v>596246</v>
      </c>
      <c r="H1042" s="184">
        <v>44180</v>
      </c>
      <c r="I1042" s="184">
        <v>44182</v>
      </c>
      <c r="J1042" t="s">
        <v>571</v>
      </c>
      <c r="K1042">
        <v>60000</v>
      </c>
      <c r="L1042" t="s">
        <v>198</v>
      </c>
    </row>
    <row r="1043" spans="1:12" x14ac:dyDescent="0.4">
      <c r="A1043" t="s">
        <v>167</v>
      </c>
      <c r="B1043" t="s">
        <v>4</v>
      </c>
      <c r="C1043" t="s">
        <v>549</v>
      </c>
      <c r="D1043" t="s">
        <v>550</v>
      </c>
      <c r="E1043">
        <v>10040843</v>
      </c>
      <c r="F1043" t="s">
        <v>570</v>
      </c>
      <c r="G1043">
        <v>596246</v>
      </c>
      <c r="H1043" s="184">
        <v>44180</v>
      </c>
      <c r="I1043" s="184">
        <v>44182</v>
      </c>
      <c r="J1043" t="s">
        <v>571</v>
      </c>
      <c r="K1043">
        <v>60000</v>
      </c>
      <c r="L1043" t="s">
        <v>199</v>
      </c>
    </row>
    <row r="1044" spans="1:12" x14ac:dyDescent="0.4">
      <c r="A1044" t="s">
        <v>167</v>
      </c>
      <c r="B1044" t="s">
        <v>4</v>
      </c>
      <c r="C1044" t="s">
        <v>549</v>
      </c>
      <c r="D1044" t="s">
        <v>550</v>
      </c>
      <c r="E1044">
        <v>10040843</v>
      </c>
      <c r="F1044" t="s">
        <v>570</v>
      </c>
      <c r="G1044">
        <v>596246</v>
      </c>
      <c r="H1044" s="184">
        <v>44180</v>
      </c>
      <c r="I1044" s="184">
        <v>44182</v>
      </c>
      <c r="J1044" t="s">
        <v>571</v>
      </c>
      <c r="K1044">
        <v>60000</v>
      </c>
      <c r="L1044" t="s">
        <v>200</v>
      </c>
    </row>
    <row r="1045" spans="1:12" x14ac:dyDescent="0.4">
      <c r="A1045" t="s">
        <v>167</v>
      </c>
      <c r="B1045" t="s">
        <v>4</v>
      </c>
      <c r="C1045" t="s">
        <v>549</v>
      </c>
      <c r="D1045" t="s">
        <v>550</v>
      </c>
      <c r="E1045">
        <v>10040843</v>
      </c>
      <c r="F1045" t="s">
        <v>570</v>
      </c>
      <c r="G1045">
        <v>596246</v>
      </c>
      <c r="H1045" s="184">
        <v>44180</v>
      </c>
      <c r="I1045" s="184">
        <v>44182</v>
      </c>
      <c r="J1045" t="s">
        <v>571</v>
      </c>
      <c r="K1045">
        <v>60000</v>
      </c>
      <c r="L1045" t="s">
        <v>302</v>
      </c>
    </row>
    <row r="1046" spans="1:12" x14ac:dyDescent="0.4">
      <c r="A1046" t="s">
        <v>167</v>
      </c>
      <c r="B1046" t="s">
        <v>4</v>
      </c>
      <c r="C1046" t="s">
        <v>549</v>
      </c>
      <c r="D1046" t="s">
        <v>550</v>
      </c>
      <c r="E1046">
        <v>10043213</v>
      </c>
      <c r="F1046" t="s">
        <v>572</v>
      </c>
      <c r="G1046">
        <v>594129</v>
      </c>
      <c r="H1046" s="184">
        <v>44029</v>
      </c>
      <c r="I1046" s="184">
        <v>44047</v>
      </c>
      <c r="J1046" t="s">
        <v>573</v>
      </c>
      <c r="K1046">
        <v>60000</v>
      </c>
      <c r="L1046" t="s">
        <v>203</v>
      </c>
    </row>
    <row r="1047" spans="1:12" x14ac:dyDescent="0.4">
      <c r="A1047" t="s">
        <v>167</v>
      </c>
      <c r="B1047" t="s">
        <v>4</v>
      </c>
      <c r="C1047" t="s">
        <v>549</v>
      </c>
      <c r="D1047" t="s">
        <v>550</v>
      </c>
      <c r="E1047">
        <v>10043213</v>
      </c>
      <c r="F1047" t="s">
        <v>572</v>
      </c>
      <c r="G1047">
        <v>594129</v>
      </c>
      <c r="H1047" s="184">
        <v>44029</v>
      </c>
      <c r="I1047" s="184">
        <v>44047</v>
      </c>
      <c r="J1047" t="s">
        <v>573</v>
      </c>
      <c r="K1047">
        <v>60000</v>
      </c>
      <c r="L1047" t="s">
        <v>204</v>
      </c>
    </row>
    <row r="1048" spans="1:12" x14ac:dyDescent="0.4">
      <c r="A1048" t="s">
        <v>167</v>
      </c>
      <c r="B1048" t="s">
        <v>4</v>
      </c>
      <c r="C1048" t="s">
        <v>549</v>
      </c>
      <c r="D1048" t="s">
        <v>550</v>
      </c>
      <c r="E1048">
        <v>10043213</v>
      </c>
      <c r="F1048" t="s">
        <v>572</v>
      </c>
      <c r="G1048">
        <v>594129</v>
      </c>
      <c r="H1048" s="184">
        <v>44029</v>
      </c>
      <c r="I1048" s="184">
        <v>44047</v>
      </c>
      <c r="J1048" t="s">
        <v>573</v>
      </c>
      <c r="K1048">
        <v>60000</v>
      </c>
      <c r="L1048" t="s">
        <v>205</v>
      </c>
    </row>
    <row r="1049" spans="1:12" x14ac:dyDescent="0.4">
      <c r="A1049" t="s">
        <v>167</v>
      </c>
      <c r="B1049" t="s">
        <v>4</v>
      </c>
      <c r="C1049" t="s">
        <v>549</v>
      </c>
      <c r="D1049" t="s">
        <v>550</v>
      </c>
      <c r="E1049">
        <v>10043213</v>
      </c>
      <c r="F1049" t="s">
        <v>572</v>
      </c>
      <c r="G1049">
        <v>594129</v>
      </c>
      <c r="H1049" s="184">
        <v>44029</v>
      </c>
      <c r="I1049" s="184">
        <v>44047</v>
      </c>
      <c r="J1049" t="s">
        <v>573</v>
      </c>
      <c r="K1049">
        <v>60000</v>
      </c>
      <c r="L1049" t="s">
        <v>206</v>
      </c>
    </row>
    <row r="1050" spans="1:12" x14ac:dyDescent="0.4">
      <c r="A1050" t="s">
        <v>167</v>
      </c>
      <c r="B1050" t="s">
        <v>4</v>
      </c>
      <c r="C1050" t="s">
        <v>549</v>
      </c>
      <c r="D1050" t="s">
        <v>550</v>
      </c>
      <c r="E1050">
        <v>10043213</v>
      </c>
      <c r="F1050" t="s">
        <v>572</v>
      </c>
      <c r="G1050">
        <v>594129</v>
      </c>
      <c r="H1050" s="184">
        <v>44029</v>
      </c>
      <c r="I1050" s="184">
        <v>44047</v>
      </c>
      <c r="J1050" t="s">
        <v>573</v>
      </c>
      <c r="K1050">
        <v>60000</v>
      </c>
      <c r="L1050" t="s">
        <v>207</v>
      </c>
    </row>
    <row r="1051" spans="1:12" x14ac:dyDescent="0.4">
      <c r="A1051" t="s">
        <v>167</v>
      </c>
      <c r="B1051" t="s">
        <v>4</v>
      </c>
      <c r="C1051" t="s">
        <v>549</v>
      </c>
      <c r="D1051" t="s">
        <v>550</v>
      </c>
      <c r="E1051">
        <v>10043213</v>
      </c>
      <c r="F1051" t="s">
        <v>572</v>
      </c>
      <c r="G1051">
        <v>594129</v>
      </c>
      <c r="H1051" s="184">
        <v>44029</v>
      </c>
      <c r="I1051" s="184">
        <v>44047</v>
      </c>
      <c r="J1051" t="s">
        <v>573</v>
      </c>
      <c r="K1051">
        <v>60000</v>
      </c>
      <c r="L1051" t="s">
        <v>208</v>
      </c>
    </row>
    <row r="1052" spans="1:12" x14ac:dyDescent="0.4">
      <c r="A1052" t="s">
        <v>167</v>
      </c>
      <c r="B1052" t="s">
        <v>4</v>
      </c>
      <c r="C1052" t="s">
        <v>549</v>
      </c>
      <c r="D1052" t="s">
        <v>550</v>
      </c>
      <c r="E1052">
        <v>10048331</v>
      </c>
      <c r="F1052" t="s">
        <v>574</v>
      </c>
      <c r="G1052">
        <v>591473</v>
      </c>
      <c r="H1052" s="184">
        <v>43889</v>
      </c>
      <c r="I1052" s="184">
        <v>43889</v>
      </c>
      <c r="J1052" t="s">
        <v>349</v>
      </c>
      <c r="K1052">
        <v>60000</v>
      </c>
      <c r="L1052" t="s">
        <v>275</v>
      </c>
    </row>
    <row r="1053" spans="1:12" x14ac:dyDescent="0.4">
      <c r="A1053" t="s">
        <v>167</v>
      </c>
      <c r="B1053" t="s">
        <v>4</v>
      </c>
      <c r="C1053" t="s">
        <v>549</v>
      </c>
      <c r="D1053" t="s">
        <v>550</v>
      </c>
      <c r="E1053">
        <v>10048331</v>
      </c>
      <c r="F1053" t="s">
        <v>574</v>
      </c>
      <c r="G1053">
        <v>591473</v>
      </c>
      <c r="H1053" s="184">
        <v>43889</v>
      </c>
      <c r="I1053" s="184">
        <v>43889</v>
      </c>
      <c r="J1053" t="s">
        <v>349</v>
      </c>
      <c r="K1053">
        <v>60000</v>
      </c>
      <c r="L1053" t="s">
        <v>238</v>
      </c>
    </row>
    <row r="1054" spans="1:12" x14ac:dyDescent="0.4">
      <c r="A1054" t="s">
        <v>167</v>
      </c>
      <c r="B1054" t="s">
        <v>4</v>
      </c>
      <c r="C1054" t="s">
        <v>549</v>
      </c>
      <c r="D1054" t="s">
        <v>550</v>
      </c>
      <c r="E1054">
        <v>10048331</v>
      </c>
      <c r="F1054" t="s">
        <v>574</v>
      </c>
      <c r="G1054">
        <v>591473</v>
      </c>
      <c r="H1054" s="184">
        <v>43889</v>
      </c>
      <c r="I1054" s="184">
        <v>43889</v>
      </c>
      <c r="J1054" t="s">
        <v>349</v>
      </c>
      <c r="K1054">
        <v>60000</v>
      </c>
      <c r="L1054" t="s">
        <v>231</v>
      </c>
    </row>
    <row r="1055" spans="1:12" x14ac:dyDescent="0.4">
      <c r="A1055" t="s">
        <v>167</v>
      </c>
      <c r="B1055" t="s">
        <v>4</v>
      </c>
      <c r="C1055" t="s">
        <v>549</v>
      </c>
      <c r="D1055" t="s">
        <v>550</v>
      </c>
      <c r="E1055">
        <v>10048331</v>
      </c>
      <c r="F1055" t="s">
        <v>574</v>
      </c>
      <c r="G1055">
        <v>591473</v>
      </c>
      <c r="H1055" s="184">
        <v>43889</v>
      </c>
      <c r="I1055" s="184">
        <v>43889</v>
      </c>
      <c r="J1055" t="s">
        <v>349</v>
      </c>
      <c r="K1055">
        <v>60000</v>
      </c>
      <c r="L1055" t="s">
        <v>232</v>
      </c>
    </row>
    <row r="1056" spans="1:12" x14ac:dyDescent="0.4">
      <c r="A1056" t="s">
        <v>167</v>
      </c>
      <c r="B1056" t="s">
        <v>4</v>
      </c>
      <c r="C1056" t="s">
        <v>549</v>
      </c>
      <c r="D1056" t="s">
        <v>550</v>
      </c>
      <c r="E1056">
        <v>10048331</v>
      </c>
      <c r="F1056" t="s">
        <v>574</v>
      </c>
      <c r="G1056">
        <v>591473</v>
      </c>
      <c r="H1056" s="184">
        <v>43889</v>
      </c>
      <c r="I1056" s="184">
        <v>43889</v>
      </c>
      <c r="J1056" t="s">
        <v>349</v>
      </c>
      <c r="K1056">
        <v>60000</v>
      </c>
      <c r="L1056" t="s">
        <v>233</v>
      </c>
    </row>
    <row r="1057" spans="1:12" x14ac:dyDescent="0.4">
      <c r="A1057" t="s">
        <v>167</v>
      </c>
      <c r="B1057" t="s">
        <v>4</v>
      </c>
      <c r="C1057" t="s">
        <v>549</v>
      </c>
      <c r="D1057" t="s">
        <v>550</v>
      </c>
      <c r="E1057">
        <v>10048331</v>
      </c>
      <c r="F1057" t="s">
        <v>574</v>
      </c>
      <c r="G1057">
        <v>591473</v>
      </c>
      <c r="H1057" s="184">
        <v>43889</v>
      </c>
      <c r="I1057" s="184">
        <v>43889</v>
      </c>
      <c r="J1057" t="s">
        <v>349</v>
      </c>
      <c r="K1057">
        <v>60000</v>
      </c>
      <c r="L1057" t="s">
        <v>234</v>
      </c>
    </row>
    <row r="1058" spans="1:12" x14ac:dyDescent="0.4">
      <c r="A1058" t="s">
        <v>167</v>
      </c>
      <c r="B1058" t="s">
        <v>4</v>
      </c>
      <c r="C1058" t="s">
        <v>549</v>
      </c>
      <c r="D1058" t="s">
        <v>550</v>
      </c>
      <c r="E1058">
        <v>10048863</v>
      </c>
      <c r="F1058" t="s">
        <v>575</v>
      </c>
      <c r="G1058">
        <v>596601</v>
      </c>
      <c r="H1058" s="184">
        <v>44180</v>
      </c>
      <c r="I1058" s="184">
        <v>44189</v>
      </c>
      <c r="J1058" t="s">
        <v>576</v>
      </c>
      <c r="K1058">
        <v>60000</v>
      </c>
      <c r="L1058" t="s">
        <v>186</v>
      </c>
    </row>
    <row r="1059" spans="1:12" x14ac:dyDescent="0.4">
      <c r="A1059" t="s">
        <v>167</v>
      </c>
      <c r="B1059" t="s">
        <v>4</v>
      </c>
      <c r="C1059" t="s">
        <v>549</v>
      </c>
      <c r="D1059" t="s">
        <v>550</v>
      </c>
      <c r="E1059">
        <v>10048863</v>
      </c>
      <c r="F1059" t="s">
        <v>575</v>
      </c>
      <c r="G1059">
        <v>596601</v>
      </c>
      <c r="H1059" s="184">
        <v>44180</v>
      </c>
      <c r="I1059" s="184">
        <v>44189</v>
      </c>
      <c r="J1059" t="s">
        <v>576</v>
      </c>
      <c r="K1059">
        <v>60000</v>
      </c>
      <c r="L1059" t="s">
        <v>197</v>
      </c>
    </row>
    <row r="1060" spans="1:12" x14ac:dyDescent="0.4">
      <c r="A1060" t="s">
        <v>167</v>
      </c>
      <c r="B1060" t="s">
        <v>4</v>
      </c>
      <c r="C1060" t="s">
        <v>549</v>
      </c>
      <c r="D1060" t="s">
        <v>550</v>
      </c>
      <c r="E1060">
        <v>10048863</v>
      </c>
      <c r="F1060" t="s">
        <v>575</v>
      </c>
      <c r="G1060">
        <v>596601</v>
      </c>
      <c r="H1060" s="184">
        <v>44180</v>
      </c>
      <c r="I1060" s="184">
        <v>44189</v>
      </c>
      <c r="J1060" t="s">
        <v>576</v>
      </c>
      <c r="K1060">
        <v>60000</v>
      </c>
      <c r="L1060" t="s">
        <v>198</v>
      </c>
    </row>
    <row r="1061" spans="1:12" x14ac:dyDescent="0.4">
      <c r="A1061" t="s">
        <v>167</v>
      </c>
      <c r="B1061" t="s">
        <v>4</v>
      </c>
      <c r="C1061" t="s">
        <v>549</v>
      </c>
      <c r="D1061" t="s">
        <v>550</v>
      </c>
      <c r="E1061">
        <v>10048863</v>
      </c>
      <c r="F1061" t="s">
        <v>575</v>
      </c>
      <c r="G1061">
        <v>596601</v>
      </c>
      <c r="H1061" s="184">
        <v>44180</v>
      </c>
      <c r="I1061" s="184">
        <v>44189</v>
      </c>
      <c r="J1061" t="s">
        <v>576</v>
      </c>
      <c r="K1061">
        <v>60000</v>
      </c>
      <c r="L1061" t="s">
        <v>199</v>
      </c>
    </row>
    <row r="1062" spans="1:12" x14ac:dyDescent="0.4">
      <c r="A1062" t="s">
        <v>167</v>
      </c>
      <c r="B1062" t="s">
        <v>4</v>
      </c>
      <c r="C1062" t="s">
        <v>549</v>
      </c>
      <c r="D1062" t="s">
        <v>550</v>
      </c>
      <c r="E1062">
        <v>10048863</v>
      </c>
      <c r="F1062" t="s">
        <v>575</v>
      </c>
      <c r="G1062">
        <v>596601</v>
      </c>
      <c r="H1062" s="184">
        <v>44180</v>
      </c>
      <c r="I1062" s="184">
        <v>44189</v>
      </c>
      <c r="J1062" t="s">
        <v>576</v>
      </c>
      <c r="K1062">
        <v>60000</v>
      </c>
      <c r="L1062" t="s">
        <v>200</v>
      </c>
    </row>
    <row r="1063" spans="1:12" x14ac:dyDescent="0.4">
      <c r="A1063" t="s">
        <v>167</v>
      </c>
      <c r="B1063" t="s">
        <v>4</v>
      </c>
      <c r="C1063" t="s">
        <v>549</v>
      </c>
      <c r="D1063" t="s">
        <v>550</v>
      </c>
      <c r="E1063">
        <v>10048863</v>
      </c>
      <c r="F1063" t="s">
        <v>575</v>
      </c>
      <c r="G1063">
        <v>596601</v>
      </c>
      <c r="H1063" s="184">
        <v>44180</v>
      </c>
      <c r="I1063" s="184">
        <v>44189</v>
      </c>
      <c r="J1063" t="s">
        <v>576</v>
      </c>
      <c r="K1063">
        <v>60000</v>
      </c>
      <c r="L1063" t="s">
        <v>302</v>
      </c>
    </row>
    <row r="1064" spans="1:12" x14ac:dyDescent="0.4">
      <c r="A1064" t="s">
        <v>167</v>
      </c>
      <c r="B1064" t="s">
        <v>4</v>
      </c>
      <c r="C1064" t="s">
        <v>549</v>
      </c>
      <c r="D1064" t="s">
        <v>550</v>
      </c>
      <c r="E1064">
        <v>10051271</v>
      </c>
      <c r="F1064" t="s">
        <v>577</v>
      </c>
      <c r="G1064">
        <v>592089</v>
      </c>
      <c r="H1064" s="184">
        <v>43937</v>
      </c>
      <c r="I1064" s="184">
        <v>43937</v>
      </c>
      <c r="J1064" t="s">
        <v>578</v>
      </c>
      <c r="K1064">
        <v>60000</v>
      </c>
      <c r="L1064" t="s">
        <v>363</v>
      </c>
    </row>
    <row r="1065" spans="1:12" x14ac:dyDescent="0.4">
      <c r="A1065" t="s">
        <v>167</v>
      </c>
      <c r="B1065" t="s">
        <v>4</v>
      </c>
      <c r="C1065" t="s">
        <v>549</v>
      </c>
      <c r="D1065" t="s">
        <v>550</v>
      </c>
      <c r="E1065">
        <v>10051271</v>
      </c>
      <c r="F1065" t="s">
        <v>577</v>
      </c>
      <c r="G1065">
        <v>592089</v>
      </c>
      <c r="H1065" s="184">
        <v>43937</v>
      </c>
      <c r="I1065" s="184">
        <v>43937</v>
      </c>
      <c r="J1065" t="s">
        <v>578</v>
      </c>
      <c r="K1065">
        <v>60000</v>
      </c>
      <c r="L1065" t="s">
        <v>242</v>
      </c>
    </row>
    <row r="1066" spans="1:12" x14ac:dyDescent="0.4">
      <c r="A1066" t="s">
        <v>167</v>
      </c>
      <c r="B1066" t="s">
        <v>4</v>
      </c>
      <c r="C1066" t="s">
        <v>549</v>
      </c>
      <c r="D1066" t="s">
        <v>550</v>
      </c>
      <c r="E1066">
        <v>10051271</v>
      </c>
      <c r="F1066" t="s">
        <v>577</v>
      </c>
      <c r="G1066">
        <v>592089</v>
      </c>
      <c r="H1066" s="184">
        <v>43937</v>
      </c>
      <c r="I1066" s="184">
        <v>43937</v>
      </c>
      <c r="J1066" t="s">
        <v>578</v>
      </c>
      <c r="K1066">
        <v>60000</v>
      </c>
      <c r="L1066" t="s">
        <v>312</v>
      </c>
    </row>
    <row r="1067" spans="1:12" x14ac:dyDescent="0.4">
      <c r="A1067" t="s">
        <v>167</v>
      </c>
      <c r="B1067" t="s">
        <v>4</v>
      </c>
      <c r="C1067" t="s">
        <v>549</v>
      </c>
      <c r="D1067" t="s">
        <v>550</v>
      </c>
      <c r="E1067">
        <v>10051271</v>
      </c>
      <c r="F1067" t="s">
        <v>577</v>
      </c>
      <c r="G1067">
        <v>592089</v>
      </c>
      <c r="H1067" s="184">
        <v>43937</v>
      </c>
      <c r="I1067" s="184">
        <v>43937</v>
      </c>
      <c r="J1067" t="s">
        <v>578</v>
      </c>
      <c r="K1067">
        <v>60000</v>
      </c>
      <c r="L1067" t="s">
        <v>313</v>
      </c>
    </row>
    <row r="1068" spans="1:12" x14ac:dyDescent="0.4">
      <c r="A1068" t="s">
        <v>167</v>
      </c>
      <c r="B1068" t="s">
        <v>4</v>
      </c>
      <c r="C1068" t="s">
        <v>549</v>
      </c>
      <c r="D1068" t="s">
        <v>550</v>
      </c>
      <c r="E1068">
        <v>10051271</v>
      </c>
      <c r="F1068" t="s">
        <v>577</v>
      </c>
      <c r="G1068">
        <v>592089</v>
      </c>
      <c r="H1068" s="184">
        <v>43937</v>
      </c>
      <c r="I1068" s="184">
        <v>43937</v>
      </c>
      <c r="J1068" t="s">
        <v>578</v>
      </c>
      <c r="K1068">
        <v>60000</v>
      </c>
      <c r="L1068" t="s">
        <v>314</v>
      </c>
    </row>
    <row r="1069" spans="1:12" x14ac:dyDescent="0.4">
      <c r="A1069" t="s">
        <v>167</v>
      </c>
      <c r="B1069" t="s">
        <v>4</v>
      </c>
      <c r="C1069" t="s">
        <v>549</v>
      </c>
      <c r="D1069" t="s">
        <v>550</v>
      </c>
      <c r="E1069">
        <v>10051271</v>
      </c>
      <c r="F1069" t="s">
        <v>577</v>
      </c>
      <c r="G1069">
        <v>592089</v>
      </c>
      <c r="H1069" s="184">
        <v>43937</v>
      </c>
      <c r="I1069" s="184">
        <v>43937</v>
      </c>
      <c r="J1069" t="s">
        <v>578</v>
      </c>
      <c r="K1069">
        <v>60000</v>
      </c>
      <c r="L1069" t="s">
        <v>315</v>
      </c>
    </row>
    <row r="1070" spans="1:12" x14ac:dyDescent="0.4">
      <c r="A1070" t="s">
        <v>167</v>
      </c>
      <c r="B1070" t="s">
        <v>4</v>
      </c>
      <c r="C1070" t="s">
        <v>549</v>
      </c>
      <c r="D1070" t="s">
        <v>550</v>
      </c>
      <c r="E1070">
        <v>10052795</v>
      </c>
      <c r="F1070" t="s">
        <v>579</v>
      </c>
      <c r="G1070">
        <v>591858</v>
      </c>
      <c r="H1070" s="184">
        <v>43900</v>
      </c>
      <c r="I1070" s="184">
        <v>43906</v>
      </c>
      <c r="J1070" t="s">
        <v>392</v>
      </c>
      <c r="K1070">
        <v>60000</v>
      </c>
      <c r="L1070" t="s">
        <v>281</v>
      </c>
    </row>
    <row r="1071" spans="1:12" x14ac:dyDescent="0.4">
      <c r="A1071" t="s">
        <v>167</v>
      </c>
      <c r="B1071" t="s">
        <v>4</v>
      </c>
      <c r="C1071" t="s">
        <v>549</v>
      </c>
      <c r="D1071" t="s">
        <v>550</v>
      </c>
      <c r="E1071">
        <v>10052795</v>
      </c>
      <c r="F1071" t="s">
        <v>579</v>
      </c>
      <c r="G1071">
        <v>591858</v>
      </c>
      <c r="H1071" s="184">
        <v>43900</v>
      </c>
      <c r="I1071" s="184">
        <v>43906</v>
      </c>
      <c r="J1071" t="s">
        <v>392</v>
      </c>
      <c r="K1071">
        <v>60000</v>
      </c>
      <c r="L1071" t="s">
        <v>230</v>
      </c>
    </row>
    <row r="1072" spans="1:12" x14ac:dyDescent="0.4">
      <c r="A1072" t="s">
        <v>167</v>
      </c>
      <c r="B1072" t="s">
        <v>4</v>
      </c>
      <c r="C1072" t="s">
        <v>549</v>
      </c>
      <c r="D1072" t="s">
        <v>550</v>
      </c>
      <c r="E1072">
        <v>10052795</v>
      </c>
      <c r="F1072" t="s">
        <v>579</v>
      </c>
      <c r="G1072">
        <v>591858</v>
      </c>
      <c r="H1072" s="184">
        <v>43900</v>
      </c>
      <c r="I1072" s="184">
        <v>43906</v>
      </c>
      <c r="J1072" t="s">
        <v>392</v>
      </c>
      <c r="K1072">
        <v>60000</v>
      </c>
      <c r="L1072" t="s">
        <v>243</v>
      </c>
    </row>
    <row r="1073" spans="1:12" x14ac:dyDescent="0.4">
      <c r="A1073" t="s">
        <v>167</v>
      </c>
      <c r="B1073" t="s">
        <v>4</v>
      </c>
      <c r="C1073" t="s">
        <v>549</v>
      </c>
      <c r="D1073" t="s">
        <v>550</v>
      </c>
      <c r="E1073">
        <v>10052795</v>
      </c>
      <c r="F1073" t="s">
        <v>579</v>
      </c>
      <c r="G1073">
        <v>591858</v>
      </c>
      <c r="H1073" s="184">
        <v>43900</v>
      </c>
      <c r="I1073" s="184">
        <v>43906</v>
      </c>
      <c r="J1073" t="s">
        <v>392</v>
      </c>
      <c r="K1073">
        <v>60000</v>
      </c>
      <c r="L1073" t="s">
        <v>244</v>
      </c>
    </row>
    <row r="1074" spans="1:12" x14ac:dyDescent="0.4">
      <c r="A1074" t="s">
        <v>167</v>
      </c>
      <c r="B1074" t="s">
        <v>4</v>
      </c>
      <c r="C1074" t="s">
        <v>549</v>
      </c>
      <c r="D1074" t="s">
        <v>550</v>
      </c>
      <c r="E1074">
        <v>10052795</v>
      </c>
      <c r="F1074" t="s">
        <v>579</v>
      </c>
      <c r="G1074">
        <v>591858</v>
      </c>
      <c r="H1074" s="184">
        <v>43900</v>
      </c>
      <c r="I1074" s="184">
        <v>43906</v>
      </c>
      <c r="J1074" t="s">
        <v>392</v>
      </c>
      <c r="K1074">
        <v>60000</v>
      </c>
      <c r="L1074" t="s">
        <v>245</v>
      </c>
    </row>
    <row r="1075" spans="1:12" x14ac:dyDescent="0.4">
      <c r="A1075" t="s">
        <v>167</v>
      </c>
      <c r="B1075" t="s">
        <v>4</v>
      </c>
      <c r="C1075" t="s">
        <v>549</v>
      </c>
      <c r="D1075" t="s">
        <v>550</v>
      </c>
      <c r="E1075">
        <v>10052795</v>
      </c>
      <c r="F1075" t="s">
        <v>579</v>
      </c>
      <c r="G1075">
        <v>591858</v>
      </c>
      <c r="H1075" s="184">
        <v>43900</v>
      </c>
      <c r="I1075" s="184">
        <v>43906</v>
      </c>
      <c r="J1075" t="s">
        <v>392</v>
      </c>
      <c r="K1075">
        <v>60000</v>
      </c>
      <c r="L1075" t="s">
        <v>246</v>
      </c>
    </row>
    <row r="1076" spans="1:12" x14ac:dyDescent="0.4">
      <c r="A1076" t="s">
        <v>167</v>
      </c>
      <c r="B1076" t="s">
        <v>4</v>
      </c>
      <c r="C1076" t="s">
        <v>555</v>
      </c>
      <c r="D1076" t="s">
        <v>556</v>
      </c>
      <c r="E1076">
        <v>10068089</v>
      </c>
      <c r="F1076" t="s">
        <v>580</v>
      </c>
      <c r="G1076">
        <v>596455</v>
      </c>
      <c r="H1076" s="184">
        <v>44187</v>
      </c>
      <c r="I1076" s="184">
        <v>44224</v>
      </c>
      <c r="J1076" t="s">
        <v>581</v>
      </c>
      <c r="K1076">
        <v>60000</v>
      </c>
      <c r="L1076" t="s">
        <v>238</v>
      </c>
    </row>
    <row r="1077" spans="1:12" x14ac:dyDescent="0.4">
      <c r="A1077" t="s">
        <v>167</v>
      </c>
      <c r="B1077" t="s">
        <v>4</v>
      </c>
      <c r="C1077" t="s">
        <v>555</v>
      </c>
      <c r="D1077" t="s">
        <v>556</v>
      </c>
      <c r="E1077">
        <v>10068089</v>
      </c>
      <c r="F1077" t="s">
        <v>580</v>
      </c>
      <c r="G1077">
        <v>596455</v>
      </c>
      <c r="H1077" s="184">
        <v>44187</v>
      </c>
      <c r="I1077" s="184">
        <v>44224</v>
      </c>
      <c r="J1077" t="s">
        <v>581</v>
      </c>
      <c r="K1077">
        <v>60000</v>
      </c>
      <c r="L1077" t="s">
        <v>187</v>
      </c>
    </row>
    <row r="1078" spans="1:12" x14ac:dyDescent="0.4">
      <c r="A1078" t="s">
        <v>167</v>
      </c>
      <c r="B1078" t="s">
        <v>4</v>
      </c>
      <c r="C1078" t="s">
        <v>555</v>
      </c>
      <c r="D1078" t="s">
        <v>556</v>
      </c>
      <c r="E1078">
        <v>10068089</v>
      </c>
      <c r="F1078" t="s">
        <v>580</v>
      </c>
      <c r="G1078">
        <v>596455</v>
      </c>
      <c r="H1078" s="184">
        <v>44187</v>
      </c>
      <c r="I1078" s="184">
        <v>44224</v>
      </c>
      <c r="J1078" t="s">
        <v>581</v>
      </c>
      <c r="K1078">
        <v>60000</v>
      </c>
      <c r="L1078" t="s">
        <v>188</v>
      </c>
    </row>
    <row r="1079" spans="1:12" x14ac:dyDescent="0.4">
      <c r="A1079" t="s">
        <v>167</v>
      </c>
      <c r="B1079" t="s">
        <v>4</v>
      </c>
      <c r="C1079" t="s">
        <v>555</v>
      </c>
      <c r="D1079" t="s">
        <v>556</v>
      </c>
      <c r="E1079">
        <v>10068089</v>
      </c>
      <c r="F1079" t="s">
        <v>580</v>
      </c>
      <c r="G1079">
        <v>596455</v>
      </c>
      <c r="H1079" s="184">
        <v>44187</v>
      </c>
      <c r="I1079" s="184">
        <v>44224</v>
      </c>
      <c r="J1079" t="s">
        <v>581</v>
      </c>
      <c r="K1079">
        <v>60000</v>
      </c>
      <c r="L1079" t="s">
        <v>189</v>
      </c>
    </row>
    <row r="1080" spans="1:12" x14ac:dyDescent="0.4">
      <c r="A1080" t="s">
        <v>167</v>
      </c>
      <c r="B1080" t="s">
        <v>4</v>
      </c>
      <c r="C1080" t="s">
        <v>555</v>
      </c>
      <c r="D1080" t="s">
        <v>556</v>
      </c>
      <c r="E1080">
        <v>10068089</v>
      </c>
      <c r="F1080" t="s">
        <v>580</v>
      </c>
      <c r="G1080">
        <v>596455</v>
      </c>
      <c r="H1080" s="184">
        <v>44187</v>
      </c>
      <c r="I1080" s="184">
        <v>44224</v>
      </c>
      <c r="J1080" t="s">
        <v>581</v>
      </c>
      <c r="K1080">
        <v>60000</v>
      </c>
      <c r="L1080" t="s">
        <v>190</v>
      </c>
    </row>
    <row r="1081" spans="1:12" x14ac:dyDescent="0.4">
      <c r="A1081" t="s">
        <v>167</v>
      </c>
      <c r="B1081" t="s">
        <v>4</v>
      </c>
      <c r="C1081" t="s">
        <v>555</v>
      </c>
      <c r="D1081" t="s">
        <v>556</v>
      </c>
      <c r="E1081">
        <v>10068089</v>
      </c>
      <c r="F1081" t="s">
        <v>580</v>
      </c>
      <c r="G1081">
        <v>596455</v>
      </c>
      <c r="H1081" s="184">
        <v>44187</v>
      </c>
      <c r="I1081" s="184">
        <v>44224</v>
      </c>
      <c r="J1081" t="s">
        <v>581</v>
      </c>
      <c r="K1081">
        <v>60000</v>
      </c>
      <c r="L1081" t="s">
        <v>239</v>
      </c>
    </row>
    <row r="1082" spans="1:12" x14ac:dyDescent="0.4">
      <c r="A1082" t="s">
        <v>167</v>
      </c>
      <c r="B1082" t="s">
        <v>4</v>
      </c>
      <c r="C1082" t="s">
        <v>549</v>
      </c>
      <c r="D1082" t="s">
        <v>550</v>
      </c>
      <c r="E1082">
        <v>10071726</v>
      </c>
      <c r="F1082" t="s">
        <v>582</v>
      </c>
      <c r="G1082">
        <v>591717</v>
      </c>
      <c r="H1082" s="184">
        <v>43900</v>
      </c>
      <c r="I1082" s="184">
        <v>43906</v>
      </c>
      <c r="J1082" t="s">
        <v>453</v>
      </c>
      <c r="K1082">
        <v>60000</v>
      </c>
      <c r="L1082" t="s">
        <v>281</v>
      </c>
    </row>
    <row r="1083" spans="1:12" x14ac:dyDescent="0.4">
      <c r="A1083" t="s">
        <v>167</v>
      </c>
      <c r="B1083" t="s">
        <v>4</v>
      </c>
      <c r="C1083" t="s">
        <v>549</v>
      </c>
      <c r="D1083" t="s">
        <v>550</v>
      </c>
      <c r="E1083">
        <v>10071726</v>
      </c>
      <c r="F1083" t="s">
        <v>582</v>
      </c>
      <c r="G1083">
        <v>591717</v>
      </c>
      <c r="H1083" s="184">
        <v>43900</v>
      </c>
      <c r="I1083" s="184">
        <v>43906</v>
      </c>
      <c r="J1083" t="s">
        <v>453</v>
      </c>
      <c r="K1083">
        <v>60000</v>
      </c>
      <c r="L1083" t="s">
        <v>230</v>
      </c>
    </row>
    <row r="1084" spans="1:12" x14ac:dyDescent="0.4">
      <c r="A1084" t="s">
        <v>167</v>
      </c>
      <c r="B1084" t="s">
        <v>4</v>
      </c>
      <c r="C1084" t="s">
        <v>549</v>
      </c>
      <c r="D1084" t="s">
        <v>550</v>
      </c>
      <c r="E1084">
        <v>10071726</v>
      </c>
      <c r="F1084" t="s">
        <v>582</v>
      </c>
      <c r="G1084">
        <v>591717</v>
      </c>
      <c r="H1084" s="184">
        <v>43900</v>
      </c>
      <c r="I1084" s="184">
        <v>43906</v>
      </c>
      <c r="J1084" t="s">
        <v>453</v>
      </c>
      <c r="K1084">
        <v>60000</v>
      </c>
      <c r="L1084" t="s">
        <v>243</v>
      </c>
    </row>
    <row r="1085" spans="1:12" x14ac:dyDescent="0.4">
      <c r="A1085" t="s">
        <v>167</v>
      </c>
      <c r="B1085" t="s">
        <v>4</v>
      </c>
      <c r="C1085" t="s">
        <v>549</v>
      </c>
      <c r="D1085" t="s">
        <v>550</v>
      </c>
      <c r="E1085">
        <v>10071726</v>
      </c>
      <c r="F1085" t="s">
        <v>582</v>
      </c>
      <c r="G1085">
        <v>591717</v>
      </c>
      <c r="H1085" s="184">
        <v>43900</v>
      </c>
      <c r="I1085" s="184">
        <v>43906</v>
      </c>
      <c r="J1085" t="s">
        <v>453</v>
      </c>
      <c r="K1085">
        <v>60000</v>
      </c>
      <c r="L1085" t="s">
        <v>244</v>
      </c>
    </row>
    <row r="1086" spans="1:12" x14ac:dyDescent="0.4">
      <c r="A1086" t="s">
        <v>167</v>
      </c>
      <c r="B1086" t="s">
        <v>4</v>
      </c>
      <c r="C1086" t="s">
        <v>549</v>
      </c>
      <c r="D1086" t="s">
        <v>550</v>
      </c>
      <c r="E1086">
        <v>10071726</v>
      </c>
      <c r="F1086" t="s">
        <v>582</v>
      </c>
      <c r="G1086">
        <v>591717</v>
      </c>
      <c r="H1086" s="184">
        <v>43900</v>
      </c>
      <c r="I1086" s="184">
        <v>43906</v>
      </c>
      <c r="J1086" t="s">
        <v>453</v>
      </c>
      <c r="K1086">
        <v>60000</v>
      </c>
      <c r="L1086" t="s">
        <v>245</v>
      </c>
    </row>
    <row r="1087" spans="1:12" x14ac:dyDescent="0.4">
      <c r="A1087" t="s">
        <v>167</v>
      </c>
      <c r="B1087" t="s">
        <v>4</v>
      </c>
      <c r="C1087" t="s">
        <v>549</v>
      </c>
      <c r="D1087" t="s">
        <v>550</v>
      </c>
      <c r="E1087">
        <v>10071726</v>
      </c>
      <c r="F1087" t="s">
        <v>582</v>
      </c>
      <c r="G1087">
        <v>591717</v>
      </c>
      <c r="H1087" s="184">
        <v>43900</v>
      </c>
      <c r="I1087" s="184">
        <v>43906</v>
      </c>
      <c r="J1087" t="s">
        <v>453</v>
      </c>
      <c r="K1087">
        <v>60000</v>
      </c>
      <c r="L1087" t="s">
        <v>246</v>
      </c>
    </row>
    <row r="1088" spans="1:12" x14ac:dyDescent="0.4">
      <c r="A1088" t="s">
        <v>167</v>
      </c>
      <c r="B1088" t="s">
        <v>4</v>
      </c>
      <c r="C1088" t="s">
        <v>549</v>
      </c>
      <c r="D1088" t="s">
        <v>550</v>
      </c>
      <c r="E1088">
        <v>10071809</v>
      </c>
      <c r="F1088" t="s">
        <v>583</v>
      </c>
      <c r="G1088">
        <v>595271</v>
      </c>
      <c r="H1088" s="184">
        <v>44104</v>
      </c>
      <c r="I1088" s="184">
        <v>44104</v>
      </c>
      <c r="J1088" t="s">
        <v>289</v>
      </c>
      <c r="K1088">
        <v>60000</v>
      </c>
      <c r="L1088" t="s">
        <v>290</v>
      </c>
    </row>
    <row r="1089" spans="1:12" x14ac:dyDescent="0.4">
      <c r="A1089" t="s">
        <v>167</v>
      </c>
      <c r="B1089" t="s">
        <v>4</v>
      </c>
      <c r="C1089" t="s">
        <v>549</v>
      </c>
      <c r="D1089" t="s">
        <v>550</v>
      </c>
      <c r="E1089">
        <v>10071809</v>
      </c>
      <c r="F1089" t="s">
        <v>583</v>
      </c>
      <c r="G1089">
        <v>595271</v>
      </c>
      <c r="H1089" s="184">
        <v>44104</v>
      </c>
      <c r="I1089" s="184">
        <v>44104</v>
      </c>
      <c r="J1089" t="s">
        <v>289</v>
      </c>
      <c r="K1089">
        <v>60000</v>
      </c>
      <c r="L1089" t="s">
        <v>291</v>
      </c>
    </row>
    <row r="1090" spans="1:12" x14ac:dyDescent="0.4">
      <c r="A1090" t="s">
        <v>167</v>
      </c>
      <c r="B1090" t="s">
        <v>4</v>
      </c>
      <c r="C1090" t="s">
        <v>549</v>
      </c>
      <c r="D1090" t="s">
        <v>550</v>
      </c>
      <c r="E1090">
        <v>10071809</v>
      </c>
      <c r="F1090" t="s">
        <v>583</v>
      </c>
      <c r="G1090">
        <v>595271</v>
      </c>
      <c r="H1090" s="184">
        <v>44104</v>
      </c>
      <c r="I1090" s="184">
        <v>44104</v>
      </c>
      <c r="J1090" t="s">
        <v>289</v>
      </c>
      <c r="K1090">
        <v>60000</v>
      </c>
      <c r="L1090" t="s">
        <v>292</v>
      </c>
    </row>
    <row r="1091" spans="1:12" x14ac:dyDescent="0.4">
      <c r="A1091" t="s">
        <v>167</v>
      </c>
      <c r="B1091" t="s">
        <v>4</v>
      </c>
      <c r="C1091" t="s">
        <v>549</v>
      </c>
      <c r="D1091" t="s">
        <v>550</v>
      </c>
      <c r="E1091">
        <v>10071809</v>
      </c>
      <c r="F1091" t="s">
        <v>583</v>
      </c>
      <c r="G1091">
        <v>595271</v>
      </c>
      <c r="H1091" s="184">
        <v>44104</v>
      </c>
      <c r="I1091" s="184">
        <v>44104</v>
      </c>
      <c r="J1091" t="s">
        <v>289</v>
      </c>
      <c r="K1091">
        <v>60000</v>
      </c>
      <c r="L1091" t="s">
        <v>293</v>
      </c>
    </row>
    <row r="1092" spans="1:12" x14ac:dyDescent="0.4">
      <c r="A1092" t="s">
        <v>167</v>
      </c>
      <c r="B1092" t="s">
        <v>4</v>
      </c>
      <c r="C1092" t="s">
        <v>549</v>
      </c>
      <c r="D1092" t="s">
        <v>550</v>
      </c>
      <c r="E1092">
        <v>10071809</v>
      </c>
      <c r="F1092" t="s">
        <v>583</v>
      </c>
      <c r="G1092">
        <v>595271</v>
      </c>
      <c r="H1092" s="184">
        <v>44104</v>
      </c>
      <c r="I1092" s="184">
        <v>44104</v>
      </c>
      <c r="J1092" t="s">
        <v>289</v>
      </c>
      <c r="K1092">
        <v>60000</v>
      </c>
      <c r="L1092" t="s">
        <v>294</v>
      </c>
    </row>
    <row r="1093" spans="1:12" x14ac:dyDescent="0.4">
      <c r="A1093" t="s">
        <v>167</v>
      </c>
      <c r="B1093" t="s">
        <v>4</v>
      </c>
      <c r="C1093" t="s">
        <v>549</v>
      </c>
      <c r="D1093" t="s">
        <v>550</v>
      </c>
      <c r="E1093">
        <v>10071809</v>
      </c>
      <c r="F1093" t="s">
        <v>583</v>
      </c>
      <c r="G1093">
        <v>595271</v>
      </c>
      <c r="H1093" s="184">
        <v>44104</v>
      </c>
      <c r="I1093" s="184">
        <v>44104</v>
      </c>
      <c r="J1093" t="s">
        <v>289</v>
      </c>
      <c r="K1093">
        <v>60000</v>
      </c>
      <c r="L1093" t="s">
        <v>295</v>
      </c>
    </row>
    <row r="1094" spans="1:12" x14ac:dyDescent="0.4">
      <c r="A1094" t="s">
        <v>167</v>
      </c>
      <c r="B1094" t="s">
        <v>4</v>
      </c>
      <c r="C1094" t="s">
        <v>549</v>
      </c>
      <c r="D1094" t="s">
        <v>550</v>
      </c>
      <c r="E1094">
        <v>10080431</v>
      </c>
      <c r="F1094" t="s">
        <v>584</v>
      </c>
      <c r="G1094">
        <v>591909</v>
      </c>
      <c r="H1094" s="184">
        <v>43900</v>
      </c>
      <c r="I1094" s="184">
        <v>43909</v>
      </c>
      <c r="J1094" t="s">
        <v>392</v>
      </c>
      <c r="K1094">
        <v>60000</v>
      </c>
      <c r="L1094" t="s">
        <v>281</v>
      </c>
    </row>
    <row r="1095" spans="1:12" x14ac:dyDescent="0.4">
      <c r="A1095" t="s">
        <v>167</v>
      </c>
      <c r="B1095" t="s">
        <v>4</v>
      </c>
      <c r="C1095" t="s">
        <v>549</v>
      </c>
      <c r="D1095" t="s">
        <v>550</v>
      </c>
      <c r="E1095">
        <v>10080431</v>
      </c>
      <c r="F1095" t="s">
        <v>584</v>
      </c>
      <c r="G1095">
        <v>591909</v>
      </c>
      <c r="H1095" s="184">
        <v>43900</v>
      </c>
      <c r="I1095" s="184">
        <v>43909</v>
      </c>
      <c r="J1095" t="s">
        <v>392</v>
      </c>
      <c r="K1095">
        <v>60000</v>
      </c>
      <c r="L1095" t="s">
        <v>230</v>
      </c>
    </row>
    <row r="1096" spans="1:12" x14ac:dyDescent="0.4">
      <c r="A1096" t="s">
        <v>167</v>
      </c>
      <c r="B1096" t="s">
        <v>4</v>
      </c>
      <c r="C1096" t="s">
        <v>549</v>
      </c>
      <c r="D1096" t="s">
        <v>550</v>
      </c>
      <c r="E1096">
        <v>10080431</v>
      </c>
      <c r="F1096" t="s">
        <v>584</v>
      </c>
      <c r="G1096">
        <v>591909</v>
      </c>
      <c r="H1096" s="184">
        <v>43900</v>
      </c>
      <c r="I1096" s="184">
        <v>43909</v>
      </c>
      <c r="J1096" t="s">
        <v>392</v>
      </c>
      <c r="K1096">
        <v>60000</v>
      </c>
      <c r="L1096" t="s">
        <v>243</v>
      </c>
    </row>
    <row r="1097" spans="1:12" x14ac:dyDescent="0.4">
      <c r="A1097" t="s">
        <v>167</v>
      </c>
      <c r="B1097" t="s">
        <v>4</v>
      </c>
      <c r="C1097" t="s">
        <v>549</v>
      </c>
      <c r="D1097" t="s">
        <v>550</v>
      </c>
      <c r="E1097">
        <v>10080431</v>
      </c>
      <c r="F1097" t="s">
        <v>584</v>
      </c>
      <c r="G1097">
        <v>591909</v>
      </c>
      <c r="H1097" s="184">
        <v>43900</v>
      </c>
      <c r="I1097" s="184">
        <v>43909</v>
      </c>
      <c r="J1097" t="s">
        <v>392</v>
      </c>
      <c r="K1097">
        <v>60000</v>
      </c>
      <c r="L1097" t="s">
        <v>244</v>
      </c>
    </row>
    <row r="1098" spans="1:12" x14ac:dyDescent="0.4">
      <c r="A1098" t="s">
        <v>167</v>
      </c>
      <c r="B1098" t="s">
        <v>4</v>
      </c>
      <c r="C1098" t="s">
        <v>549</v>
      </c>
      <c r="D1098" t="s">
        <v>550</v>
      </c>
      <c r="E1098">
        <v>10080431</v>
      </c>
      <c r="F1098" t="s">
        <v>584</v>
      </c>
      <c r="G1098">
        <v>591909</v>
      </c>
      <c r="H1098" s="184">
        <v>43900</v>
      </c>
      <c r="I1098" s="184">
        <v>43909</v>
      </c>
      <c r="J1098" t="s">
        <v>392</v>
      </c>
      <c r="K1098">
        <v>60000</v>
      </c>
      <c r="L1098" t="s">
        <v>245</v>
      </c>
    </row>
    <row r="1099" spans="1:12" x14ac:dyDescent="0.4">
      <c r="A1099" t="s">
        <v>167</v>
      </c>
      <c r="B1099" t="s">
        <v>4</v>
      </c>
      <c r="C1099" t="s">
        <v>549</v>
      </c>
      <c r="D1099" t="s">
        <v>550</v>
      </c>
      <c r="E1099">
        <v>10080431</v>
      </c>
      <c r="F1099" t="s">
        <v>584</v>
      </c>
      <c r="G1099">
        <v>591909</v>
      </c>
      <c r="H1099" s="184">
        <v>43900</v>
      </c>
      <c r="I1099" s="184">
        <v>43909</v>
      </c>
      <c r="J1099" t="s">
        <v>392</v>
      </c>
      <c r="K1099">
        <v>60000</v>
      </c>
      <c r="L1099" t="s">
        <v>246</v>
      </c>
    </row>
    <row r="1100" spans="1:12" x14ac:dyDescent="0.4">
      <c r="A1100" t="s">
        <v>167</v>
      </c>
      <c r="B1100" t="s">
        <v>4</v>
      </c>
      <c r="C1100" t="s">
        <v>549</v>
      </c>
      <c r="D1100" t="s">
        <v>550</v>
      </c>
      <c r="E1100">
        <v>10080441</v>
      </c>
      <c r="F1100" t="s">
        <v>585</v>
      </c>
      <c r="G1100">
        <v>591528</v>
      </c>
      <c r="H1100" s="184">
        <v>43887</v>
      </c>
      <c r="I1100" s="184">
        <v>43889</v>
      </c>
      <c r="J1100" t="s">
        <v>277</v>
      </c>
      <c r="K1100">
        <v>60000</v>
      </c>
      <c r="L1100" t="s">
        <v>275</v>
      </c>
    </row>
    <row r="1101" spans="1:12" x14ac:dyDescent="0.4">
      <c r="A1101" t="s">
        <v>167</v>
      </c>
      <c r="B1101" t="s">
        <v>4</v>
      </c>
      <c r="C1101" t="s">
        <v>549</v>
      </c>
      <c r="D1101" t="s">
        <v>550</v>
      </c>
      <c r="E1101">
        <v>10080441</v>
      </c>
      <c r="F1101" t="s">
        <v>585</v>
      </c>
      <c r="G1101">
        <v>591528</v>
      </c>
      <c r="H1101" s="184">
        <v>43887</v>
      </c>
      <c r="I1101" s="184">
        <v>43889</v>
      </c>
      <c r="J1101" t="s">
        <v>277</v>
      </c>
      <c r="K1101">
        <v>60000</v>
      </c>
      <c r="L1101" t="s">
        <v>238</v>
      </c>
    </row>
    <row r="1102" spans="1:12" x14ac:dyDescent="0.4">
      <c r="A1102" t="s">
        <v>167</v>
      </c>
      <c r="B1102" t="s">
        <v>4</v>
      </c>
      <c r="C1102" t="s">
        <v>549</v>
      </c>
      <c r="D1102" t="s">
        <v>550</v>
      </c>
      <c r="E1102">
        <v>10080441</v>
      </c>
      <c r="F1102" t="s">
        <v>585</v>
      </c>
      <c r="G1102">
        <v>591528</v>
      </c>
      <c r="H1102" s="184">
        <v>43887</v>
      </c>
      <c r="I1102" s="184">
        <v>43889</v>
      </c>
      <c r="J1102" t="s">
        <v>277</v>
      </c>
      <c r="K1102">
        <v>60000</v>
      </c>
      <c r="L1102" t="s">
        <v>231</v>
      </c>
    </row>
    <row r="1103" spans="1:12" x14ac:dyDescent="0.4">
      <c r="A1103" t="s">
        <v>167</v>
      </c>
      <c r="B1103" t="s">
        <v>4</v>
      </c>
      <c r="C1103" t="s">
        <v>549</v>
      </c>
      <c r="D1103" t="s">
        <v>550</v>
      </c>
      <c r="E1103">
        <v>10080441</v>
      </c>
      <c r="F1103" t="s">
        <v>585</v>
      </c>
      <c r="G1103">
        <v>591528</v>
      </c>
      <c r="H1103" s="184">
        <v>43887</v>
      </c>
      <c r="I1103" s="184">
        <v>43889</v>
      </c>
      <c r="J1103" t="s">
        <v>277</v>
      </c>
      <c r="K1103">
        <v>60000</v>
      </c>
      <c r="L1103" t="s">
        <v>232</v>
      </c>
    </row>
    <row r="1104" spans="1:12" x14ac:dyDescent="0.4">
      <c r="A1104" t="s">
        <v>167</v>
      </c>
      <c r="B1104" t="s">
        <v>4</v>
      </c>
      <c r="C1104" t="s">
        <v>549</v>
      </c>
      <c r="D1104" t="s">
        <v>550</v>
      </c>
      <c r="E1104">
        <v>10080441</v>
      </c>
      <c r="F1104" t="s">
        <v>585</v>
      </c>
      <c r="G1104">
        <v>591528</v>
      </c>
      <c r="H1104" s="184">
        <v>43887</v>
      </c>
      <c r="I1104" s="184">
        <v>43889</v>
      </c>
      <c r="J1104" t="s">
        <v>277</v>
      </c>
      <c r="K1104">
        <v>60000</v>
      </c>
      <c r="L1104" t="s">
        <v>233</v>
      </c>
    </row>
    <row r="1105" spans="1:12" x14ac:dyDescent="0.4">
      <c r="A1105" t="s">
        <v>167</v>
      </c>
      <c r="B1105" t="s">
        <v>4</v>
      </c>
      <c r="C1105" t="s">
        <v>549</v>
      </c>
      <c r="D1105" t="s">
        <v>550</v>
      </c>
      <c r="E1105">
        <v>10080441</v>
      </c>
      <c r="F1105" t="s">
        <v>585</v>
      </c>
      <c r="G1105">
        <v>591528</v>
      </c>
      <c r="H1105" s="184">
        <v>43887</v>
      </c>
      <c r="I1105" s="184">
        <v>43889</v>
      </c>
      <c r="J1105" t="s">
        <v>277</v>
      </c>
      <c r="K1105">
        <v>60000</v>
      </c>
      <c r="L1105" t="s">
        <v>234</v>
      </c>
    </row>
    <row r="1106" spans="1:12" x14ac:dyDescent="0.4">
      <c r="A1106" t="s">
        <v>167</v>
      </c>
      <c r="B1106" t="s">
        <v>4</v>
      </c>
      <c r="C1106" t="s">
        <v>555</v>
      </c>
      <c r="D1106" t="s">
        <v>556</v>
      </c>
      <c r="E1106">
        <v>10086975</v>
      </c>
      <c r="F1106" t="s">
        <v>586</v>
      </c>
      <c r="G1106">
        <v>593486</v>
      </c>
      <c r="H1106" s="184">
        <v>43993</v>
      </c>
      <c r="I1106" s="184">
        <v>43998</v>
      </c>
      <c r="J1106" t="s">
        <v>587</v>
      </c>
      <c r="K1106">
        <v>60000</v>
      </c>
      <c r="L1106" t="s">
        <v>353</v>
      </c>
    </row>
    <row r="1107" spans="1:12" x14ac:dyDescent="0.4">
      <c r="A1107" t="s">
        <v>167</v>
      </c>
      <c r="B1107" t="s">
        <v>4</v>
      </c>
      <c r="C1107" t="s">
        <v>555</v>
      </c>
      <c r="D1107" t="s">
        <v>556</v>
      </c>
      <c r="E1107">
        <v>10086975</v>
      </c>
      <c r="F1107" t="s">
        <v>586</v>
      </c>
      <c r="G1107">
        <v>593486</v>
      </c>
      <c r="H1107" s="184">
        <v>43993</v>
      </c>
      <c r="I1107" s="184">
        <v>43998</v>
      </c>
      <c r="J1107" t="s">
        <v>587</v>
      </c>
      <c r="K1107">
        <v>60000</v>
      </c>
      <c r="L1107" t="s">
        <v>258</v>
      </c>
    </row>
    <row r="1108" spans="1:12" x14ac:dyDescent="0.4">
      <c r="A1108" t="s">
        <v>167</v>
      </c>
      <c r="B1108" t="s">
        <v>4</v>
      </c>
      <c r="C1108" t="s">
        <v>555</v>
      </c>
      <c r="D1108" t="s">
        <v>556</v>
      </c>
      <c r="E1108">
        <v>10086975</v>
      </c>
      <c r="F1108" t="s">
        <v>586</v>
      </c>
      <c r="G1108">
        <v>593486</v>
      </c>
      <c r="H1108" s="184">
        <v>43993</v>
      </c>
      <c r="I1108" s="184">
        <v>43998</v>
      </c>
      <c r="J1108" t="s">
        <v>587</v>
      </c>
      <c r="K1108">
        <v>60000</v>
      </c>
      <c r="L1108" t="s">
        <v>327</v>
      </c>
    </row>
    <row r="1109" spans="1:12" x14ac:dyDescent="0.4">
      <c r="A1109" t="s">
        <v>167</v>
      </c>
      <c r="B1109" t="s">
        <v>4</v>
      </c>
      <c r="C1109" t="s">
        <v>555</v>
      </c>
      <c r="D1109" t="s">
        <v>556</v>
      </c>
      <c r="E1109">
        <v>10086975</v>
      </c>
      <c r="F1109" t="s">
        <v>586</v>
      </c>
      <c r="G1109">
        <v>593486</v>
      </c>
      <c r="H1109" s="184">
        <v>43993</v>
      </c>
      <c r="I1109" s="184">
        <v>43998</v>
      </c>
      <c r="J1109" t="s">
        <v>587</v>
      </c>
      <c r="K1109">
        <v>60000</v>
      </c>
      <c r="L1109" t="s">
        <v>328</v>
      </c>
    </row>
    <row r="1110" spans="1:12" x14ac:dyDescent="0.4">
      <c r="A1110" t="s">
        <v>167</v>
      </c>
      <c r="B1110" t="s">
        <v>4</v>
      </c>
      <c r="C1110" t="s">
        <v>555</v>
      </c>
      <c r="D1110" t="s">
        <v>556</v>
      </c>
      <c r="E1110">
        <v>10086975</v>
      </c>
      <c r="F1110" t="s">
        <v>586</v>
      </c>
      <c r="G1110">
        <v>593486</v>
      </c>
      <c r="H1110" s="184">
        <v>43993</v>
      </c>
      <c r="I1110" s="184">
        <v>43998</v>
      </c>
      <c r="J1110" t="s">
        <v>587</v>
      </c>
      <c r="K1110">
        <v>60000</v>
      </c>
      <c r="L1110" t="s">
        <v>329</v>
      </c>
    </row>
    <row r="1111" spans="1:12" x14ac:dyDescent="0.4">
      <c r="A1111" t="s">
        <v>167</v>
      </c>
      <c r="B1111" t="s">
        <v>4</v>
      </c>
      <c r="C1111" t="s">
        <v>555</v>
      </c>
      <c r="D1111" t="s">
        <v>556</v>
      </c>
      <c r="E1111">
        <v>10086975</v>
      </c>
      <c r="F1111" t="s">
        <v>586</v>
      </c>
      <c r="G1111">
        <v>593486</v>
      </c>
      <c r="H1111" s="184">
        <v>43993</v>
      </c>
      <c r="I1111" s="184">
        <v>43998</v>
      </c>
      <c r="J1111" t="s">
        <v>587</v>
      </c>
      <c r="K1111">
        <v>60000</v>
      </c>
      <c r="L1111" t="s">
        <v>330</v>
      </c>
    </row>
    <row r="1112" spans="1:12" x14ac:dyDescent="0.4">
      <c r="A1112" t="s">
        <v>167</v>
      </c>
      <c r="B1112" t="s">
        <v>4</v>
      </c>
      <c r="C1112" t="s">
        <v>555</v>
      </c>
      <c r="D1112" t="s">
        <v>556</v>
      </c>
      <c r="E1112">
        <v>10087279</v>
      </c>
      <c r="F1112" t="s">
        <v>588</v>
      </c>
      <c r="G1112">
        <v>590755</v>
      </c>
      <c r="H1112" s="184">
        <v>43857</v>
      </c>
      <c r="I1112" s="184">
        <v>43861</v>
      </c>
      <c r="J1112" t="s">
        <v>589</v>
      </c>
      <c r="K1112">
        <v>60000</v>
      </c>
      <c r="L1112" t="s">
        <v>185</v>
      </c>
    </row>
    <row r="1113" spans="1:12" x14ac:dyDescent="0.4">
      <c r="A1113" t="s">
        <v>167</v>
      </c>
      <c r="B1113" t="s">
        <v>4</v>
      </c>
      <c r="C1113" t="s">
        <v>555</v>
      </c>
      <c r="D1113" t="s">
        <v>556</v>
      </c>
      <c r="E1113">
        <v>10087279</v>
      </c>
      <c r="F1113" t="s">
        <v>588</v>
      </c>
      <c r="G1113">
        <v>590755</v>
      </c>
      <c r="H1113" s="184">
        <v>43857</v>
      </c>
      <c r="I1113" s="184">
        <v>43861</v>
      </c>
      <c r="J1113" t="s">
        <v>589</v>
      </c>
      <c r="K1113">
        <v>60000</v>
      </c>
      <c r="L1113" t="s">
        <v>186</v>
      </c>
    </row>
    <row r="1114" spans="1:12" x14ac:dyDescent="0.4">
      <c r="A1114" t="s">
        <v>167</v>
      </c>
      <c r="B1114" t="s">
        <v>4</v>
      </c>
      <c r="C1114" t="s">
        <v>555</v>
      </c>
      <c r="D1114" t="s">
        <v>556</v>
      </c>
      <c r="E1114">
        <v>10087279</v>
      </c>
      <c r="F1114" t="s">
        <v>588</v>
      </c>
      <c r="G1114">
        <v>590755</v>
      </c>
      <c r="H1114" s="184">
        <v>43857</v>
      </c>
      <c r="I1114" s="184">
        <v>43861</v>
      </c>
      <c r="J1114" t="s">
        <v>589</v>
      </c>
      <c r="K1114">
        <v>60000</v>
      </c>
      <c r="L1114" t="s">
        <v>187</v>
      </c>
    </row>
    <row r="1115" spans="1:12" x14ac:dyDescent="0.4">
      <c r="A1115" t="s">
        <v>167</v>
      </c>
      <c r="B1115" t="s">
        <v>4</v>
      </c>
      <c r="C1115" t="s">
        <v>555</v>
      </c>
      <c r="D1115" t="s">
        <v>556</v>
      </c>
      <c r="E1115">
        <v>10087279</v>
      </c>
      <c r="F1115" t="s">
        <v>588</v>
      </c>
      <c r="G1115">
        <v>590755</v>
      </c>
      <c r="H1115" s="184">
        <v>43857</v>
      </c>
      <c r="I1115" s="184">
        <v>43861</v>
      </c>
      <c r="J1115" t="s">
        <v>589</v>
      </c>
      <c r="K1115">
        <v>60000</v>
      </c>
      <c r="L1115" t="s">
        <v>188</v>
      </c>
    </row>
    <row r="1116" spans="1:12" x14ac:dyDescent="0.4">
      <c r="A1116" t="s">
        <v>167</v>
      </c>
      <c r="B1116" t="s">
        <v>4</v>
      </c>
      <c r="C1116" t="s">
        <v>555</v>
      </c>
      <c r="D1116" t="s">
        <v>556</v>
      </c>
      <c r="E1116">
        <v>10087279</v>
      </c>
      <c r="F1116" t="s">
        <v>588</v>
      </c>
      <c r="G1116">
        <v>590755</v>
      </c>
      <c r="H1116" s="184">
        <v>43857</v>
      </c>
      <c r="I1116" s="184">
        <v>43861</v>
      </c>
      <c r="J1116" t="s">
        <v>589</v>
      </c>
      <c r="K1116">
        <v>60000</v>
      </c>
      <c r="L1116" t="s">
        <v>189</v>
      </c>
    </row>
    <row r="1117" spans="1:12" x14ac:dyDescent="0.4">
      <c r="A1117" t="s">
        <v>167</v>
      </c>
      <c r="B1117" t="s">
        <v>4</v>
      </c>
      <c r="C1117" t="s">
        <v>555</v>
      </c>
      <c r="D1117" t="s">
        <v>556</v>
      </c>
      <c r="E1117">
        <v>10087279</v>
      </c>
      <c r="F1117" t="s">
        <v>588</v>
      </c>
      <c r="G1117">
        <v>590755</v>
      </c>
      <c r="H1117" s="184">
        <v>43857</v>
      </c>
      <c r="I1117" s="184">
        <v>43861</v>
      </c>
      <c r="J1117" t="s">
        <v>589</v>
      </c>
      <c r="K1117">
        <v>60000</v>
      </c>
      <c r="L1117" t="s">
        <v>190</v>
      </c>
    </row>
    <row r="1118" spans="1:12" x14ac:dyDescent="0.4">
      <c r="A1118" t="s">
        <v>167</v>
      </c>
      <c r="B1118" t="s">
        <v>4</v>
      </c>
      <c r="C1118" t="s">
        <v>555</v>
      </c>
      <c r="D1118" t="s">
        <v>556</v>
      </c>
      <c r="E1118">
        <v>10092056</v>
      </c>
      <c r="F1118" t="s">
        <v>590</v>
      </c>
      <c r="G1118">
        <v>590653</v>
      </c>
      <c r="H1118" s="184">
        <v>43859</v>
      </c>
      <c r="I1118" s="184">
        <v>43859</v>
      </c>
      <c r="J1118" t="s">
        <v>591</v>
      </c>
      <c r="K1118">
        <v>60000</v>
      </c>
      <c r="L1118" t="s">
        <v>185</v>
      </c>
    </row>
    <row r="1119" spans="1:12" x14ac:dyDescent="0.4">
      <c r="A1119" t="s">
        <v>167</v>
      </c>
      <c r="B1119" t="s">
        <v>4</v>
      </c>
      <c r="C1119" t="s">
        <v>555</v>
      </c>
      <c r="D1119" t="s">
        <v>556</v>
      </c>
      <c r="E1119">
        <v>10092056</v>
      </c>
      <c r="F1119" t="s">
        <v>590</v>
      </c>
      <c r="G1119">
        <v>590653</v>
      </c>
      <c r="H1119" s="184">
        <v>43859</v>
      </c>
      <c r="I1119" s="184">
        <v>43859</v>
      </c>
      <c r="J1119" t="s">
        <v>591</v>
      </c>
      <c r="K1119">
        <v>60000</v>
      </c>
      <c r="L1119" t="s">
        <v>186</v>
      </c>
    </row>
    <row r="1120" spans="1:12" x14ac:dyDescent="0.4">
      <c r="A1120" t="s">
        <v>167</v>
      </c>
      <c r="B1120" t="s">
        <v>4</v>
      </c>
      <c r="C1120" t="s">
        <v>555</v>
      </c>
      <c r="D1120" t="s">
        <v>556</v>
      </c>
      <c r="E1120">
        <v>10092056</v>
      </c>
      <c r="F1120" t="s">
        <v>590</v>
      </c>
      <c r="G1120">
        <v>590653</v>
      </c>
      <c r="H1120" s="184">
        <v>43859</v>
      </c>
      <c r="I1120" s="184">
        <v>43859</v>
      </c>
      <c r="J1120" t="s">
        <v>591</v>
      </c>
      <c r="K1120">
        <v>60000</v>
      </c>
      <c r="L1120" t="s">
        <v>187</v>
      </c>
    </row>
    <row r="1121" spans="1:12" x14ac:dyDescent="0.4">
      <c r="A1121" t="s">
        <v>167</v>
      </c>
      <c r="B1121" t="s">
        <v>4</v>
      </c>
      <c r="C1121" t="s">
        <v>555</v>
      </c>
      <c r="D1121" t="s">
        <v>556</v>
      </c>
      <c r="E1121">
        <v>10092056</v>
      </c>
      <c r="F1121" t="s">
        <v>590</v>
      </c>
      <c r="G1121">
        <v>590653</v>
      </c>
      <c r="H1121" s="184">
        <v>43859</v>
      </c>
      <c r="I1121" s="184">
        <v>43859</v>
      </c>
      <c r="J1121" t="s">
        <v>591</v>
      </c>
      <c r="K1121">
        <v>60000</v>
      </c>
      <c r="L1121" t="s">
        <v>188</v>
      </c>
    </row>
    <row r="1122" spans="1:12" x14ac:dyDescent="0.4">
      <c r="A1122" t="s">
        <v>167</v>
      </c>
      <c r="B1122" t="s">
        <v>4</v>
      </c>
      <c r="C1122" t="s">
        <v>555</v>
      </c>
      <c r="D1122" t="s">
        <v>556</v>
      </c>
      <c r="E1122">
        <v>10092056</v>
      </c>
      <c r="F1122" t="s">
        <v>590</v>
      </c>
      <c r="G1122">
        <v>590653</v>
      </c>
      <c r="H1122" s="184">
        <v>43859</v>
      </c>
      <c r="I1122" s="184">
        <v>43859</v>
      </c>
      <c r="J1122" t="s">
        <v>591</v>
      </c>
      <c r="K1122">
        <v>60000</v>
      </c>
      <c r="L1122" t="s">
        <v>189</v>
      </c>
    </row>
    <row r="1123" spans="1:12" x14ac:dyDescent="0.4">
      <c r="A1123" t="s">
        <v>167</v>
      </c>
      <c r="B1123" t="s">
        <v>4</v>
      </c>
      <c r="C1123" t="s">
        <v>555</v>
      </c>
      <c r="D1123" t="s">
        <v>556</v>
      </c>
      <c r="E1123">
        <v>10092056</v>
      </c>
      <c r="F1123" t="s">
        <v>590</v>
      </c>
      <c r="G1123">
        <v>590653</v>
      </c>
      <c r="H1123" s="184">
        <v>43859</v>
      </c>
      <c r="I1123" s="184">
        <v>43859</v>
      </c>
      <c r="J1123" t="s">
        <v>591</v>
      </c>
      <c r="K1123">
        <v>60000</v>
      </c>
      <c r="L1123" t="s">
        <v>190</v>
      </c>
    </row>
    <row r="1124" spans="1:12" x14ac:dyDescent="0.4">
      <c r="A1124" t="s">
        <v>167</v>
      </c>
      <c r="B1124" t="s">
        <v>4</v>
      </c>
      <c r="C1124" t="s">
        <v>549</v>
      </c>
      <c r="D1124" t="s">
        <v>550</v>
      </c>
      <c r="E1124">
        <v>20008671</v>
      </c>
      <c r="F1124" t="s">
        <v>592</v>
      </c>
      <c r="G1124">
        <v>596199</v>
      </c>
      <c r="H1124" s="184">
        <v>44161</v>
      </c>
      <c r="I1124" s="184">
        <v>44161</v>
      </c>
      <c r="J1124" t="s">
        <v>558</v>
      </c>
      <c r="K1124">
        <v>60000</v>
      </c>
      <c r="L1124" t="s">
        <v>196</v>
      </c>
    </row>
    <row r="1125" spans="1:12" x14ac:dyDescent="0.4">
      <c r="A1125" t="s">
        <v>167</v>
      </c>
      <c r="B1125" t="s">
        <v>4</v>
      </c>
      <c r="C1125" t="s">
        <v>549</v>
      </c>
      <c r="D1125" t="s">
        <v>550</v>
      </c>
      <c r="E1125">
        <v>20008671</v>
      </c>
      <c r="F1125" t="s">
        <v>592</v>
      </c>
      <c r="G1125">
        <v>596199</v>
      </c>
      <c r="H1125" s="184">
        <v>44161</v>
      </c>
      <c r="I1125" s="184">
        <v>44161</v>
      </c>
      <c r="J1125" t="s">
        <v>558</v>
      </c>
      <c r="K1125">
        <v>60000</v>
      </c>
      <c r="L1125" t="s">
        <v>211</v>
      </c>
    </row>
    <row r="1126" spans="1:12" x14ac:dyDescent="0.4">
      <c r="A1126" t="s">
        <v>167</v>
      </c>
      <c r="B1126" t="s">
        <v>4</v>
      </c>
      <c r="C1126" t="s">
        <v>549</v>
      </c>
      <c r="D1126" t="s">
        <v>550</v>
      </c>
      <c r="E1126">
        <v>20008671</v>
      </c>
      <c r="F1126" t="s">
        <v>592</v>
      </c>
      <c r="G1126">
        <v>596199</v>
      </c>
      <c r="H1126" s="184">
        <v>44161</v>
      </c>
      <c r="I1126" s="184">
        <v>44161</v>
      </c>
      <c r="J1126" t="s">
        <v>558</v>
      </c>
      <c r="K1126">
        <v>60000</v>
      </c>
      <c r="L1126" t="s">
        <v>212</v>
      </c>
    </row>
    <row r="1127" spans="1:12" x14ac:dyDescent="0.4">
      <c r="A1127" t="s">
        <v>167</v>
      </c>
      <c r="B1127" t="s">
        <v>4</v>
      </c>
      <c r="C1127" t="s">
        <v>549</v>
      </c>
      <c r="D1127" t="s">
        <v>550</v>
      </c>
      <c r="E1127">
        <v>20008671</v>
      </c>
      <c r="F1127" t="s">
        <v>592</v>
      </c>
      <c r="G1127">
        <v>596199</v>
      </c>
      <c r="H1127" s="184">
        <v>44161</v>
      </c>
      <c r="I1127" s="184">
        <v>44161</v>
      </c>
      <c r="J1127" t="s">
        <v>558</v>
      </c>
      <c r="K1127">
        <v>60000</v>
      </c>
      <c r="L1127" t="s">
        <v>213</v>
      </c>
    </row>
    <row r="1128" spans="1:12" x14ac:dyDescent="0.4">
      <c r="A1128" t="s">
        <v>167</v>
      </c>
      <c r="B1128" t="s">
        <v>4</v>
      </c>
      <c r="C1128" t="s">
        <v>549</v>
      </c>
      <c r="D1128" t="s">
        <v>550</v>
      </c>
      <c r="E1128">
        <v>20008671</v>
      </c>
      <c r="F1128" t="s">
        <v>592</v>
      </c>
      <c r="G1128">
        <v>596199</v>
      </c>
      <c r="H1128" s="184">
        <v>44161</v>
      </c>
      <c r="I1128" s="184">
        <v>44161</v>
      </c>
      <c r="J1128" t="s">
        <v>558</v>
      </c>
      <c r="K1128">
        <v>60000</v>
      </c>
      <c r="L1128" t="s">
        <v>214</v>
      </c>
    </row>
    <row r="1129" spans="1:12" x14ac:dyDescent="0.4">
      <c r="A1129" t="s">
        <v>167</v>
      </c>
      <c r="B1129" t="s">
        <v>4</v>
      </c>
      <c r="C1129" t="s">
        <v>549</v>
      </c>
      <c r="D1129" t="s">
        <v>550</v>
      </c>
      <c r="E1129">
        <v>20008671</v>
      </c>
      <c r="F1129" t="s">
        <v>592</v>
      </c>
      <c r="G1129">
        <v>596199</v>
      </c>
      <c r="H1129" s="184">
        <v>44161</v>
      </c>
      <c r="I1129" s="184">
        <v>44161</v>
      </c>
      <c r="J1129" t="s">
        <v>558</v>
      </c>
      <c r="K1129">
        <v>60000</v>
      </c>
      <c r="L1129" t="s">
        <v>215</v>
      </c>
    </row>
    <row r="1130" spans="1:12" x14ac:dyDescent="0.4">
      <c r="A1130" t="s">
        <v>167</v>
      </c>
      <c r="B1130" t="s">
        <v>4</v>
      </c>
      <c r="C1130" t="s">
        <v>549</v>
      </c>
      <c r="D1130" t="s">
        <v>550</v>
      </c>
      <c r="E1130">
        <v>20009090</v>
      </c>
      <c r="F1130" t="s">
        <v>593</v>
      </c>
      <c r="G1130">
        <v>588022</v>
      </c>
      <c r="H1130" s="184">
        <v>43824</v>
      </c>
      <c r="I1130" s="184">
        <v>43826</v>
      </c>
      <c r="J1130" t="s">
        <v>594</v>
      </c>
      <c r="K1130">
        <v>60000</v>
      </c>
      <c r="L1130" t="s">
        <v>195</v>
      </c>
    </row>
    <row r="1131" spans="1:12" x14ac:dyDescent="0.4">
      <c r="A1131" t="s">
        <v>167</v>
      </c>
      <c r="B1131" t="s">
        <v>4</v>
      </c>
      <c r="C1131" t="s">
        <v>549</v>
      </c>
      <c r="D1131" t="s">
        <v>550</v>
      </c>
      <c r="E1131">
        <v>20009090</v>
      </c>
      <c r="F1131" t="s">
        <v>593</v>
      </c>
      <c r="G1131">
        <v>588022</v>
      </c>
      <c r="H1131" s="184">
        <v>43824</v>
      </c>
      <c r="I1131" s="184">
        <v>43826</v>
      </c>
      <c r="J1131" t="s">
        <v>594</v>
      </c>
      <c r="K1131">
        <v>60000</v>
      </c>
      <c r="L1131" t="s">
        <v>196</v>
      </c>
    </row>
    <row r="1132" spans="1:12" x14ac:dyDescent="0.4">
      <c r="A1132" t="s">
        <v>167</v>
      </c>
      <c r="B1132" t="s">
        <v>4</v>
      </c>
      <c r="C1132" t="s">
        <v>549</v>
      </c>
      <c r="D1132" t="s">
        <v>550</v>
      </c>
      <c r="E1132">
        <v>20009090</v>
      </c>
      <c r="F1132" t="s">
        <v>593</v>
      </c>
      <c r="G1132">
        <v>588022</v>
      </c>
      <c r="H1132" s="184">
        <v>43824</v>
      </c>
      <c r="I1132" s="184">
        <v>43826</v>
      </c>
      <c r="J1132" t="s">
        <v>594</v>
      </c>
      <c r="K1132">
        <v>60000</v>
      </c>
      <c r="L1132" t="s">
        <v>197</v>
      </c>
    </row>
    <row r="1133" spans="1:12" x14ac:dyDescent="0.4">
      <c r="A1133" t="s">
        <v>167</v>
      </c>
      <c r="B1133" t="s">
        <v>4</v>
      </c>
      <c r="C1133" t="s">
        <v>549</v>
      </c>
      <c r="D1133" t="s">
        <v>550</v>
      </c>
      <c r="E1133">
        <v>20009090</v>
      </c>
      <c r="F1133" t="s">
        <v>593</v>
      </c>
      <c r="G1133">
        <v>588022</v>
      </c>
      <c r="H1133" s="184">
        <v>43824</v>
      </c>
      <c r="I1133" s="184">
        <v>43826</v>
      </c>
      <c r="J1133" t="s">
        <v>594</v>
      </c>
      <c r="K1133">
        <v>60000</v>
      </c>
      <c r="L1133" t="s">
        <v>198</v>
      </c>
    </row>
    <row r="1134" spans="1:12" x14ac:dyDescent="0.4">
      <c r="A1134" t="s">
        <v>167</v>
      </c>
      <c r="B1134" t="s">
        <v>4</v>
      </c>
      <c r="C1134" t="s">
        <v>549</v>
      </c>
      <c r="D1134" t="s">
        <v>550</v>
      </c>
      <c r="E1134">
        <v>20009090</v>
      </c>
      <c r="F1134" t="s">
        <v>593</v>
      </c>
      <c r="G1134">
        <v>588022</v>
      </c>
      <c r="H1134" s="184">
        <v>43824</v>
      </c>
      <c r="I1134" s="184">
        <v>43826</v>
      </c>
      <c r="J1134" t="s">
        <v>594</v>
      </c>
      <c r="K1134">
        <v>60000</v>
      </c>
      <c r="L1134" t="s">
        <v>199</v>
      </c>
    </row>
    <row r="1135" spans="1:12" x14ac:dyDescent="0.4">
      <c r="A1135" t="s">
        <v>167</v>
      </c>
      <c r="B1135" t="s">
        <v>4</v>
      </c>
      <c r="C1135" t="s">
        <v>549</v>
      </c>
      <c r="D1135" t="s">
        <v>550</v>
      </c>
      <c r="E1135">
        <v>20009090</v>
      </c>
      <c r="F1135" t="s">
        <v>593</v>
      </c>
      <c r="G1135">
        <v>588022</v>
      </c>
      <c r="H1135" s="184">
        <v>43824</v>
      </c>
      <c r="I1135" s="184">
        <v>43826</v>
      </c>
      <c r="J1135" t="s">
        <v>594</v>
      </c>
      <c r="K1135">
        <v>60000</v>
      </c>
      <c r="L1135" t="s">
        <v>200</v>
      </c>
    </row>
    <row r="1136" spans="1:12" x14ac:dyDescent="0.4">
      <c r="A1136" t="s">
        <v>167</v>
      </c>
      <c r="B1136" t="s">
        <v>4</v>
      </c>
      <c r="C1136" t="s">
        <v>555</v>
      </c>
      <c r="D1136" t="s">
        <v>556</v>
      </c>
      <c r="E1136">
        <v>20009601</v>
      </c>
      <c r="F1136" t="s">
        <v>595</v>
      </c>
      <c r="G1136">
        <v>592656</v>
      </c>
      <c r="H1136" s="184">
        <v>43949</v>
      </c>
      <c r="I1136" s="184">
        <v>43951</v>
      </c>
      <c r="J1136" t="s">
        <v>560</v>
      </c>
      <c r="K1136">
        <v>60000</v>
      </c>
      <c r="L1136" t="s">
        <v>363</v>
      </c>
    </row>
    <row r="1137" spans="1:12" x14ac:dyDescent="0.4">
      <c r="A1137" t="s">
        <v>167</v>
      </c>
      <c r="B1137" t="s">
        <v>4</v>
      </c>
      <c r="C1137" t="s">
        <v>555</v>
      </c>
      <c r="D1137" t="s">
        <v>556</v>
      </c>
      <c r="E1137">
        <v>20009601</v>
      </c>
      <c r="F1137" t="s">
        <v>595</v>
      </c>
      <c r="G1137">
        <v>592656</v>
      </c>
      <c r="H1137" s="184">
        <v>43949</v>
      </c>
      <c r="I1137" s="184">
        <v>43951</v>
      </c>
      <c r="J1137" t="s">
        <v>560</v>
      </c>
      <c r="K1137">
        <v>60000</v>
      </c>
      <c r="L1137" t="s">
        <v>242</v>
      </c>
    </row>
    <row r="1138" spans="1:12" x14ac:dyDescent="0.4">
      <c r="A1138" t="s">
        <v>167</v>
      </c>
      <c r="B1138" t="s">
        <v>4</v>
      </c>
      <c r="C1138" t="s">
        <v>555</v>
      </c>
      <c r="D1138" t="s">
        <v>556</v>
      </c>
      <c r="E1138">
        <v>20009601</v>
      </c>
      <c r="F1138" t="s">
        <v>595</v>
      </c>
      <c r="G1138">
        <v>592656</v>
      </c>
      <c r="H1138" s="184">
        <v>43949</v>
      </c>
      <c r="I1138" s="184">
        <v>43951</v>
      </c>
      <c r="J1138" t="s">
        <v>560</v>
      </c>
      <c r="K1138">
        <v>60000</v>
      </c>
      <c r="L1138" t="s">
        <v>312</v>
      </c>
    </row>
    <row r="1139" spans="1:12" x14ac:dyDescent="0.4">
      <c r="A1139" t="s">
        <v>167</v>
      </c>
      <c r="B1139" t="s">
        <v>4</v>
      </c>
      <c r="C1139" t="s">
        <v>555</v>
      </c>
      <c r="D1139" t="s">
        <v>556</v>
      </c>
      <c r="E1139">
        <v>20009601</v>
      </c>
      <c r="F1139" t="s">
        <v>595</v>
      </c>
      <c r="G1139">
        <v>592656</v>
      </c>
      <c r="H1139" s="184">
        <v>43949</v>
      </c>
      <c r="I1139" s="184">
        <v>43951</v>
      </c>
      <c r="J1139" t="s">
        <v>560</v>
      </c>
      <c r="K1139">
        <v>60000</v>
      </c>
      <c r="L1139" t="s">
        <v>313</v>
      </c>
    </row>
    <row r="1140" spans="1:12" x14ac:dyDescent="0.4">
      <c r="A1140" t="s">
        <v>167</v>
      </c>
      <c r="B1140" t="s">
        <v>4</v>
      </c>
      <c r="C1140" t="s">
        <v>555</v>
      </c>
      <c r="D1140" t="s">
        <v>556</v>
      </c>
      <c r="E1140">
        <v>20009601</v>
      </c>
      <c r="F1140" t="s">
        <v>595</v>
      </c>
      <c r="G1140">
        <v>592656</v>
      </c>
      <c r="H1140" s="184">
        <v>43949</v>
      </c>
      <c r="I1140" s="184">
        <v>43951</v>
      </c>
      <c r="J1140" t="s">
        <v>560</v>
      </c>
      <c r="K1140">
        <v>60000</v>
      </c>
      <c r="L1140" t="s">
        <v>314</v>
      </c>
    </row>
    <row r="1141" spans="1:12" x14ac:dyDescent="0.4">
      <c r="A1141" t="s">
        <v>167</v>
      </c>
      <c r="B1141" t="s">
        <v>4</v>
      </c>
      <c r="C1141" t="s">
        <v>555</v>
      </c>
      <c r="D1141" t="s">
        <v>556</v>
      </c>
      <c r="E1141">
        <v>20009601</v>
      </c>
      <c r="F1141" t="s">
        <v>595</v>
      </c>
      <c r="G1141">
        <v>592656</v>
      </c>
      <c r="H1141" s="184">
        <v>43949</v>
      </c>
      <c r="I1141" s="184">
        <v>43951</v>
      </c>
      <c r="J1141" t="s">
        <v>560</v>
      </c>
      <c r="K1141">
        <v>60000</v>
      </c>
      <c r="L1141" t="s">
        <v>315</v>
      </c>
    </row>
    <row r="1142" spans="1:12" x14ac:dyDescent="0.4">
      <c r="A1142" t="s">
        <v>167</v>
      </c>
      <c r="B1142" t="s">
        <v>4</v>
      </c>
      <c r="C1142" t="s">
        <v>549</v>
      </c>
      <c r="D1142" t="s">
        <v>550</v>
      </c>
      <c r="E1142">
        <v>20009964</v>
      </c>
      <c r="F1142" t="s">
        <v>596</v>
      </c>
      <c r="G1142">
        <v>594956</v>
      </c>
      <c r="H1142" s="184">
        <v>44097</v>
      </c>
      <c r="I1142" s="184">
        <v>44104</v>
      </c>
      <c r="J1142" t="s">
        <v>597</v>
      </c>
      <c r="K1142">
        <v>60000</v>
      </c>
      <c r="L1142" t="s">
        <v>290</v>
      </c>
    </row>
    <row r="1143" spans="1:12" x14ac:dyDescent="0.4">
      <c r="A1143" t="s">
        <v>167</v>
      </c>
      <c r="B1143" t="s">
        <v>4</v>
      </c>
      <c r="C1143" t="s">
        <v>549</v>
      </c>
      <c r="D1143" t="s">
        <v>550</v>
      </c>
      <c r="E1143">
        <v>20009964</v>
      </c>
      <c r="F1143" t="s">
        <v>596</v>
      </c>
      <c r="G1143">
        <v>594956</v>
      </c>
      <c r="H1143" s="184">
        <v>44097</v>
      </c>
      <c r="I1143" s="184">
        <v>44104</v>
      </c>
      <c r="J1143" t="s">
        <v>597</v>
      </c>
      <c r="K1143">
        <v>60000</v>
      </c>
      <c r="L1143" t="s">
        <v>291</v>
      </c>
    </row>
    <row r="1144" spans="1:12" x14ac:dyDescent="0.4">
      <c r="A1144" t="s">
        <v>167</v>
      </c>
      <c r="B1144" t="s">
        <v>4</v>
      </c>
      <c r="C1144" t="s">
        <v>549</v>
      </c>
      <c r="D1144" t="s">
        <v>550</v>
      </c>
      <c r="E1144">
        <v>20009964</v>
      </c>
      <c r="F1144" t="s">
        <v>596</v>
      </c>
      <c r="G1144">
        <v>594956</v>
      </c>
      <c r="H1144" s="184">
        <v>44097</v>
      </c>
      <c r="I1144" s="184">
        <v>44104</v>
      </c>
      <c r="J1144" t="s">
        <v>597</v>
      </c>
      <c r="K1144">
        <v>60000</v>
      </c>
      <c r="L1144" t="s">
        <v>292</v>
      </c>
    </row>
    <row r="1145" spans="1:12" x14ac:dyDescent="0.4">
      <c r="A1145" t="s">
        <v>167</v>
      </c>
      <c r="B1145" t="s">
        <v>4</v>
      </c>
      <c r="C1145" t="s">
        <v>549</v>
      </c>
      <c r="D1145" t="s">
        <v>550</v>
      </c>
      <c r="E1145">
        <v>20009964</v>
      </c>
      <c r="F1145" t="s">
        <v>596</v>
      </c>
      <c r="G1145">
        <v>594956</v>
      </c>
      <c r="H1145" s="184">
        <v>44097</v>
      </c>
      <c r="I1145" s="184">
        <v>44104</v>
      </c>
      <c r="J1145" t="s">
        <v>597</v>
      </c>
      <c r="K1145">
        <v>60000</v>
      </c>
      <c r="L1145" t="s">
        <v>293</v>
      </c>
    </row>
    <row r="1146" spans="1:12" x14ac:dyDescent="0.4">
      <c r="A1146" t="s">
        <v>167</v>
      </c>
      <c r="B1146" t="s">
        <v>4</v>
      </c>
      <c r="C1146" t="s">
        <v>549</v>
      </c>
      <c r="D1146" t="s">
        <v>550</v>
      </c>
      <c r="E1146">
        <v>20009964</v>
      </c>
      <c r="F1146" t="s">
        <v>596</v>
      </c>
      <c r="G1146">
        <v>594956</v>
      </c>
      <c r="H1146" s="184">
        <v>44097</v>
      </c>
      <c r="I1146" s="184">
        <v>44104</v>
      </c>
      <c r="J1146" t="s">
        <v>597</v>
      </c>
      <c r="K1146">
        <v>60000</v>
      </c>
      <c r="L1146" t="s">
        <v>294</v>
      </c>
    </row>
    <row r="1147" spans="1:12" x14ac:dyDescent="0.4">
      <c r="A1147" t="s">
        <v>167</v>
      </c>
      <c r="B1147" t="s">
        <v>4</v>
      </c>
      <c r="C1147" t="s">
        <v>549</v>
      </c>
      <c r="D1147" t="s">
        <v>550</v>
      </c>
      <c r="E1147">
        <v>20009964</v>
      </c>
      <c r="F1147" t="s">
        <v>596</v>
      </c>
      <c r="G1147">
        <v>594956</v>
      </c>
      <c r="H1147" s="184">
        <v>44097</v>
      </c>
      <c r="I1147" s="184">
        <v>44104</v>
      </c>
      <c r="J1147" t="s">
        <v>597</v>
      </c>
      <c r="K1147">
        <v>60000</v>
      </c>
      <c r="L1147" t="s">
        <v>295</v>
      </c>
    </row>
    <row r="1148" spans="1:12" x14ac:dyDescent="0.4">
      <c r="A1148" t="s">
        <v>167</v>
      </c>
      <c r="B1148" t="s">
        <v>4</v>
      </c>
      <c r="C1148" t="s">
        <v>549</v>
      </c>
      <c r="D1148" t="s">
        <v>550</v>
      </c>
      <c r="E1148">
        <v>20015665</v>
      </c>
      <c r="F1148" t="s">
        <v>598</v>
      </c>
      <c r="G1148">
        <v>586464</v>
      </c>
      <c r="H1148" s="184">
        <v>43815</v>
      </c>
      <c r="I1148" s="184">
        <v>43817</v>
      </c>
      <c r="J1148" t="s">
        <v>562</v>
      </c>
      <c r="K1148">
        <v>60000</v>
      </c>
      <c r="L1148" t="s">
        <v>195</v>
      </c>
    </row>
    <row r="1149" spans="1:12" x14ac:dyDescent="0.4">
      <c r="A1149" t="s">
        <v>167</v>
      </c>
      <c r="B1149" t="s">
        <v>4</v>
      </c>
      <c r="C1149" t="s">
        <v>549</v>
      </c>
      <c r="D1149" t="s">
        <v>550</v>
      </c>
      <c r="E1149">
        <v>20015665</v>
      </c>
      <c r="F1149" t="s">
        <v>598</v>
      </c>
      <c r="G1149">
        <v>586464</v>
      </c>
      <c r="H1149" s="184">
        <v>43815</v>
      </c>
      <c r="I1149" s="184">
        <v>43817</v>
      </c>
      <c r="J1149" t="s">
        <v>562</v>
      </c>
      <c r="K1149">
        <v>60000</v>
      </c>
      <c r="L1149" t="s">
        <v>196</v>
      </c>
    </row>
    <row r="1150" spans="1:12" x14ac:dyDescent="0.4">
      <c r="A1150" t="s">
        <v>167</v>
      </c>
      <c r="B1150" t="s">
        <v>4</v>
      </c>
      <c r="C1150" t="s">
        <v>549</v>
      </c>
      <c r="D1150" t="s">
        <v>550</v>
      </c>
      <c r="E1150">
        <v>20015665</v>
      </c>
      <c r="F1150" t="s">
        <v>598</v>
      </c>
      <c r="G1150">
        <v>586464</v>
      </c>
      <c r="H1150" s="184">
        <v>43815</v>
      </c>
      <c r="I1150" s="184">
        <v>43817</v>
      </c>
      <c r="J1150" t="s">
        <v>562</v>
      </c>
      <c r="K1150">
        <v>60000</v>
      </c>
      <c r="L1150" t="s">
        <v>197</v>
      </c>
    </row>
    <row r="1151" spans="1:12" x14ac:dyDescent="0.4">
      <c r="A1151" t="s">
        <v>167</v>
      </c>
      <c r="B1151" t="s">
        <v>4</v>
      </c>
      <c r="C1151" t="s">
        <v>549</v>
      </c>
      <c r="D1151" t="s">
        <v>550</v>
      </c>
      <c r="E1151">
        <v>20015665</v>
      </c>
      <c r="F1151" t="s">
        <v>598</v>
      </c>
      <c r="G1151">
        <v>586464</v>
      </c>
      <c r="H1151" s="184">
        <v>43815</v>
      </c>
      <c r="I1151" s="184">
        <v>43817</v>
      </c>
      <c r="J1151" t="s">
        <v>562</v>
      </c>
      <c r="K1151">
        <v>60000</v>
      </c>
      <c r="L1151" t="s">
        <v>198</v>
      </c>
    </row>
    <row r="1152" spans="1:12" x14ac:dyDescent="0.4">
      <c r="A1152" t="s">
        <v>167</v>
      </c>
      <c r="B1152" t="s">
        <v>4</v>
      </c>
      <c r="C1152" t="s">
        <v>549</v>
      </c>
      <c r="D1152" t="s">
        <v>550</v>
      </c>
      <c r="E1152">
        <v>20015665</v>
      </c>
      <c r="F1152" t="s">
        <v>598</v>
      </c>
      <c r="G1152">
        <v>586464</v>
      </c>
      <c r="H1152" s="184">
        <v>43815</v>
      </c>
      <c r="I1152" s="184">
        <v>43817</v>
      </c>
      <c r="J1152" t="s">
        <v>562</v>
      </c>
      <c r="K1152">
        <v>60000</v>
      </c>
      <c r="L1152" t="s">
        <v>199</v>
      </c>
    </row>
    <row r="1153" spans="1:12" x14ac:dyDescent="0.4">
      <c r="A1153" t="s">
        <v>167</v>
      </c>
      <c r="B1153" t="s">
        <v>4</v>
      </c>
      <c r="C1153" t="s">
        <v>549</v>
      </c>
      <c r="D1153" t="s">
        <v>550</v>
      </c>
      <c r="E1153">
        <v>20015665</v>
      </c>
      <c r="F1153" t="s">
        <v>598</v>
      </c>
      <c r="G1153">
        <v>586464</v>
      </c>
      <c r="H1153" s="184">
        <v>43815</v>
      </c>
      <c r="I1153" s="184">
        <v>43817</v>
      </c>
      <c r="J1153" t="s">
        <v>562</v>
      </c>
      <c r="K1153">
        <v>60000</v>
      </c>
      <c r="L1153" t="s">
        <v>200</v>
      </c>
    </row>
    <row r="1154" spans="1:12" x14ac:dyDescent="0.4">
      <c r="A1154" t="s">
        <v>167</v>
      </c>
      <c r="B1154" t="s">
        <v>4</v>
      </c>
      <c r="C1154" t="s">
        <v>555</v>
      </c>
      <c r="D1154" t="s">
        <v>556</v>
      </c>
      <c r="E1154">
        <v>20016211</v>
      </c>
      <c r="F1154" t="s">
        <v>599</v>
      </c>
      <c r="G1154">
        <v>591866</v>
      </c>
      <c r="H1154" s="184">
        <v>44042</v>
      </c>
      <c r="I1154" s="184">
        <v>44047</v>
      </c>
      <c r="J1154" t="s">
        <v>390</v>
      </c>
      <c r="K1154">
        <v>60000</v>
      </c>
      <c r="L1154" t="s">
        <v>203</v>
      </c>
    </row>
    <row r="1155" spans="1:12" x14ac:dyDescent="0.4">
      <c r="A1155" t="s">
        <v>167</v>
      </c>
      <c r="B1155" t="s">
        <v>4</v>
      </c>
      <c r="C1155" t="s">
        <v>555</v>
      </c>
      <c r="D1155" t="s">
        <v>556</v>
      </c>
      <c r="E1155">
        <v>20016211</v>
      </c>
      <c r="F1155" t="s">
        <v>599</v>
      </c>
      <c r="G1155">
        <v>591866</v>
      </c>
      <c r="H1155" s="184">
        <v>44042</v>
      </c>
      <c r="I1155" s="184">
        <v>44047</v>
      </c>
      <c r="J1155" t="s">
        <v>390</v>
      </c>
      <c r="K1155">
        <v>60000</v>
      </c>
      <c r="L1155" t="s">
        <v>204</v>
      </c>
    </row>
    <row r="1156" spans="1:12" x14ac:dyDescent="0.4">
      <c r="A1156" t="s">
        <v>167</v>
      </c>
      <c r="B1156" t="s">
        <v>4</v>
      </c>
      <c r="C1156" t="s">
        <v>555</v>
      </c>
      <c r="D1156" t="s">
        <v>556</v>
      </c>
      <c r="E1156">
        <v>20016211</v>
      </c>
      <c r="F1156" t="s">
        <v>599</v>
      </c>
      <c r="G1156">
        <v>591866</v>
      </c>
      <c r="H1156" s="184">
        <v>44042</v>
      </c>
      <c r="I1156" s="184">
        <v>44047</v>
      </c>
      <c r="J1156" t="s">
        <v>390</v>
      </c>
      <c r="K1156">
        <v>60000</v>
      </c>
      <c r="L1156" t="s">
        <v>205</v>
      </c>
    </row>
    <row r="1157" spans="1:12" x14ac:dyDescent="0.4">
      <c r="A1157" t="s">
        <v>167</v>
      </c>
      <c r="B1157" t="s">
        <v>4</v>
      </c>
      <c r="C1157" t="s">
        <v>555</v>
      </c>
      <c r="D1157" t="s">
        <v>556</v>
      </c>
      <c r="E1157">
        <v>20016211</v>
      </c>
      <c r="F1157" t="s">
        <v>599</v>
      </c>
      <c r="G1157">
        <v>591866</v>
      </c>
      <c r="H1157" s="184">
        <v>44042</v>
      </c>
      <c r="I1157" s="184">
        <v>44047</v>
      </c>
      <c r="J1157" t="s">
        <v>390</v>
      </c>
      <c r="K1157">
        <v>60000</v>
      </c>
      <c r="L1157" t="s">
        <v>206</v>
      </c>
    </row>
    <row r="1158" spans="1:12" x14ac:dyDescent="0.4">
      <c r="A1158" t="s">
        <v>167</v>
      </c>
      <c r="B1158" t="s">
        <v>4</v>
      </c>
      <c r="C1158" t="s">
        <v>555</v>
      </c>
      <c r="D1158" t="s">
        <v>556</v>
      </c>
      <c r="E1158">
        <v>20016211</v>
      </c>
      <c r="F1158" t="s">
        <v>599</v>
      </c>
      <c r="G1158">
        <v>591866</v>
      </c>
      <c r="H1158" s="184">
        <v>44042</v>
      </c>
      <c r="I1158" s="184">
        <v>44047</v>
      </c>
      <c r="J1158" t="s">
        <v>390</v>
      </c>
      <c r="K1158">
        <v>60000</v>
      </c>
      <c r="L1158" t="s">
        <v>207</v>
      </c>
    </row>
    <row r="1159" spans="1:12" x14ac:dyDescent="0.4">
      <c r="A1159" t="s">
        <v>167</v>
      </c>
      <c r="B1159" t="s">
        <v>4</v>
      </c>
      <c r="C1159" t="s">
        <v>555</v>
      </c>
      <c r="D1159" t="s">
        <v>556</v>
      </c>
      <c r="E1159">
        <v>20016211</v>
      </c>
      <c r="F1159" t="s">
        <v>599</v>
      </c>
      <c r="G1159">
        <v>591866</v>
      </c>
      <c r="H1159" s="184">
        <v>44042</v>
      </c>
      <c r="I1159" s="184">
        <v>44047</v>
      </c>
      <c r="J1159" t="s">
        <v>390</v>
      </c>
      <c r="K1159">
        <v>60000</v>
      </c>
      <c r="L1159" t="s">
        <v>208</v>
      </c>
    </row>
    <row r="1160" spans="1:12" x14ac:dyDescent="0.4">
      <c r="A1160" t="s">
        <v>167</v>
      </c>
      <c r="B1160" t="s">
        <v>4</v>
      </c>
      <c r="C1160" t="s">
        <v>555</v>
      </c>
      <c r="D1160" t="s">
        <v>556</v>
      </c>
      <c r="E1160">
        <v>20016739</v>
      </c>
      <c r="F1160" t="s">
        <v>600</v>
      </c>
      <c r="G1160">
        <v>596577</v>
      </c>
      <c r="H1160" s="184">
        <v>44187</v>
      </c>
      <c r="I1160" s="184">
        <v>44190</v>
      </c>
      <c r="J1160" t="s">
        <v>601</v>
      </c>
      <c r="K1160">
        <v>60000</v>
      </c>
      <c r="L1160" t="s">
        <v>186</v>
      </c>
    </row>
    <row r="1161" spans="1:12" x14ac:dyDescent="0.4">
      <c r="A1161" t="s">
        <v>167</v>
      </c>
      <c r="B1161" t="s">
        <v>4</v>
      </c>
      <c r="C1161" t="s">
        <v>555</v>
      </c>
      <c r="D1161" t="s">
        <v>556</v>
      </c>
      <c r="E1161">
        <v>20016739</v>
      </c>
      <c r="F1161" t="s">
        <v>600</v>
      </c>
      <c r="G1161">
        <v>596577</v>
      </c>
      <c r="H1161" s="184">
        <v>44187</v>
      </c>
      <c r="I1161" s="184">
        <v>44190</v>
      </c>
      <c r="J1161" t="s">
        <v>601</v>
      </c>
      <c r="K1161">
        <v>60000</v>
      </c>
      <c r="L1161" t="s">
        <v>197</v>
      </c>
    </row>
    <row r="1162" spans="1:12" x14ac:dyDescent="0.4">
      <c r="A1162" t="s">
        <v>167</v>
      </c>
      <c r="B1162" t="s">
        <v>4</v>
      </c>
      <c r="C1162" t="s">
        <v>555</v>
      </c>
      <c r="D1162" t="s">
        <v>556</v>
      </c>
      <c r="E1162">
        <v>20016739</v>
      </c>
      <c r="F1162" t="s">
        <v>600</v>
      </c>
      <c r="G1162">
        <v>596577</v>
      </c>
      <c r="H1162" s="184">
        <v>44187</v>
      </c>
      <c r="I1162" s="184">
        <v>44190</v>
      </c>
      <c r="J1162" t="s">
        <v>601</v>
      </c>
      <c r="K1162">
        <v>60000</v>
      </c>
      <c r="L1162" t="s">
        <v>198</v>
      </c>
    </row>
    <row r="1163" spans="1:12" x14ac:dyDescent="0.4">
      <c r="A1163" t="s">
        <v>167</v>
      </c>
      <c r="B1163" t="s">
        <v>4</v>
      </c>
      <c r="C1163" t="s">
        <v>555</v>
      </c>
      <c r="D1163" t="s">
        <v>556</v>
      </c>
      <c r="E1163">
        <v>20016739</v>
      </c>
      <c r="F1163" t="s">
        <v>600</v>
      </c>
      <c r="G1163">
        <v>596577</v>
      </c>
      <c r="H1163" s="184">
        <v>44187</v>
      </c>
      <c r="I1163" s="184">
        <v>44190</v>
      </c>
      <c r="J1163" t="s">
        <v>601</v>
      </c>
      <c r="K1163">
        <v>60000</v>
      </c>
      <c r="L1163" t="s">
        <v>199</v>
      </c>
    </row>
    <row r="1164" spans="1:12" x14ac:dyDescent="0.4">
      <c r="A1164" t="s">
        <v>167</v>
      </c>
      <c r="B1164" t="s">
        <v>4</v>
      </c>
      <c r="C1164" t="s">
        <v>555</v>
      </c>
      <c r="D1164" t="s">
        <v>556</v>
      </c>
      <c r="E1164">
        <v>20016739</v>
      </c>
      <c r="F1164" t="s">
        <v>600</v>
      </c>
      <c r="G1164">
        <v>596577</v>
      </c>
      <c r="H1164" s="184">
        <v>44187</v>
      </c>
      <c r="I1164" s="184">
        <v>44190</v>
      </c>
      <c r="J1164" t="s">
        <v>601</v>
      </c>
      <c r="K1164">
        <v>60000</v>
      </c>
      <c r="L1164" t="s">
        <v>200</v>
      </c>
    </row>
    <row r="1165" spans="1:12" x14ac:dyDescent="0.4">
      <c r="A1165" t="s">
        <v>167</v>
      </c>
      <c r="B1165" t="s">
        <v>4</v>
      </c>
      <c r="C1165" t="s">
        <v>555</v>
      </c>
      <c r="D1165" t="s">
        <v>556</v>
      </c>
      <c r="E1165">
        <v>20016739</v>
      </c>
      <c r="F1165" t="s">
        <v>600</v>
      </c>
      <c r="G1165">
        <v>596577</v>
      </c>
      <c r="H1165" s="184">
        <v>44187</v>
      </c>
      <c r="I1165" s="184">
        <v>44190</v>
      </c>
      <c r="J1165" t="s">
        <v>601</v>
      </c>
      <c r="K1165">
        <v>60000</v>
      </c>
      <c r="L1165" t="s">
        <v>302</v>
      </c>
    </row>
    <row r="1166" spans="1:12" x14ac:dyDescent="0.4">
      <c r="A1166" t="s">
        <v>167</v>
      </c>
      <c r="B1166" t="s">
        <v>4</v>
      </c>
      <c r="C1166" t="s">
        <v>549</v>
      </c>
      <c r="D1166" t="s">
        <v>550</v>
      </c>
      <c r="E1166">
        <v>20016778</v>
      </c>
      <c r="F1166" t="s">
        <v>602</v>
      </c>
      <c r="G1166">
        <v>590130</v>
      </c>
      <c r="H1166" s="184">
        <v>43822</v>
      </c>
      <c r="I1166" s="184">
        <v>43824</v>
      </c>
      <c r="J1166" t="s">
        <v>603</v>
      </c>
      <c r="K1166">
        <v>60000</v>
      </c>
      <c r="L1166" t="s">
        <v>195</v>
      </c>
    </row>
    <row r="1167" spans="1:12" x14ac:dyDescent="0.4">
      <c r="A1167" t="s">
        <v>167</v>
      </c>
      <c r="B1167" t="s">
        <v>4</v>
      </c>
      <c r="C1167" t="s">
        <v>549</v>
      </c>
      <c r="D1167" t="s">
        <v>550</v>
      </c>
      <c r="E1167">
        <v>20016778</v>
      </c>
      <c r="F1167" t="s">
        <v>602</v>
      </c>
      <c r="G1167">
        <v>590130</v>
      </c>
      <c r="H1167" s="184">
        <v>43822</v>
      </c>
      <c r="I1167" s="184">
        <v>43824</v>
      </c>
      <c r="J1167" t="s">
        <v>603</v>
      </c>
      <c r="K1167">
        <v>60000</v>
      </c>
      <c r="L1167" t="s">
        <v>196</v>
      </c>
    </row>
    <row r="1168" spans="1:12" x14ac:dyDescent="0.4">
      <c r="A1168" t="s">
        <v>167</v>
      </c>
      <c r="B1168" t="s">
        <v>4</v>
      </c>
      <c r="C1168" t="s">
        <v>549</v>
      </c>
      <c r="D1168" t="s">
        <v>550</v>
      </c>
      <c r="E1168">
        <v>20016778</v>
      </c>
      <c r="F1168" t="s">
        <v>602</v>
      </c>
      <c r="G1168">
        <v>590130</v>
      </c>
      <c r="H1168" s="184">
        <v>43822</v>
      </c>
      <c r="I1168" s="184">
        <v>43824</v>
      </c>
      <c r="J1168" t="s">
        <v>603</v>
      </c>
      <c r="K1168">
        <v>60000</v>
      </c>
      <c r="L1168" t="s">
        <v>197</v>
      </c>
    </row>
    <row r="1169" spans="1:12" x14ac:dyDescent="0.4">
      <c r="A1169" t="s">
        <v>167</v>
      </c>
      <c r="B1169" t="s">
        <v>4</v>
      </c>
      <c r="C1169" t="s">
        <v>549</v>
      </c>
      <c r="D1169" t="s">
        <v>550</v>
      </c>
      <c r="E1169">
        <v>20016778</v>
      </c>
      <c r="F1169" t="s">
        <v>602</v>
      </c>
      <c r="G1169">
        <v>590130</v>
      </c>
      <c r="H1169" s="184">
        <v>43822</v>
      </c>
      <c r="I1169" s="184">
        <v>43824</v>
      </c>
      <c r="J1169" t="s">
        <v>603</v>
      </c>
      <c r="K1169">
        <v>60000</v>
      </c>
      <c r="L1169" t="s">
        <v>198</v>
      </c>
    </row>
    <row r="1170" spans="1:12" x14ac:dyDescent="0.4">
      <c r="A1170" t="s">
        <v>167</v>
      </c>
      <c r="B1170" t="s">
        <v>4</v>
      </c>
      <c r="C1170" t="s">
        <v>549</v>
      </c>
      <c r="D1170" t="s">
        <v>550</v>
      </c>
      <c r="E1170">
        <v>20016778</v>
      </c>
      <c r="F1170" t="s">
        <v>602</v>
      </c>
      <c r="G1170">
        <v>590130</v>
      </c>
      <c r="H1170" s="184">
        <v>43822</v>
      </c>
      <c r="I1170" s="184">
        <v>43824</v>
      </c>
      <c r="J1170" t="s">
        <v>603</v>
      </c>
      <c r="K1170">
        <v>60000</v>
      </c>
      <c r="L1170" t="s">
        <v>199</v>
      </c>
    </row>
    <row r="1171" spans="1:12" x14ac:dyDescent="0.4">
      <c r="A1171" t="s">
        <v>167</v>
      </c>
      <c r="B1171" t="s">
        <v>4</v>
      </c>
      <c r="C1171" t="s">
        <v>549</v>
      </c>
      <c r="D1171" t="s">
        <v>550</v>
      </c>
      <c r="E1171">
        <v>20016778</v>
      </c>
      <c r="F1171" t="s">
        <v>602</v>
      </c>
      <c r="G1171">
        <v>590130</v>
      </c>
      <c r="H1171" s="184">
        <v>43822</v>
      </c>
      <c r="I1171" s="184">
        <v>43824</v>
      </c>
      <c r="J1171" t="s">
        <v>603</v>
      </c>
      <c r="K1171">
        <v>60000</v>
      </c>
      <c r="L1171" t="s">
        <v>200</v>
      </c>
    </row>
    <row r="1172" spans="1:12" x14ac:dyDescent="0.4">
      <c r="A1172" t="s">
        <v>167</v>
      </c>
      <c r="B1172" t="s">
        <v>4</v>
      </c>
      <c r="C1172" t="s">
        <v>549</v>
      </c>
      <c r="D1172" t="s">
        <v>550</v>
      </c>
      <c r="E1172">
        <v>20017177</v>
      </c>
      <c r="F1172" t="s">
        <v>604</v>
      </c>
      <c r="G1172">
        <v>594624</v>
      </c>
      <c r="H1172" s="184">
        <v>44090</v>
      </c>
      <c r="I1172" s="184">
        <v>44104</v>
      </c>
      <c r="J1172" t="s">
        <v>605</v>
      </c>
      <c r="K1172">
        <v>60000</v>
      </c>
      <c r="L1172" t="s">
        <v>290</v>
      </c>
    </row>
    <row r="1173" spans="1:12" x14ac:dyDescent="0.4">
      <c r="A1173" t="s">
        <v>167</v>
      </c>
      <c r="B1173" t="s">
        <v>4</v>
      </c>
      <c r="C1173" t="s">
        <v>549</v>
      </c>
      <c r="D1173" t="s">
        <v>550</v>
      </c>
      <c r="E1173">
        <v>20017177</v>
      </c>
      <c r="F1173" t="s">
        <v>604</v>
      </c>
      <c r="G1173">
        <v>594624</v>
      </c>
      <c r="H1173" s="184">
        <v>44090</v>
      </c>
      <c r="I1173" s="184">
        <v>44104</v>
      </c>
      <c r="J1173" t="s">
        <v>605</v>
      </c>
      <c r="K1173">
        <v>60000</v>
      </c>
      <c r="L1173" t="s">
        <v>291</v>
      </c>
    </row>
    <row r="1174" spans="1:12" x14ac:dyDescent="0.4">
      <c r="A1174" t="s">
        <v>167</v>
      </c>
      <c r="B1174" t="s">
        <v>4</v>
      </c>
      <c r="C1174" t="s">
        <v>549</v>
      </c>
      <c r="D1174" t="s">
        <v>550</v>
      </c>
      <c r="E1174">
        <v>20017177</v>
      </c>
      <c r="F1174" t="s">
        <v>604</v>
      </c>
      <c r="G1174">
        <v>594624</v>
      </c>
      <c r="H1174" s="184">
        <v>44090</v>
      </c>
      <c r="I1174" s="184">
        <v>44104</v>
      </c>
      <c r="J1174" t="s">
        <v>605</v>
      </c>
      <c r="K1174">
        <v>60000</v>
      </c>
      <c r="L1174" t="s">
        <v>292</v>
      </c>
    </row>
    <row r="1175" spans="1:12" x14ac:dyDescent="0.4">
      <c r="A1175" t="s">
        <v>167</v>
      </c>
      <c r="B1175" t="s">
        <v>4</v>
      </c>
      <c r="C1175" t="s">
        <v>549</v>
      </c>
      <c r="D1175" t="s">
        <v>550</v>
      </c>
      <c r="E1175">
        <v>20017177</v>
      </c>
      <c r="F1175" t="s">
        <v>604</v>
      </c>
      <c r="G1175">
        <v>594624</v>
      </c>
      <c r="H1175" s="184">
        <v>44090</v>
      </c>
      <c r="I1175" s="184">
        <v>44104</v>
      </c>
      <c r="J1175" t="s">
        <v>605</v>
      </c>
      <c r="K1175">
        <v>60000</v>
      </c>
      <c r="L1175" t="s">
        <v>293</v>
      </c>
    </row>
    <row r="1176" spans="1:12" x14ac:dyDescent="0.4">
      <c r="A1176" t="s">
        <v>167</v>
      </c>
      <c r="B1176" t="s">
        <v>4</v>
      </c>
      <c r="C1176" t="s">
        <v>549</v>
      </c>
      <c r="D1176" t="s">
        <v>550</v>
      </c>
      <c r="E1176">
        <v>20017177</v>
      </c>
      <c r="F1176" t="s">
        <v>604</v>
      </c>
      <c r="G1176">
        <v>594624</v>
      </c>
      <c r="H1176" s="184">
        <v>44090</v>
      </c>
      <c r="I1176" s="184">
        <v>44104</v>
      </c>
      <c r="J1176" t="s">
        <v>605</v>
      </c>
      <c r="K1176">
        <v>60000</v>
      </c>
      <c r="L1176" t="s">
        <v>294</v>
      </c>
    </row>
    <row r="1177" spans="1:12" x14ac:dyDescent="0.4">
      <c r="A1177" t="s">
        <v>167</v>
      </c>
      <c r="B1177" t="s">
        <v>4</v>
      </c>
      <c r="C1177" t="s">
        <v>549</v>
      </c>
      <c r="D1177" t="s">
        <v>550</v>
      </c>
      <c r="E1177">
        <v>20017177</v>
      </c>
      <c r="F1177" t="s">
        <v>604</v>
      </c>
      <c r="G1177">
        <v>594624</v>
      </c>
      <c r="H1177" s="184">
        <v>44090</v>
      </c>
      <c r="I1177" s="184">
        <v>44104</v>
      </c>
      <c r="J1177" t="s">
        <v>605</v>
      </c>
      <c r="K1177">
        <v>60000</v>
      </c>
      <c r="L1177" t="s">
        <v>295</v>
      </c>
    </row>
    <row r="1178" spans="1:12" x14ac:dyDescent="0.4">
      <c r="A1178" t="s">
        <v>167</v>
      </c>
      <c r="B1178" t="s">
        <v>4</v>
      </c>
      <c r="C1178" t="s">
        <v>549</v>
      </c>
      <c r="D1178" t="s">
        <v>550</v>
      </c>
      <c r="E1178">
        <v>20017991</v>
      </c>
      <c r="F1178" t="s">
        <v>606</v>
      </c>
      <c r="G1178">
        <v>590796</v>
      </c>
      <c r="H1178" s="184">
        <v>43866</v>
      </c>
      <c r="I1178" s="184">
        <v>43880</v>
      </c>
      <c r="J1178" t="s">
        <v>607</v>
      </c>
      <c r="K1178">
        <v>60000</v>
      </c>
      <c r="L1178" t="s">
        <v>275</v>
      </c>
    </row>
    <row r="1179" spans="1:12" x14ac:dyDescent="0.4">
      <c r="A1179" t="s">
        <v>167</v>
      </c>
      <c r="B1179" t="s">
        <v>4</v>
      </c>
      <c r="C1179" t="s">
        <v>549</v>
      </c>
      <c r="D1179" t="s">
        <v>550</v>
      </c>
      <c r="E1179">
        <v>20017991</v>
      </c>
      <c r="F1179" t="s">
        <v>606</v>
      </c>
      <c r="G1179">
        <v>590796</v>
      </c>
      <c r="H1179" s="184">
        <v>43866</v>
      </c>
      <c r="I1179" s="184">
        <v>43880</v>
      </c>
      <c r="J1179" t="s">
        <v>607</v>
      </c>
      <c r="K1179">
        <v>60000</v>
      </c>
      <c r="L1179" t="s">
        <v>238</v>
      </c>
    </row>
    <row r="1180" spans="1:12" x14ac:dyDescent="0.4">
      <c r="A1180" t="s">
        <v>167</v>
      </c>
      <c r="B1180" t="s">
        <v>4</v>
      </c>
      <c r="C1180" t="s">
        <v>549</v>
      </c>
      <c r="D1180" t="s">
        <v>550</v>
      </c>
      <c r="E1180">
        <v>20017991</v>
      </c>
      <c r="F1180" t="s">
        <v>606</v>
      </c>
      <c r="G1180">
        <v>590796</v>
      </c>
      <c r="H1180" s="184">
        <v>43866</v>
      </c>
      <c r="I1180" s="184">
        <v>43880</v>
      </c>
      <c r="J1180" t="s">
        <v>607</v>
      </c>
      <c r="K1180">
        <v>60000</v>
      </c>
      <c r="L1180" t="s">
        <v>231</v>
      </c>
    </row>
    <row r="1181" spans="1:12" x14ac:dyDescent="0.4">
      <c r="A1181" t="s">
        <v>167</v>
      </c>
      <c r="B1181" t="s">
        <v>4</v>
      </c>
      <c r="C1181" t="s">
        <v>549</v>
      </c>
      <c r="D1181" t="s">
        <v>550</v>
      </c>
      <c r="E1181">
        <v>20017991</v>
      </c>
      <c r="F1181" t="s">
        <v>606</v>
      </c>
      <c r="G1181">
        <v>590796</v>
      </c>
      <c r="H1181" s="184">
        <v>43866</v>
      </c>
      <c r="I1181" s="184">
        <v>43880</v>
      </c>
      <c r="J1181" t="s">
        <v>607</v>
      </c>
      <c r="K1181">
        <v>60000</v>
      </c>
      <c r="L1181" t="s">
        <v>232</v>
      </c>
    </row>
    <row r="1182" spans="1:12" x14ac:dyDescent="0.4">
      <c r="A1182" t="s">
        <v>167</v>
      </c>
      <c r="B1182" t="s">
        <v>4</v>
      </c>
      <c r="C1182" t="s">
        <v>549</v>
      </c>
      <c r="D1182" t="s">
        <v>550</v>
      </c>
      <c r="E1182">
        <v>20017991</v>
      </c>
      <c r="F1182" t="s">
        <v>606</v>
      </c>
      <c r="G1182">
        <v>590796</v>
      </c>
      <c r="H1182" s="184">
        <v>43866</v>
      </c>
      <c r="I1182" s="184">
        <v>43880</v>
      </c>
      <c r="J1182" t="s">
        <v>607</v>
      </c>
      <c r="K1182">
        <v>60000</v>
      </c>
      <c r="L1182" t="s">
        <v>233</v>
      </c>
    </row>
    <row r="1183" spans="1:12" x14ac:dyDescent="0.4">
      <c r="A1183" t="s">
        <v>167</v>
      </c>
      <c r="B1183" t="s">
        <v>4</v>
      </c>
      <c r="C1183" t="s">
        <v>549</v>
      </c>
      <c r="D1183" t="s">
        <v>550</v>
      </c>
      <c r="E1183">
        <v>20017991</v>
      </c>
      <c r="F1183" t="s">
        <v>606</v>
      </c>
      <c r="G1183">
        <v>590796</v>
      </c>
      <c r="H1183" s="184">
        <v>43866</v>
      </c>
      <c r="I1183" s="184">
        <v>43880</v>
      </c>
      <c r="J1183" t="s">
        <v>607</v>
      </c>
      <c r="K1183">
        <v>60000</v>
      </c>
      <c r="L1183" t="s">
        <v>234</v>
      </c>
    </row>
    <row r="1184" spans="1:12" x14ac:dyDescent="0.4">
      <c r="A1184" t="s">
        <v>167</v>
      </c>
      <c r="B1184" t="s">
        <v>4</v>
      </c>
      <c r="C1184" t="s">
        <v>549</v>
      </c>
      <c r="D1184" t="s">
        <v>550</v>
      </c>
      <c r="E1184">
        <v>20018100</v>
      </c>
      <c r="F1184" t="s">
        <v>608</v>
      </c>
      <c r="G1184">
        <v>594005</v>
      </c>
      <c r="H1184" s="184">
        <v>44022</v>
      </c>
      <c r="I1184" s="184">
        <v>44027</v>
      </c>
      <c r="J1184" t="s">
        <v>609</v>
      </c>
      <c r="K1184">
        <v>60000</v>
      </c>
      <c r="L1184" t="s">
        <v>220</v>
      </c>
    </row>
    <row r="1185" spans="1:12" x14ac:dyDescent="0.4">
      <c r="A1185" t="s">
        <v>167</v>
      </c>
      <c r="B1185" t="s">
        <v>4</v>
      </c>
      <c r="C1185" t="s">
        <v>549</v>
      </c>
      <c r="D1185" t="s">
        <v>550</v>
      </c>
      <c r="E1185">
        <v>20018100</v>
      </c>
      <c r="F1185" t="s">
        <v>608</v>
      </c>
      <c r="G1185">
        <v>594005</v>
      </c>
      <c r="H1185" s="184">
        <v>44022</v>
      </c>
      <c r="I1185" s="184">
        <v>44027</v>
      </c>
      <c r="J1185" t="s">
        <v>609</v>
      </c>
      <c r="K1185">
        <v>60000</v>
      </c>
      <c r="L1185" t="s">
        <v>221</v>
      </c>
    </row>
    <row r="1186" spans="1:12" x14ac:dyDescent="0.4">
      <c r="A1186" t="s">
        <v>167</v>
      </c>
      <c r="B1186" t="s">
        <v>4</v>
      </c>
      <c r="C1186" t="s">
        <v>549</v>
      </c>
      <c r="D1186" t="s">
        <v>550</v>
      </c>
      <c r="E1186">
        <v>20018100</v>
      </c>
      <c r="F1186" t="s">
        <v>608</v>
      </c>
      <c r="G1186">
        <v>594005</v>
      </c>
      <c r="H1186" s="184">
        <v>44022</v>
      </c>
      <c r="I1186" s="184">
        <v>44027</v>
      </c>
      <c r="J1186" t="s">
        <v>609</v>
      </c>
      <c r="K1186">
        <v>60000</v>
      </c>
      <c r="L1186" t="s">
        <v>222</v>
      </c>
    </row>
    <row r="1187" spans="1:12" x14ac:dyDescent="0.4">
      <c r="A1187" t="s">
        <v>167</v>
      </c>
      <c r="B1187" t="s">
        <v>4</v>
      </c>
      <c r="C1187" t="s">
        <v>549</v>
      </c>
      <c r="D1187" t="s">
        <v>550</v>
      </c>
      <c r="E1187">
        <v>20018100</v>
      </c>
      <c r="F1187" t="s">
        <v>608</v>
      </c>
      <c r="G1187">
        <v>594005</v>
      </c>
      <c r="H1187" s="184">
        <v>44022</v>
      </c>
      <c r="I1187" s="184">
        <v>44027</v>
      </c>
      <c r="J1187" t="s">
        <v>609</v>
      </c>
      <c r="K1187">
        <v>60000</v>
      </c>
      <c r="L1187" t="s">
        <v>223</v>
      </c>
    </row>
    <row r="1188" spans="1:12" x14ac:dyDescent="0.4">
      <c r="A1188" t="s">
        <v>167</v>
      </c>
      <c r="B1188" t="s">
        <v>4</v>
      </c>
      <c r="C1188" t="s">
        <v>549</v>
      </c>
      <c r="D1188" t="s">
        <v>550</v>
      </c>
      <c r="E1188">
        <v>20018100</v>
      </c>
      <c r="F1188" t="s">
        <v>608</v>
      </c>
      <c r="G1188">
        <v>594005</v>
      </c>
      <c r="H1188" s="184">
        <v>44022</v>
      </c>
      <c r="I1188" s="184">
        <v>44027</v>
      </c>
      <c r="J1188" t="s">
        <v>609</v>
      </c>
      <c r="K1188">
        <v>60000</v>
      </c>
      <c r="L1188" t="s">
        <v>224</v>
      </c>
    </row>
    <row r="1189" spans="1:12" x14ac:dyDescent="0.4">
      <c r="A1189" t="s">
        <v>167</v>
      </c>
      <c r="B1189" t="s">
        <v>4</v>
      </c>
      <c r="C1189" t="s">
        <v>549</v>
      </c>
      <c r="D1189" t="s">
        <v>550</v>
      </c>
      <c r="E1189">
        <v>20018100</v>
      </c>
      <c r="F1189" t="s">
        <v>608</v>
      </c>
      <c r="G1189">
        <v>594005</v>
      </c>
      <c r="H1189" s="184">
        <v>44022</v>
      </c>
      <c r="I1189" s="184">
        <v>44027</v>
      </c>
      <c r="J1189" t="s">
        <v>609</v>
      </c>
      <c r="K1189">
        <v>60000</v>
      </c>
      <c r="L1189" t="s">
        <v>225</v>
      </c>
    </row>
    <row r="1190" spans="1:12" x14ac:dyDescent="0.4">
      <c r="A1190" t="s">
        <v>167</v>
      </c>
      <c r="B1190" t="s">
        <v>4</v>
      </c>
      <c r="C1190" t="s">
        <v>549</v>
      </c>
      <c r="D1190" t="s">
        <v>550</v>
      </c>
      <c r="E1190">
        <v>20018218</v>
      </c>
      <c r="F1190" t="s">
        <v>610</v>
      </c>
      <c r="G1190">
        <v>590688</v>
      </c>
      <c r="H1190" s="184">
        <v>43878</v>
      </c>
      <c r="I1190" s="184">
        <v>43880</v>
      </c>
      <c r="J1190" t="s">
        <v>566</v>
      </c>
      <c r="K1190">
        <v>60000</v>
      </c>
      <c r="L1190" t="s">
        <v>275</v>
      </c>
    </row>
    <row r="1191" spans="1:12" x14ac:dyDescent="0.4">
      <c r="A1191" t="s">
        <v>167</v>
      </c>
      <c r="B1191" t="s">
        <v>4</v>
      </c>
      <c r="C1191" t="s">
        <v>549</v>
      </c>
      <c r="D1191" t="s">
        <v>550</v>
      </c>
      <c r="E1191">
        <v>20018218</v>
      </c>
      <c r="F1191" t="s">
        <v>610</v>
      </c>
      <c r="G1191">
        <v>590688</v>
      </c>
      <c r="H1191" s="184">
        <v>43878</v>
      </c>
      <c r="I1191" s="184">
        <v>43880</v>
      </c>
      <c r="J1191" t="s">
        <v>566</v>
      </c>
      <c r="K1191">
        <v>60000</v>
      </c>
      <c r="L1191" t="s">
        <v>238</v>
      </c>
    </row>
    <row r="1192" spans="1:12" x14ac:dyDescent="0.4">
      <c r="A1192" t="s">
        <v>167</v>
      </c>
      <c r="B1192" t="s">
        <v>4</v>
      </c>
      <c r="C1192" t="s">
        <v>549</v>
      </c>
      <c r="D1192" t="s">
        <v>550</v>
      </c>
      <c r="E1192">
        <v>20018218</v>
      </c>
      <c r="F1192" t="s">
        <v>610</v>
      </c>
      <c r="G1192">
        <v>590688</v>
      </c>
      <c r="H1192" s="184">
        <v>43878</v>
      </c>
      <c r="I1192" s="184">
        <v>43880</v>
      </c>
      <c r="J1192" t="s">
        <v>566</v>
      </c>
      <c r="K1192">
        <v>60000</v>
      </c>
      <c r="L1192" t="s">
        <v>231</v>
      </c>
    </row>
    <row r="1193" spans="1:12" x14ac:dyDescent="0.4">
      <c r="A1193" t="s">
        <v>167</v>
      </c>
      <c r="B1193" t="s">
        <v>4</v>
      </c>
      <c r="C1193" t="s">
        <v>549</v>
      </c>
      <c r="D1193" t="s">
        <v>550</v>
      </c>
      <c r="E1193">
        <v>20018218</v>
      </c>
      <c r="F1193" t="s">
        <v>610</v>
      </c>
      <c r="G1193">
        <v>590688</v>
      </c>
      <c r="H1193" s="184">
        <v>43878</v>
      </c>
      <c r="I1193" s="184">
        <v>43880</v>
      </c>
      <c r="J1193" t="s">
        <v>566</v>
      </c>
      <c r="K1193">
        <v>60000</v>
      </c>
      <c r="L1193" t="s">
        <v>232</v>
      </c>
    </row>
    <row r="1194" spans="1:12" x14ac:dyDescent="0.4">
      <c r="A1194" t="s">
        <v>167</v>
      </c>
      <c r="B1194" t="s">
        <v>4</v>
      </c>
      <c r="C1194" t="s">
        <v>549</v>
      </c>
      <c r="D1194" t="s">
        <v>550</v>
      </c>
      <c r="E1194">
        <v>20018218</v>
      </c>
      <c r="F1194" t="s">
        <v>610</v>
      </c>
      <c r="G1194">
        <v>590688</v>
      </c>
      <c r="H1194" s="184">
        <v>43878</v>
      </c>
      <c r="I1194" s="184">
        <v>43880</v>
      </c>
      <c r="J1194" t="s">
        <v>566</v>
      </c>
      <c r="K1194">
        <v>60000</v>
      </c>
      <c r="L1194" t="s">
        <v>233</v>
      </c>
    </row>
    <row r="1195" spans="1:12" x14ac:dyDescent="0.4">
      <c r="A1195" t="s">
        <v>167</v>
      </c>
      <c r="B1195" t="s">
        <v>4</v>
      </c>
      <c r="C1195" t="s">
        <v>549</v>
      </c>
      <c r="D1195" t="s">
        <v>550</v>
      </c>
      <c r="E1195">
        <v>20018218</v>
      </c>
      <c r="F1195" t="s">
        <v>610</v>
      </c>
      <c r="G1195">
        <v>590688</v>
      </c>
      <c r="H1195" s="184">
        <v>43878</v>
      </c>
      <c r="I1195" s="184">
        <v>43880</v>
      </c>
      <c r="J1195" t="s">
        <v>566</v>
      </c>
      <c r="K1195">
        <v>60000</v>
      </c>
      <c r="L1195" t="s">
        <v>234</v>
      </c>
    </row>
    <row r="1196" spans="1:12" x14ac:dyDescent="0.4">
      <c r="A1196" t="s">
        <v>167</v>
      </c>
      <c r="B1196" t="s">
        <v>4</v>
      </c>
      <c r="C1196" t="s">
        <v>549</v>
      </c>
      <c r="D1196" t="s">
        <v>550</v>
      </c>
      <c r="E1196">
        <v>20018234</v>
      </c>
      <c r="F1196" t="s">
        <v>611</v>
      </c>
      <c r="G1196">
        <v>591844</v>
      </c>
      <c r="H1196" s="184">
        <v>43908</v>
      </c>
      <c r="I1196" s="184">
        <v>43908</v>
      </c>
      <c r="J1196" t="s">
        <v>392</v>
      </c>
      <c r="K1196">
        <v>60000</v>
      </c>
      <c r="L1196" t="s">
        <v>281</v>
      </c>
    </row>
    <row r="1197" spans="1:12" x14ac:dyDescent="0.4">
      <c r="A1197" t="s">
        <v>167</v>
      </c>
      <c r="B1197" t="s">
        <v>4</v>
      </c>
      <c r="C1197" t="s">
        <v>549</v>
      </c>
      <c r="D1197" t="s">
        <v>550</v>
      </c>
      <c r="E1197">
        <v>20018234</v>
      </c>
      <c r="F1197" t="s">
        <v>611</v>
      </c>
      <c r="G1197">
        <v>591844</v>
      </c>
      <c r="H1197" s="184">
        <v>43908</v>
      </c>
      <c r="I1197" s="184">
        <v>43908</v>
      </c>
      <c r="J1197" t="s">
        <v>392</v>
      </c>
      <c r="K1197">
        <v>60000</v>
      </c>
      <c r="L1197" t="s">
        <v>230</v>
      </c>
    </row>
    <row r="1198" spans="1:12" x14ac:dyDescent="0.4">
      <c r="A1198" t="s">
        <v>167</v>
      </c>
      <c r="B1198" t="s">
        <v>4</v>
      </c>
      <c r="C1198" t="s">
        <v>549</v>
      </c>
      <c r="D1198" t="s">
        <v>550</v>
      </c>
      <c r="E1198">
        <v>20018234</v>
      </c>
      <c r="F1198" t="s">
        <v>611</v>
      </c>
      <c r="G1198">
        <v>591844</v>
      </c>
      <c r="H1198" s="184">
        <v>43908</v>
      </c>
      <c r="I1198" s="184">
        <v>43908</v>
      </c>
      <c r="J1198" t="s">
        <v>392</v>
      </c>
      <c r="K1198">
        <v>60000</v>
      </c>
      <c r="L1198" t="s">
        <v>243</v>
      </c>
    </row>
    <row r="1199" spans="1:12" x14ac:dyDescent="0.4">
      <c r="A1199" t="s">
        <v>167</v>
      </c>
      <c r="B1199" t="s">
        <v>4</v>
      </c>
      <c r="C1199" t="s">
        <v>549</v>
      </c>
      <c r="D1199" t="s">
        <v>550</v>
      </c>
      <c r="E1199">
        <v>20018234</v>
      </c>
      <c r="F1199" t="s">
        <v>611</v>
      </c>
      <c r="G1199">
        <v>591844</v>
      </c>
      <c r="H1199" s="184">
        <v>43908</v>
      </c>
      <c r="I1199" s="184">
        <v>43908</v>
      </c>
      <c r="J1199" t="s">
        <v>392</v>
      </c>
      <c r="K1199">
        <v>60000</v>
      </c>
      <c r="L1199" t="s">
        <v>244</v>
      </c>
    </row>
    <row r="1200" spans="1:12" x14ac:dyDescent="0.4">
      <c r="A1200" t="s">
        <v>167</v>
      </c>
      <c r="B1200" t="s">
        <v>4</v>
      </c>
      <c r="C1200" t="s">
        <v>549</v>
      </c>
      <c r="D1200" t="s">
        <v>550</v>
      </c>
      <c r="E1200">
        <v>20018234</v>
      </c>
      <c r="F1200" t="s">
        <v>611</v>
      </c>
      <c r="G1200">
        <v>591844</v>
      </c>
      <c r="H1200" s="184">
        <v>43908</v>
      </c>
      <c r="I1200" s="184">
        <v>43908</v>
      </c>
      <c r="J1200" t="s">
        <v>392</v>
      </c>
      <c r="K1200">
        <v>60000</v>
      </c>
      <c r="L1200" t="s">
        <v>245</v>
      </c>
    </row>
    <row r="1201" spans="1:12" x14ac:dyDescent="0.4">
      <c r="A1201" t="s">
        <v>167</v>
      </c>
      <c r="B1201" t="s">
        <v>4</v>
      </c>
      <c r="C1201" t="s">
        <v>549</v>
      </c>
      <c r="D1201" t="s">
        <v>550</v>
      </c>
      <c r="E1201">
        <v>20018234</v>
      </c>
      <c r="F1201" t="s">
        <v>611</v>
      </c>
      <c r="G1201">
        <v>591844</v>
      </c>
      <c r="H1201" s="184">
        <v>43908</v>
      </c>
      <c r="I1201" s="184">
        <v>43908</v>
      </c>
      <c r="J1201" t="s">
        <v>392</v>
      </c>
      <c r="K1201">
        <v>60000</v>
      </c>
      <c r="L1201" t="s">
        <v>246</v>
      </c>
    </row>
    <row r="1202" spans="1:12" x14ac:dyDescent="0.4">
      <c r="A1202" t="s">
        <v>167</v>
      </c>
      <c r="B1202" t="s">
        <v>4</v>
      </c>
      <c r="C1202" t="s">
        <v>549</v>
      </c>
      <c r="D1202" t="s">
        <v>550</v>
      </c>
      <c r="E1202">
        <v>20018235</v>
      </c>
      <c r="F1202" t="s">
        <v>612</v>
      </c>
      <c r="G1202">
        <v>592920</v>
      </c>
      <c r="H1202" s="184">
        <v>43949</v>
      </c>
      <c r="I1202" s="184">
        <v>43951</v>
      </c>
      <c r="J1202" t="s">
        <v>560</v>
      </c>
      <c r="K1202">
        <v>60000</v>
      </c>
      <c r="L1202" t="s">
        <v>363</v>
      </c>
    </row>
    <row r="1203" spans="1:12" x14ac:dyDescent="0.4">
      <c r="A1203" t="s">
        <v>167</v>
      </c>
      <c r="B1203" t="s">
        <v>4</v>
      </c>
      <c r="C1203" t="s">
        <v>549</v>
      </c>
      <c r="D1203" t="s">
        <v>550</v>
      </c>
      <c r="E1203">
        <v>20018235</v>
      </c>
      <c r="F1203" t="s">
        <v>612</v>
      </c>
      <c r="G1203">
        <v>592920</v>
      </c>
      <c r="H1203" s="184">
        <v>43949</v>
      </c>
      <c r="I1203" s="184">
        <v>43951</v>
      </c>
      <c r="J1203" t="s">
        <v>560</v>
      </c>
      <c r="K1203">
        <v>60000</v>
      </c>
      <c r="L1203" t="s">
        <v>242</v>
      </c>
    </row>
    <row r="1204" spans="1:12" x14ac:dyDescent="0.4">
      <c r="A1204" t="s">
        <v>167</v>
      </c>
      <c r="B1204" t="s">
        <v>4</v>
      </c>
      <c r="C1204" t="s">
        <v>549</v>
      </c>
      <c r="D1204" t="s">
        <v>550</v>
      </c>
      <c r="E1204">
        <v>20018235</v>
      </c>
      <c r="F1204" t="s">
        <v>612</v>
      </c>
      <c r="G1204">
        <v>592920</v>
      </c>
      <c r="H1204" s="184">
        <v>43949</v>
      </c>
      <c r="I1204" s="184">
        <v>43951</v>
      </c>
      <c r="J1204" t="s">
        <v>560</v>
      </c>
      <c r="K1204">
        <v>60000</v>
      </c>
      <c r="L1204" t="s">
        <v>312</v>
      </c>
    </row>
    <row r="1205" spans="1:12" x14ac:dyDescent="0.4">
      <c r="A1205" t="s">
        <v>167</v>
      </c>
      <c r="B1205" t="s">
        <v>4</v>
      </c>
      <c r="C1205" t="s">
        <v>549</v>
      </c>
      <c r="D1205" t="s">
        <v>550</v>
      </c>
      <c r="E1205">
        <v>20018235</v>
      </c>
      <c r="F1205" t="s">
        <v>612</v>
      </c>
      <c r="G1205">
        <v>592920</v>
      </c>
      <c r="H1205" s="184">
        <v>43949</v>
      </c>
      <c r="I1205" s="184">
        <v>43951</v>
      </c>
      <c r="J1205" t="s">
        <v>560</v>
      </c>
      <c r="K1205">
        <v>60000</v>
      </c>
      <c r="L1205" t="s">
        <v>313</v>
      </c>
    </row>
    <row r="1206" spans="1:12" x14ac:dyDescent="0.4">
      <c r="A1206" t="s">
        <v>167</v>
      </c>
      <c r="B1206" t="s">
        <v>4</v>
      </c>
      <c r="C1206" t="s">
        <v>549</v>
      </c>
      <c r="D1206" t="s">
        <v>550</v>
      </c>
      <c r="E1206">
        <v>20018235</v>
      </c>
      <c r="F1206" t="s">
        <v>612</v>
      </c>
      <c r="G1206">
        <v>592920</v>
      </c>
      <c r="H1206" s="184">
        <v>43949</v>
      </c>
      <c r="I1206" s="184">
        <v>43951</v>
      </c>
      <c r="J1206" t="s">
        <v>560</v>
      </c>
      <c r="K1206">
        <v>60000</v>
      </c>
      <c r="L1206" t="s">
        <v>314</v>
      </c>
    </row>
    <row r="1207" spans="1:12" x14ac:dyDescent="0.4">
      <c r="A1207" t="s">
        <v>167</v>
      </c>
      <c r="B1207" t="s">
        <v>4</v>
      </c>
      <c r="C1207" t="s">
        <v>549</v>
      </c>
      <c r="D1207" t="s">
        <v>550</v>
      </c>
      <c r="E1207">
        <v>20018235</v>
      </c>
      <c r="F1207" t="s">
        <v>612</v>
      </c>
      <c r="G1207">
        <v>592920</v>
      </c>
      <c r="H1207" s="184">
        <v>43949</v>
      </c>
      <c r="I1207" s="184">
        <v>43951</v>
      </c>
      <c r="J1207" t="s">
        <v>560</v>
      </c>
      <c r="K1207">
        <v>60000</v>
      </c>
      <c r="L1207" t="s">
        <v>315</v>
      </c>
    </row>
    <row r="1208" spans="1:12" x14ac:dyDescent="0.4">
      <c r="A1208" t="s">
        <v>167</v>
      </c>
      <c r="B1208" t="s">
        <v>4</v>
      </c>
      <c r="C1208" t="s">
        <v>549</v>
      </c>
      <c r="D1208" t="s">
        <v>550</v>
      </c>
      <c r="E1208">
        <v>20018297</v>
      </c>
      <c r="F1208" t="s">
        <v>613</v>
      </c>
      <c r="G1208">
        <v>592828</v>
      </c>
      <c r="H1208" s="184">
        <v>43952</v>
      </c>
      <c r="I1208" s="184">
        <v>43964</v>
      </c>
      <c r="J1208" t="s">
        <v>614</v>
      </c>
      <c r="K1208">
        <v>60000</v>
      </c>
      <c r="L1208" t="s">
        <v>376</v>
      </c>
    </row>
    <row r="1209" spans="1:12" x14ac:dyDescent="0.4">
      <c r="A1209" t="s">
        <v>167</v>
      </c>
      <c r="B1209" t="s">
        <v>4</v>
      </c>
      <c r="C1209" t="s">
        <v>549</v>
      </c>
      <c r="D1209" t="s">
        <v>550</v>
      </c>
      <c r="E1209">
        <v>20018297</v>
      </c>
      <c r="F1209" t="s">
        <v>613</v>
      </c>
      <c r="G1209">
        <v>592828</v>
      </c>
      <c r="H1209" s="184">
        <v>43952</v>
      </c>
      <c r="I1209" s="184">
        <v>43964</v>
      </c>
      <c r="J1209" t="s">
        <v>614</v>
      </c>
      <c r="K1209">
        <v>60000</v>
      </c>
      <c r="L1209" t="s">
        <v>311</v>
      </c>
    </row>
    <row r="1210" spans="1:12" x14ac:dyDescent="0.4">
      <c r="A1210" t="s">
        <v>167</v>
      </c>
      <c r="B1210" t="s">
        <v>4</v>
      </c>
      <c r="C1210" t="s">
        <v>549</v>
      </c>
      <c r="D1210" t="s">
        <v>550</v>
      </c>
      <c r="E1210">
        <v>20018297</v>
      </c>
      <c r="F1210" t="s">
        <v>613</v>
      </c>
      <c r="G1210">
        <v>592828</v>
      </c>
      <c r="H1210" s="184">
        <v>43952</v>
      </c>
      <c r="I1210" s="184">
        <v>43964</v>
      </c>
      <c r="J1210" t="s">
        <v>614</v>
      </c>
      <c r="K1210">
        <v>60000</v>
      </c>
      <c r="L1210" t="s">
        <v>259</v>
      </c>
    </row>
    <row r="1211" spans="1:12" x14ac:dyDescent="0.4">
      <c r="A1211" t="s">
        <v>167</v>
      </c>
      <c r="B1211" t="s">
        <v>4</v>
      </c>
      <c r="C1211" t="s">
        <v>549</v>
      </c>
      <c r="D1211" t="s">
        <v>550</v>
      </c>
      <c r="E1211">
        <v>20018297</v>
      </c>
      <c r="F1211" t="s">
        <v>613</v>
      </c>
      <c r="G1211">
        <v>592828</v>
      </c>
      <c r="H1211" s="184">
        <v>43952</v>
      </c>
      <c r="I1211" s="184">
        <v>43964</v>
      </c>
      <c r="J1211" t="s">
        <v>614</v>
      </c>
      <c r="K1211">
        <v>60000</v>
      </c>
      <c r="L1211" t="s">
        <v>260</v>
      </c>
    </row>
    <row r="1212" spans="1:12" x14ac:dyDescent="0.4">
      <c r="A1212" t="s">
        <v>167</v>
      </c>
      <c r="B1212" t="s">
        <v>4</v>
      </c>
      <c r="C1212" t="s">
        <v>549</v>
      </c>
      <c r="D1212" t="s">
        <v>550</v>
      </c>
      <c r="E1212">
        <v>20018297</v>
      </c>
      <c r="F1212" t="s">
        <v>613</v>
      </c>
      <c r="G1212">
        <v>592828</v>
      </c>
      <c r="H1212" s="184">
        <v>43952</v>
      </c>
      <c r="I1212" s="184">
        <v>43964</v>
      </c>
      <c r="J1212" t="s">
        <v>614</v>
      </c>
      <c r="K1212">
        <v>60000</v>
      </c>
      <c r="L1212" t="s">
        <v>261</v>
      </c>
    </row>
    <row r="1213" spans="1:12" x14ac:dyDescent="0.4">
      <c r="A1213" t="s">
        <v>167</v>
      </c>
      <c r="B1213" t="s">
        <v>4</v>
      </c>
      <c r="C1213" t="s">
        <v>549</v>
      </c>
      <c r="D1213" t="s">
        <v>550</v>
      </c>
      <c r="E1213">
        <v>20018297</v>
      </c>
      <c r="F1213" t="s">
        <v>613</v>
      </c>
      <c r="G1213">
        <v>592828</v>
      </c>
      <c r="H1213" s="184">
        <v>43952</v>
      </c>
      <c r="I1213" s="184">
        <v>43964</v>
      </c>
      <c r="J1213" t="s">
        <v>614</v>
      </c>
      <c r="K1213">
        <v>60000</v>
      </c>
      <c r="L1213" t="s">
        <v>262</v>
      </c>
    </row>
    <row r="1214" spans="1:12" x14ac:dyDescent="0.4">
      <c r="A1214" t="s">
        <v>167</v>
      </c>
      <c r="B1214" t="s">
        <v>4</v>
      </c>
      <c r="C1214" t="s">
        <v>555</v>
      </c>
      <c r="D1214" t="s">
        <v>556</v>
      </c>
      <c r="E1214">
        <v>20018324</v>
      </c>
      <c r="F1214" t="s">
        <v>615</v>
      </c>
      <c r="G1214">
        <v>592731</v>
      </c>
      <c r="H1214" s="184">
        <v>43958</v>
      </c>
      <c r="I1214" s="184">
        <v>43964</v>
      </c>
      <c r="J1214" t="s">
        <v>614</v>
      </c>
      <c r="K1214">
        <v>60000</v>
      </c>
      <c r="L1214" t="s">
        <v>376</v>
      </c>
    </row>
    <row r="1215" spans="1:12" x14ac:dyDescent="0.4">
      <c r="A1215" t="s">
        <v>167</v>
      </c>
      <c r="B1215" t="s">
        <v>4</v>
      </c>
      <c r="C1215" t="s">
        <v>555</v>
      </c>
      <c r="D1215" t="s">
        <v>556</v>
      </c>
      <c r="E1215">
        <v>20018324</v>
      </c>
      <c r="F1215" t="s">
        <v>615</v>
      </c>
      <c r="G1215">
        <v>592731</v>
      </c>
      <c r="H1215" s="184">
        <v>43958</v>
      </c>
      <c r="I1215" s="184">
        <v>43964</v>
      </c>
      <c r="J1215" t="s">
        <v>614</v>
      </c>
      <c r="K1215">
        <v>60000</v>
      </c>
      <c r="L1215" t="s">
        <v>311</v>
      </c>
    </row>
    <row r="1216" spans="1:12" x14ac:dyDescent="0.4">
      <c r="A1216" t="s">
        <v>167</v>
      </c>
      <c r="B1216" t="s">
        <v>4</v>
      </c>
      <c r="C1216" t="s">
        <v>555</v>
      </c>
      <c r="D1216" t="s">
        <v>556</v>
      </c>
      <c r="E1216">
        <v>20018324</v>
      </c>
      <c r="F1216" t="s">
        <v>615</v>
      </c>
      <c r="G1216">
        <v>592731</v>
      </c>
      <c r="H1216" s="184">
        <v>43958</v>
      </c>
      <c r="I1216" s="184">
        <v>43964</v>
      </c>
      <c r="J1216" t="s">
        <v>614</v>
      </c>
      <c r="K1216">
        <v>60000</v>
      </c>
      <c r="L1216" t="s">
        <v>259</v>
      </c>
    </row>
    <row r="1217" spans="1:12" x14ac:dyDescent="0.4">
      <c r="A1217" t="s">
        <v>167</v>
      </c>
      <c r="B1217" t="s">
        <v>4</v>
      </c>
      <c r="C1217" t="s">
        <v>555</v>
      </c>
      <c r="D1217" t="s">
        <v>556</v>
      </c>
      <c r="E1217">
        <v>20018324</v>
      </c>
      <c r="F1217" t="s">
        <v>615</v>
      </c>
      <c r="G1217">
        <v>592731</v>
      </c>
      <c r="H1217" s="184">
        <v>43958</v>
      </c>
      <c r="I1217" s="184">
        <v>43964</v>
      </c>
      <c r="J1217" t="s">
        <v>614</v>
      </c>
      <c r="K1217">
        <v>60000</v>
      </c>
      <c r="L1217" t="s">
        <v>260</v>
      </c>
    </row>
    <row r="1218" spans="1:12" x14ac:dyDescent="0.4">
      <c r="A1218" t="s">
        <v>167</v>
      </c>
      <c r="B1218" t="s">
        <v>4</v>
      </c>
      <c r="C1218" t="s">
        <v>555</v>
      </c>
      <c r="D1218" t="s">
        <v>556</v>
      </c>
      <c r="E1218">
        <v>20018324</v>
      </c>
      <c r="F1218" t="s">
        <v>615</v>
      </c>
      <c r="G1218">
        <v>592731</v>
      </c>
      <c r="H1218" s="184">
        <v>43958</v>
      </c>
      <c r="I1218" s="184">
        <v>43964</v>
      </c>
      <c r="J1218" t="s">
        <v>614</v>
      </c>
      <c r="K1218">
        <v>60000</v>
      </c>
      <c r="L1218" t="s">
        <v>261</v>
      </c>
    </row>
    <row r="1219" spans="1:12" x14ac:dyDescent="0.4">
      <c r="A1219" t="s">
        <v>167</v>
      </c>
      <c r="B1219" t="s">
        <v>4</v>
      </c>
      <c r="C1219" t="s">
        <v>555</v>
      </c>
      <c r="D1219" t="s">
        <v>556</v>
      </c>
      <c r="E1219">
        <v>20018324</v>
      </c>
      <c r="F1219" t="s">
        <v>615</v>
      </c>
      <c r="G1219">
        <v>592731</v>
      </c>
      <c r="H1219" s="184">
        <v>43958</v>
      </c>
      <c r="I1219" s="184">
        <v>43964</v>
      </c>
      <c r="J1219" t="s">
        <v>614</v>
      </c>
      <c r="K1219">
        <v>60000</v>
      </c>
      <c r="L1219" t="s">
        <v>262</v>
      </c>
    </row>
    <row r="1220" spans="1:12" x14ac:dyDescent="0.4">
      <c r="A1220" t="s">
        <v>167</v>
      </c>
      <c r="B1220" t="s">
        <v>4</v>
      </c>
      <c r="C1220" t="s">
        <v>549</v>
      </c>
      <c r="D1220" t="s">
        <v>550</v>
      </c>
      <c r="E1220">
        <v>20018401</v>
      </c>
      <c r="F1220" t="s">
        <v>616</v>
      </c>
      <c r="G1220">
        <v>598508</v>
      </c>
      <c r="H1220" s="184">
        <v>44285</v>
      </c>
      <c r="I1220" s="184">
        <v>44285</v>
      </c>
      <c r="J1220" t="s">
        <v>478</v>
      </c>
      <c r="K1220">
        <v>60000</v>
      </c>
      <c r="L1220" t="s">
        <v>242</v>
      </c>
    </row>
    <row r="1221" spans="1:12" x14ac:dyDescent="0.4">
      <c r="A1221" t="s">
        <v>167</v>
      </c>
      <c r="B1221" t="s">
        <v>4</v>
      </c>
      <c r="C1221" t="s">
        <v>549</v>
      </c>
      <c r="D1221" t="s">
        <v>550</v>
      </c>
      <c r="E1221">
        <v>20018401</v>
      </c>
      <c r="F1221" t="s">
        <v>616</v>
      </c>
      <c r="G1221">
        <v>598508</v>
      </c>
      <c r="H1221" s="184">
        <v>44285</v>
      </c>
      <c r="I1221" s="184">
        <v>44285</v>
      </c>
      <c r="J1221" t="s">
        <v>478</v>
      </c>
      <c r="K1221">
        <v>60000</v>
      </c>
      <c r="L1221" t="s">
        <v>243</v>
      </c>
    </row>
    <row r="1222" spans="1:12" x14ac:dyDescent="0.4">
      <c r="A1222" t="s">
        <v>167</v>
      </c>
      <c r="B1222" t="s">
        <v>4</v>
      </c>
      <c r="C1222" t="s">
        <v>549</v>
      </c>
      <c r="D1222" t="s">
        <v>550</v>
      </c>
      <c r="E1222">
        <v>20018401</v>
      </c>
      <c r="F1222" t="s">
        <v>616</v>
      </c>
      <c r="G1222">
        <v>598508</v>
      </c>
      <c r="H1222" s="184">
        <v>44285</v>
      </c>
      <c r="I1222" s="184">
        <v>44285</v>
      </c>
      <c r="J1222" t="s">
        <v>478</v>
      </c>
      <c r="K1222">
        <v>60000</v>
      </c>
      <c r="L1222" t="s">
        <v>244</v>
      </c>
    </row>
    <row r="1223" spans="1:12" x14ac:dyDescent="0.4">
      <c r="A1223" t="s">
        <v>167</v>
      </c>
      <c r="B1223" t="s">
        <v>4</v>
      </c>
      <c r="C1223" t="s">
        <v>549</v>
      </c>
      <c r="D1223" t="s">
        <v>550</v>
      </c>
      <c r="E1223">
        <v>20018401</v>
      </c>
      <c r="F1223" t="s">
        <v>616</v>
      </c>
      <c r="G1223">
        <v>598508</v>
      </c>
      <c r="H1223" s="184">
        <v>44285</v>
      </c>
      <c r="I1223" s="184">
        <v>44285</v>
      </c>
      <c r="J1223" t="s">
        <v>478</v>
      </c>
      <c r="K1223">
        <v>60000</v>
      </c>
      <c r="L1223" t="s">
        <v>245</v>
      </c>
    </row>
    <row r="1224" spans="1:12" x14ac:dyDescent="0.4">
      <c r="A1224" t="s">
        <v>167</v>
      </c>
      <c r="B1224" t="s">
        <v>4</v>
      </c>
      <c r="C1224" t="s">
        <v>549</v>
      </c>
      <c r="D1224" t="s">
        <v>550</v>
      </c>
      <c r="E1224">
        <v>20018401</v>
      </c>
      <c r="F1224" t="s">
        <v>616</v>
      </c>
      <c r="G1224">
        <v>598508</v>
      </c>
      <c r="H1224" s="184">
        <v>44285</v>
      </c>
      <c r="I1224" s="184">
        <v>44285</v>
      </c>
      <c r="J1224" t="s">
        <v>478</v>
      </c>
      <c r="K1224">
        <v>60000</v>
      </c>
      <c r="L1224" t="s">
        <v>246</v>
      </c>
    </row>
    <row r="1225" spans="1:12" x14ac:dyDescent="0.4">
      <c r="A1225" t="s">
        <v>167</v>
      </c>
      <c r="B1225" t="s">
        <v>4</v>
      </c>
      <c r="C1225" t="s">
        <v>549</v>
      </c>
      <c r="D1225" t="s">
        <v>550</v>
      </c>
      <c r="E1225">
        <v>20018401</v>
      </c>
      <c r="F1225" t="s">
        <v>616</v>
      </c>
      <c r="G1225">
        <v>598508</v>
      </c>
      <c r="H1225" s="184">
        <v>44285</v>
      </c>
      <c r="I1225" s="184">
        <v>44285</v>
      </c>
      <c r="J1225" t="s">
        <v>478</v>
      </c>
      <c r="K1225">
        <v>60000</v>
      </c>
      <c r="L1225" t="s">
        <v>247</v>
      </c>
    </row>
    <row r="1226" spans="1:12" x14ac:dyDescent="0.4">
      <c r="A1226" t="s">
        <v>167</v>
      </c>
      <c r="B1226" t="s">
        <v>4</v>
      </c>
      <c r="C1226" t="s">
        <v>549</v>
      </c>
      <c r="D1226" t="s">
        <v>550</v>
      </c>
      <c r="E1226">
        <v>20018413</v>
      </c>
      <c r="F1226" t="s">
        <v>617</v>
      </c>
      <c r="G1226">
        <v>591658</v>
      </c>
      <c r="H1226" s="184">
        <v>43889</v>
      </c>
      <c r="I1226" s="184">
        <v>43889</v>
      </c>
      <c r="J1226" t="s">
        <v>274</v>
      </c>
      <c r="K1226">
        <v>60000</v>
      </c>
      <c r="L1226" t="s">
        <v>275</v>
      </c>
    </row>
    <row r="1227" spans="1:12" x14ac:dyDescent="0.4">
      <c r="A1227" t="s">
        <v>167</v>
      </c>
      <c r="B1227" t="s">
        <v>4</v>
      </c>
      <c r="C1227" t="s">
        <v>549</v>
      </c>
      <c r="D1227" t="s">
        <v>550</v>
      </c>
      <c r="E1227">
        <v>20018413</v>
      </c>
      <c r="F1227" t="s">
        <v>617</v>
      </c>
      <c r="G1227">
        <v>591658</v>
      </c>
      <c r="H1227" s="184">
        <v>43889</v>
      </c>
      <c r="I1227" s="184">
        <v>43889</v>
      </c>
      <c r="J1227" t="s">
        <v>274</v>
      </c>
      <c r="K1227">
        <v>60000</v>
      </c>
      <c r="L1227" t="s">
        <v>238</v>
      </c>
    </row>
    <row r="1228" spans="1:12" x14ac:dyDescent="0.4">
      <c r="A1228" t="s">
        <v>167</v>
      </c>
      <c r="B1228" t="s">
        <v>4</v>
      </c>
      <c r="C1228" t="s">
        <v>549</v>
      </c>
      <c r="D1228" t="s">
        <v>550</v>
      </c>
      <c r="E1228">
        <v>20018413</v>
      </c>
      <c r="F1228" t="s">
        <v>617</v>
      </c>
      <c r="G1228">
        <v>591658</v>
      </c>
      <c r="H1228" s="184">
        <v>43889</v>
      </c>
      <c r="I1228" s="184">
        <v>43889</v>
      </c>
      <c r="J1228" t="s">
        <v>274</v>
      </c>
      <c r="K1228">
        <v>60000</v>
      </c>
      <c r="L1228" t="s">
        <v>231</v>
      </c>
    </row>
    <row r="1229" spans="1:12" x14ac:dyDescent="0.4">
      <c r="A1229" t="s">
        <v>167</v>
      </c>
      <c r="B1229" t="s">
        <v>4</v>
      </c>
      <c r="C1229" t="s">
        <v>549</v>
      </c>
      <c r="D1229" t="s">
        <v>550</v>
      </c>
      <c r="E1229">
        <v>20018413</v>
      </c>
      <c r="F1229" t="s">
        <v>617</v>
      </c>
      <c r="G1229">
        <v>591658</v>
      </c>
      <c r="H1229" s="184">
        <v>43889</v>
      </c>
      <c r="I1229" s="184">
        <v>43889</v>
      </c>
      <c r="J1229" t="s">
        <v>274</v>
      </c>
      <c r="K1229">
        <v>60000</v>
      </c>
      <c r="L1229" t="s">
        <v>232</v>
      </c>
    </row>
    <row r="1230" spans="1:12" x14ac:dyDescent="0.4">
      <c r="A1230" t="s">
        <v>167</v>
      </c>
      <c r="B1230" t="s">
        <v>4</v>
      </c>
      <c r="C1230" t="s">
        <v>549</v>
      </c>
      <c r="D1230" t="s">
        <v>550</v>
      </c>
      <c r="E1230">
        <v>20018413</v>
      </c>
      <c r="F1230" t="s">
        <v>617</v>
      </c>
      <c r="G1230">
        <v>591658</v>
      </c>
      <c r="H1230" s="184">
        <v>43889</v>
      </c>
      <c r="I1230" s="184">
        <v>43889</v>
      </c>
      <c r="J1230" t="s">
        <v>274</v>
      </c>
      <c r="K1230">
        <v>60000</v>
      </c>
      <c r="L1230" t="s">
        <v>233</v>
      </c>
    </row>
    <row r="1231" spans="1:12" x14ac:dyDescent="0.4">
      <c r="A1231" t="s">
        <v>167</v>
      </c>
      <c r="B1231" t="s">
        <v>4</v>
      </c>
      <c r="C1231" t="s">
        <v>549</v>
      </c>
      <c r="D1231" t="s">
        <v>550</v>
      </c>
      <c r="E1231">
        <v>20018413</v>
      </c>
      <c r="F1231" t="s">
        <v>617</v>
      </c>
      <c r="G1231">
        <v>591658</v>
      </c>
      <c r="H1231" s="184">
        <v>43889</v>
      </c>
      <c r="I1231" s="184">
        <v>43889</v>
      </c>
      <c r="J1231" t="s">
        <v>274</v>
      </c>
      <c r="K1231">
        <v>60000</v>
      </c>
      <c r="L1231" t="s">
        <v>234</v>
      </c>
    </row>
    <row r="1232" spans="1:12" x14ac:dyDescent="0.4">
      <c r="A1232" t="s">
        <v>167</v>
      </c>
      <c r="B1232" t="s">
        <v>4</v>
      </c>
      <c r="C1232" t="s">
        <v>549</v>
      </c>
      <c r="D1232" t="s">
        <v>550</v>
      </c>
      <c r="E1232">
        <v>20018418</v>
      </c>
      <c r="F1232" t="s">
        <v>618</v>
      </c>
      <c r="G1232">
        <v>592624</v>
      </c>
      <c r="H1232" s="184">
        <v>43948</v>
      </c>
      <c r="I1232" s="184">
        <v>43951</v>
      </c>
      <c r="J1232" t="s">
        <v>619</v>
      </c>
      <c r="K1232">
        <v>60000</v>
      </c>
      <c r="L1232" t="s">
        <v>363</v>
      </c>
    </row>
    <row r="1233" spans="1:12" x14ac:dyDescent="0.4">
      <c r="A1233" t="s">
        <v>167</v>
      </c>
      <c r="B1233" t="s">
        <v>4</v>
      </c>
      <c r="C1233" t="s">
        <v>549</v>
      </c>
      <c r="D1233" t="s">
        <v>550</v>
      </c>
      <c r="E1233">
        <v>20018418</v>
      </c>
      <c r="F1233" t="s">
        <v>618</v>
      </c>
      <c r="G1233">
        <v>592624</v>
      </c>
      <c r="H1233" s="184">
        <v>43948</v>
      </c>
      <c r="I1233" s="184">
        <v>43951</v>
      </c>
      <c r="J1233" t="s">
        <v>619</v>
      </c>
      <c r="K1233">
        <v>60000</v>
      </c>
      <c r="L1233" t="s">
        <v>242</v>
      </c>
    </row>
    <row r="1234" spans="1:12" x14ac:dyDescent="0.4">
      <c r="A1234" t="s">
        <v>167</v>
      </c>
      <c r="B1234" t="s">
        <v>4</v>
      </c>
      <c r="C1234" t="s">
        <v>549</v>
      </c>
      <c r="D1234" t="s">
        <v>550</v>
      </c>
      <c r="E1234">
        <v>20018418</v>
      </c>
      <c r="F1234" t="s">
        <v>618</v>
      </c>
      <c r="G1234">
        <v>592624</v>
      </c>
      <c r="H1234" s="184">
        <v>43948</v>
      </c>
      <c r="I1234" s="184">
        <v>43951</v>
      </c>
      <c r="J1234" t="s">
        <v>619</v>
      </c>
      <c r="K1234">
        <v>60000</v>
      </c>
      <c r="L1234" t="s">
        <v>312</v>
      </c>
    </row>
    <row r="1235" spans="1:12" x14ac:dyDescent="0.4">
      <c r="A1235" t="s">
        <v>167</v>
      </c>
      <c r="B1235" t="s">
        <v>4</v>
      </c>
      <c r="C1235" t="s">
        <v>549</v>
      </c>
      <c r="D1235" t="s">
        <v>550</v>
      </c>
      <c r="E1235">
        <v>20018418</v>
      </c>
      <c r="F1235" t="s">
        <v>618</v>
      </c>
      <c r="G1235">
        <v>592624</v>
      </c>
      <c r="H1235" s="184">
        <v>43948</v>
      </c>
      <c r="I1235" s="184">
        <v>43951</v>
      </c>
      <c r="J1235" t="s">
        <v>619</v>
      </c>
      <c r="K1235">
        <v>60000</v>
      </c>
      <c r="L1235" t="s">
        <v>313</v>
      </c>
    </row>
    <row r="1236" spans="1:12" x14ac:dyDescent="0.4">
      <c r="A1236" t="s">
        <v>167</v>
      </c>
      <c r="B1236" t="s">
        <v>4</v>
      </c>
      <c r="C1236" t="s">
        <v>549</v>
      </c>
      <c r="D1236" t="s">
        <v>550</v>
      </c>
      <c r="E1236">
        <v>20018418</v>
      </c>
      <c r="F1236" t="s">
        <v>618</v>
      </c>
      <c r="G1236">
        <v>592624</v>
      </c>
      <c r="H1236" s="184">
        <v>43948</v>
      </c>
      <c r="I1236" s="184">
        <v>43951</v>
      </c>
      <c r="J1236" t="s">
        <v>619</v>
      </c>
      <c r="K1236">
        <v>60000</v>
      </c>
      <c r="L1236" t="s">
        <v>314</v>
      </c>
    </row>
    <row r="1237" spans="1:12" x14ac:dyDescent="0.4">
      <c r="A1237" t="s">
        <v>167</v>
      </c>
      <c r="B1237" t="s">
        <v>4</v>
      </c>
      <c r="C1237" t="s">
        <v>549</v>
      </c>
      <c r="D1237" t="s">
        <v>550</v>
      </c>
      <c r="E1237">
        <v>20018418</v>
      </c>
      <c r="F1237" t="s">
        <v>618</v>
      </c>
      <c r="G1237">
        <v>592624</v>
      </c>
      <c r="H1237" s="184">
        <v>43948</v>
      </c>
      <c r="I1237" s="184">
        <v>43951</v>
      </c>
      <c r="J1237" t="s">
        <v>619</v>
      </c>
      <c r="K1237">
        <v>60000</v>
      </c>
      <c r="L1237" t="s">
        <v>315</v>
      </c>
    </row>
    <row r="1238" spans="1:12" x14ac:dyDescent="0.4">
      <c r="A1238" t="s">
        <v>167</v>
      </c>
      <c r="B1238" t="s">
        <v>4</v>
      </c>
      <c r="C1238" t="s">
        <v>549</v>
      </c>
      <c r="D1238" t="s">
        <v>550</v>
      </c>
      <c r="E1238">
        <v>20018419</v>
      </c>
      <c r="F1238" t="s">
        <v>620</v>
      </c>
      <c r="G1238">
        <v>591719</v>
      </c>
      <c r="H1238" s="184">
        <v>43900</v>
      </c>
      <c r="I1238" s="184">
        <v>43913</v>
      </c>
      <c r="J1238" t="s">
        <v>621</v>
      </c>
      <c r="K1238">
        <v>60000</v>
      </c>
      <c r="L1238" t="s">
        <v>281</v>
      </c>
    </row>
    <row r="1239" spans="1:12" x14ac:dyDescent="0.4">
      <c r="A1239" t="s">
        <v>167</v>
      </c>
      <c r="B1239" t="s">
        <v>4</v>
      </c>
      <c r="C1239" t="s">
        <v>549</v>
      </c>
      <c r="D1239" t="s">
        <v>550</v>
      </c>
      <c r="E1239">
        <v>20018419</v>
      </c>
      <c r="F1239" t="s">
        <v>620</v>
      </c>
      <c r="G1239">
        <v>591719</v>
      </c>
      <c r="H1239" s="184">
        <v>43900</v>
      </c>
      <c r="I1239" s="184">
        <v>43913</v>
      </c>
      <c r="J1239" t="s">
        <v>621</v>
      </c>
      <c r="K1239">
        <v>60000</v>
      </c>
      <c r="L1239" t="s">
        <v>230</v>
      </c>
    </row>
    <row r="1240" spans="1:12" x14ac:dyDescent="0.4">
      <c r="A1240" t="s">
        <v>167</v>
      </c>
      <c r="B1240" t="s">
        <v>4</v>
      </c>
      <c r="C1240" t="s">
        <v>549</v>
      </c>
      <c r="D1240" t="s">
        <v>550</v>
      </c>
      <c r="E1240">
        <v>20018419</v>
      </c>
      <c r="F1240" t="s">
        <v>620</v>
      </c>
      <c r="G1240">
        <v>591719</v>
      </c>
      <c r="H1240" s="184">
        <v>43900</v>
      </c>
      <c r="I1240" s="184">
        <v>43913</v>
      </c>
      <c r="J1240" t="s">
        <v>621</v>
      </c>
      <c r="K1240">
        <v>60000</v>
      </c>
      <c r="L1240" t="s">
        <v>243</v>
      </c>
    </row>
    <row r="1241" spans="1:12" x14ac:dyDescent="0.4">
      <c r="A1241" t="s">
        <v>167</v>
      </c>
      <c r="B1241" t="s">
        <v>4</v>
      </c>
      <c r="C1241" t="s">
        <v>549</v>
      </c>
      <c r="D1241" t="s">
        <v>550</v>
      </c>
      <c r="E1241">
        <v>20018419</v>
      </c>
      <c r="F1241" t="s">
        <v>620</v>
      </c>
      <c r="G1241">
        <v>591719</v>
      </c>
      <c r="H1241" s="184">
        <v>43900</v>
      </c>
      <c r="I1241" s="184">
        <v>43913</v>
      </c>
      <c r="J1241" t="s">
        <v>621</v>
      </c>
      <c r="K1241">
        <v>60000</v>
      </c>
      <c r="L1241" t="s">
        <v>244</v>
      </c>
    </row>
    <row r="1242" spans="1:12" x14ac:dyDescent="0.4">
      <c r="A1242" t="s">
        <v>167</v>
      </c>
      <c r="B1242" t="s">
        <v>4</v>
      </c>
      <c r="C1242" t="s">
        <v>549</v>
      </c>
      <c r="D1242" t="s">
        <v>550</v>
      </c>
      <c r="E1242">
        <v>20018419</v>
      </c>
      <c r="F1242" t="s">
        <v>620</v>
      </c>
      <c r="G1242">
        <v>591719</v>
      </c>
      <c r="H1242" s="184">
        <v>43900</v>
      </c>
      <c r="I1242" s="184">
        <v>43913</v>
      </c>
      <c r="J1242" t="s">
        <v>621</v>
      </c>
      <c r="K1242">
        <v>60000</v>
      </c>
      <c r="L1242" t="s">
        <v>245</v>
      </c>
    </row>
    <row r="1243" spans="1:12" x14ac:dyDescent="0.4">
      <c r="A1243" t="s">
        <v>167</v>
      </c>
      <c r="B1243" t="s">
        <v>4</v>
      </c>
      <c r="C1243" t="s">
        <v>549</v>
      </c>
      <c r="D1243" t="s">
        <v>550</v>
      </c>
      <c r="E1243">
        <v>20018419</v>
      </c>
      <c r="F1243" t="s">
        <v>620</v>
      </c>
      <c r="G1243">
        <v>591719</v>
      </c>
      <c r="H1243" s="184">
        <v>43900</v>
      </c>
      <c r="I1243" s="184">
        <v>43913</v>
      </c>
      <c r="J1243" t="s">
        <v>621</v>
      </c>
      <c r="K1243">
        <v>60000</v>
      </c>
      <c r="L1243" t="s">
        <v>246</v>
      </c>
    </row>
    <row r="1244" spans="1:12" x14ac:dyDescent="0.4">
      <c r="A1244" t="s">
        <v>167</v>
      </c>
      <c r="B1244" t="s">
        <v>4</v>
      </c>
      <c r="C1244" t="s">
        <v>549</v>
      </c>
      <c r="D1244" t="s">
        <v>550</v>
      </c>
      <c r="E1244">
        <v>20018429</v>
      </c>
      <c r="F1244" t="s">
        <v>622</v>
      </c>
      <c r="G1244">
        <v>593188</v>
      </c>
      <c r="H1244" s="184">
        <v>44026</v>
      </c>
      <c r="I1244" s="184">
        <v>44028</v>
      </c>
      <c r="J1244" t="s">
        <v>623</v>
      </c>
      <c r="K1244">
        <v>60000</v>
      </c>
      <c r="L1244" t="s">
        <v>220</v>
      </c>
    </row>
    <row r="1245" spans="1:12" x14ac:dyDescent="0.4">
      <c r="A1245" t="s">
        <v>167</v>
      </c>
      <c r="B1245" t="s">
        <v>4</v>
      </c>
      <c r="C1245" t="s">
        <v>549</v>
      </c>
      <c r="D1245" t="s">
        <v>550</v>
      </c>
      <c r="E1245">
        <v>20018429</v>
      </c>
      <c r="F1245" t="s">
        <v>622</v>
      </c>
      <c r="G1245">
        <v>593188</v>
      </c>
      <c r="H1245" s="184">
        <v>44026</v>
      </c>
      <c r="I1245" s="184">
        <v>44028</v>
      </c>
      <c r="J1245" t="s">
        <v>623</v>
      </c>
      <c r="K1245">
        <v>60000</v>
      </c>
      <c r="L1245" t="s">
        <v>221</v>
      </c>
    </row>
    <row r="1246" spans="1:12" x14ac:dyDescent="0.4">
      <c r="A1246" t="s">
        <v>167</v>
      </c>
      <c r="B1246" t="s">
        <v>4</v>
      </c>
      <c r="C1246" t="s">
        <v>549</v>
      </c>
      <c r="D1246" t="s">
        <v>550</v>
      </c>
      <c r="E1246">
        <v>20018429</v>
      </c>
      <c r="F1246" t="s">
        <v>622</v>
      </c>
      <c r="G1246">
        <v>593188</v>
      </c>
      <c r="H1246" s="184">
        <v>44026</v>
      </c>
      <c r="I1246" s="184">
        <v>44028</v>
      </c>
      <c r="J1246" t="s">
        <v>623</v>
      </c>
      <c r="K1246">
        <v>60000</v>
      </c>
      <c r="L1246" t="s">
        <v>222</v>
      </c>
    </row>
    <row r="1247" spans="1:12" x14ac:dyDescent="0.4">
      <c r="A1247" t="s">
        <v>167</v>
      </c>
      <c r="B1247" t="s">
        <v>4</v>
      </c>
      <c r="C1247" t="s">
        <v>549</v>
      </c>
      <c r="D1247" t="s">
        <v>550</v>
      </c>
      <c r="E1247">
        <v>20018429</v>
      </c>
      <c r="F1247" t="s">
        <v>622</v>
      </c>
      <c r="G1247">
        <v>593188</v>
      </c>
      <c r="H1247" s="184">
        <v>44026</v>
      </c>
      <c r="I1247" s="184">
        <v>44028</v>
      </c>
      <c r="J1247" t="s">
        <v>623</v>
      </c>
      <c r="K1247">
        <v>60000</v>
      </c>
      <c r="L1247" t="s">
        <v>223</v>
      </c>
    </row>
    <row r="1248" spans="1:12" x14ac:dyDescent="0.4">
      <c r="A1248" t="s">
        <v>167</v>
      </c>
      <c r="B1248" t="s">
        <v>4</v>
      </c>
      <c r="C1248" t="s">
        <v>549</v>
      </c>
      <c r="D1248" t="s">
        <v>550</v>
      </c>
      <c r="E1248">
        <v>20018429</v>
      </c>
      <c r="F1248" t="s">
        <v>622</v>
      </c>
      <c r="G1248">
        <v>593188</v>
      </c>
      <c r="H1248" s="184">
        <v>44026</v>
      </c>
      <c r="I1248" s="184">
        <v>44028</v>
      </c>
      <c r="J1248" t="s">
        <v>623</v>
      </c>
      <c r="K1248">
        <v>60000</v>
      </c>
      <c r="L1248" t="s">
        <v>224</v>
      </c>
    </row>
    <row r="1249" spans="1:12" x14ac:dyDescent="0.4">
      <c r="A1249" t="s">
        <v>167</v>
      </c>
      <c r="B1249" t="s">
        <v>4</v>
      </c>
      <c r="C1249" t="s">
        <v>549</v>
      </c>
      <c r="D1249" t="s">
        <v>550</v>
      </c>
      <c r="E1249">
        <v>20018429</v>
      </c>
      <c r="F1249" t="s">
        <v>622</v>
      </c>
      <c r="G1249">
        <v>593188</v>
      </c>
      <c r="H1249" s="184">
        <v>44026</v>
      </c>
      <c r="I1249" s="184">
        <v>44028</v>
      </c>
      <c r="J1249" t="s">
        <v>623</v>
      </c>
      <c r="K1249">
        <v>60000</v>
      </c>
      <c r="L1249" t="s">
        <v>225</v>
      </c>
    </row>
    <row r="1250" spans="1:12" x14ac:dyDescent="0.4">
      <c r="A1250" t="s">
        <v>167</v>
      </c>
      <c r="B1250" t="s">
        <v>4</v>
      </c>
      <c r="C1250" t="s">
        <v>549</v>
      </c>
      <c r="D1250" t="s">
        <v>550</v>
      </c>
      <c r="E1250">
        <v>20018532</v>
      </c>
      <c r="F1250" t="s">
        <v>624</v>
      </c>
      <c r="G1250">
        <v>592640</v>
      </c>
      <c r="H1250" s="184">
        <v>43979</v>
      </c>
      <c r="I1250" s="184">
        <v>43980</v>
      </c>
      <c r="J1250" t="s">
        <v>625</v>
      </c>
      <c r="K1250">
        <v>60000</v>
      </c>
      <c r="L1250" t="s">
        <v>376</v>
      </c>
    </row>
    <row r="1251" spans="1:12" x14ac:dyDescent="0.4">
      <c r="A1251" t="s">
        <v>167</v>
      </c>
      <c r="B1251" t="s">
        <v>4</v>
      </c>
      <c r="C1251" t="s">
        <v>549</v>
      </c>
      <c r="D1251" t="s">
        <v>550</v>
      </c>
      <c r="E1251">
        <v>20018532</v>
      </c>
      <c r="F1251" t="s">
        <v>624</v>
      </c>
      <c r="G1251">
        <v>592640</v>
      </c>
      <c r="H1251" s="184">
        <v>43979</v>
      </c>
      <c r="I1251" s="184">
        <v>43980</v>
      </c>
      <c r="J1251" t="s">
        <v>625</v>
      </c>
      <c r="K1251">
        <v>60000</v>
      </c>
      <c r="L1251" t="s">
        <v>311</v>
      </c>
    </row>
    <row r="1252" spans="1:12" x14ac:dyDescent="0.4">
      <c r="A1252" t="s">
        <v>167</v>
      </c>
      <c r="B1252" t="s">
        <v>4</v>
      </c>
      <c r="C1252" t="s">
        <v>549</v>
      </c>
      <c r="D1252" t="s">
        <v>550</v>
      </c>
      <c r="E1252">
        <v>20018532</v>
      </c>
      <c r="F1252" t="s">
        <v>624</v>
      </c>
      <c r="G1252">
        <v>592640</v>
      </c>
      <c r="H1252" s="184">
        <v>43979</v>
      </c>
      <c r="I1252" s="184">
        <v>43980</v>
      </c>
      <c r="J1252" t="s">
        <v>625</v>
      </c>
      <c r="K1252">
        <v>60000</v>
      </c>
      <c r="L1252" t="s">
        <v>259</v>
      </c>
    </row>
    <row r="1253" spans="1:12" x14ac:dyDescent="0.4">
      <c r="A1253" t="s">
        <v>167</v>
      </c>
      <c r="B1253" t="s">
        <v>4</v>
      </c>
      <c r="C1253" t="s">
        <v>549</v>
      </c>
      <c r="D1253" t="s">
        <v>550</v>
      </c>
      <c r="E1253">
        <v>20018532</v>
      </c>
      <c r="F1253" t="s">
        <v>624</v>
      </c>
      <c r="G1253">
        <v>592640</v>
      </c>
      <c r="H1253" s="184">
        <v>43979</v>
      </c>
      <c r="I1253" s="184">
        <v>43980</v>
      </c>
      <c r="J1253" t="s">
        <v>625</v>
      </c>
      <c r="K1253">
        <v>60000</v>
      </c>
      <c r="L1253" t="s">
        <v>260</v>
      </c>
    </row>
    <row r="1254" spans="1:12" x14ac:dyDescent="0.4">
      <c r="A1254" t="s">
        <v>167</v>
      </c>
      <c r="B1254" t="s">
        <v>4</v>
      </c>
      <c r="C1254" t="s">
        <v>549</v>
      </c>
      <c r="D1254" t="s">
        <v>550</v>
      </c>
      <c r="E1254">
        <v>20018532</v>
      </c>
      <c r="F1254" t="s">
        <v>624</v>
      </c>
      <c r="G1254">
        <v>592640</v>
      </c>
      <c r="H1254" s="184">
        <v>43979</v>
      </c>
      <c r="I1254" s="184">
        <v>43980</v>
      </c>
      <c r="J1254" t="s">
        <v>625</v>
      </c>
      <c r="K1254">
        <v>60000</v>
      </c>
      <c r="L1254" t="s">
        <v>261</v>
      </c>
    </row>
    <row r="1255" spans="1:12" x14ac:dyDescent="0.4">
      <c r="A1255" t="s">
        <v>167</v>
      </c>
      <c r="B1255" t="s">
        <v>4</v>
      </c>
      <c r="C1255" t="s">
        <v>549</v>
      </c>
      <c r="D1255" t="s">
        <v>550</v>
      </c>
      <c r="E1255">
        <v>20018532</v>
      </c>
      <c r="F1255" t="s">
        <v>624</v>
      </c>
      <c r="G1255">
        <v>592640</v>
      </c>
      <c r="H1255" s="184">
        <v>43979</v>
      </c>
      <c r="I1255" s="184">
        <v>43980</v>
      </c>
      <c r="J1255" t="s">
        <v>625</v>
      </c>
      <c r="K1255">
        <v>60000</v>
      </c>
      <c r="L1255" t="s">
        <v>262</v>
      </c>
    </row>
    <row r="1256" spans="1:12" x14ac:dyDescent="0.4">
      <c r="A1256" t="s">
        <v>167</v>
      </c>
      <c r="B1256" t="s">
        <v>4</v>
      </c>
      <c r="C1256" t="s">
        <v>549</v>
      </c>
      <c r="D1256" t="s">
        <v>550</v>
      </c>
      <c r="E1256">
        <v>20018537</v>
      </c>
      <c r="F1256" t="s">
        <v>626</v>
      </c>
      <c r="G1256">
        <v>592593</v>
      </c>
      <c r="H1256" s="184">
        <v>43948</v>
      </c>
      <c r="I1256" s="184">
        <v>43951</v>
      </c>
      <c r="J1256" t="s">
        <v>627</v>
      </c>
      <c r="K1256">
        <v>60000</v>
      </c>
      <c r="L1256" t="s">
        <v>363</v>
      </c>
    </row>
    <row r="1257" spans="1:12" x14ac:dyDescent="0.4">
      <c r="A1257" t="s">
        <v>167</v>
      </c>
      <c r="B1257" t="s">
        <v>4</v>
      </c>
      <c r="C1257" t="s">
        <v>549</v>
      </c>
      <c r="D1257" t="s">
        <v>550</v>
      </c>
      <c r="E1257">
        <v>20018537</v>
      </c>
      <c r="F1257" t="s">
        <v>626</v>
      </c>
      <c r="G1257">
        <v>592593</v>
      </c>
      <c r="H1257" s="184">
        <v>43948</v>
      </c>
      <c r="I1257" s="184">
        <v>43951</v>
      </c>
      <c r="J1257" t="s">
        <v>627</v>
      </c>
      <c r="K1257">
        <v>60000</v>
      </c>
      <c r="L1257" t="s">
        <v>242</v>
      </c>
    </row>
    <row r="1258" spans="1:12" x14ac:dyDescent="0.4">
      <c r="A1258" t="s">
        <v>167</v>
      </c>
      <c r="B1258" t="s">
        <v>4</v>
      </c>
      <c r="C1258" t="s">
        <v>549</v>
      </c>
      <c r="D1258" t="s">
        <v>550</v>
      </c>
      <c r="E1258">
        <v>20018537</v>
      </c>
      <c r="F1258" t="s">
        <v>626</v>
      </c>
      <c r="G1258">
        <v>592593</v>
      </c>
      <c r="H1258" s="184">
        <v>43948</v>
      </c>
      <c r="I1258" s="184">
        <v>43951</v>
      </c>
      <c r="J1258" t="s">
        <v>627</v>
      </c>
      <c r="K1258">
        <v>60000</v>
      </c>
      <c r="L1258" t="s">
        <v>312</v>
      </c>
    </row>
    <row r="1259" spans="1:12" x14ac:dyDescent="0.4">
      <c r="A1259" t="s">
        <v>167</v>
      </c>
      <c r="B1259" t="s">
        <v>4</v>
      </c>
      <c r="C1259" t="s">
        <v>549</v>
      </c>
      <c r="D1259" t="s">
        <v>550</v>
      </c>
      <c r="E1259">
        <v>20018537</v>
      </c>
      <c r="F1259" t="s">
        <v>626</v>
      </c>
      <c r="G1259">
        <v>592593</v>
      </c>
      <c r="H1259" s="184">
        <v>43948</v>
      </c>
      <c r="I1259" s="184">
        <v>43951</v>
      </c>
      <c r="J1259" t="s">
        <v>627</v>
      </c>
      <c r="K1259">
        <v>60000</v>
      </c>
      <c r="L1259" t="s">
        <v>313</v>
      </c>
    </row>
    <row r="1260" spans="1:12" x14ac:dyDescent="0.4">
      <c r="A1260" t="s">
        <v>167</v>
      </c>
      <c r="B1260" t="s">
        <v>4</v>
      </c>
      <c r="C1260" t="s">
        <v>549</v>
      </c>
      <c r="D1260" t="s">
        <v>550</v>
      </c>
      <c r="E1260">
        <v>20018537</v>
      </c>
      <c r="F1260" t="s">
        <v>626</v>
      </c>
      <c r="G1260">
        <v>592593</v>
      </c>
      <c r="H1260" s="184">
        <v>43948</v>
      </c>
      <c r="I1260" s="184">
        <v>43951</v>
      </c>
      <c r="J1260" t="s">
        <v>627</v>
      </c>
      <c r="K1260">
        <v>60000</v>
      </c>
      <c r="L1260" t="s">
        <v>314</v>
      </c>
    </row>
    <row r="1261" spans="1:12" x14ac:dyDescent="0.4">
      <c r="A1261" t="s">
        <v>167</v>
      </c>
      <c r="B1261" t="s">
        <v>4</v>
      </c>
      <c r="C1261" t="s">
        <v>549</v>
      </c>
      <c r="D1261" t="s">
        <v>550</v>
      </c>
      <c r="E1261">
        <v>20018537</v>
      </c>
      <c r="F1261" t="s">
        <v>626</v>
      </c>
      <c r="G1261">
        <v>592593</v>
      </c>
      <c r="H1261" s="184">
        <v>43948</v>
      </c>
      <c r="I1261" s="184">
        <v>43951</v>
      </c>
      <c r="J1261" t="s">
        <v>627</v>
      </c>
      <c r="K1261">
        <v>60000</v>
      </c>
      <c r="L1261" t="s">
        <v>315</v>
      </c>
    </row>
    <row r="1262" spans="1:12" x14ac:dyDescent="0.4">
      <c r="A1262" t="s">
        <v>167</v>
      </c>
      <c r="B1262" t="s">
        <v>4</v>
      </c>
      <c r="C1262" t="s">
        <v>549</v>
      </c>
      <c r="D1262" t="s">
        <v>550</v>
      </c>
      <c r="E1262">
        <v>20018840</v>
      </c>
      <c r="F1262" t="s">
        <v>628</v>
      </c>
      <c r="G1262">
        <v>594176</v>
      </c>
      <c r="H1262" s="184">
        <v>44060</v>
      </c>
      <c r="I1262" s="184">
        <v>44069</v>
      </c>
      <c r="J1262" t="s">
        <v>455</v>
      </c>
      <c r="K1262">
        <v>60000</v>
      </c>
      <c r="L1262" t="s">
        <v>203</v>
      </c>
    </row>
    <row r="1263" spans="1:12" x14ac:dyDescent="0.4">
      <c r="A1263" t="s">
        <v>167</v>
      </c>
      <c r="B1263" t="s">
        <v>4</v>
      </c>
      <c r="C1263" t="s">
        <v>549</v>
      </c>
      <c r="D1263" t="s">
        <v>550</v>
      </c>
      <c r="E1263">
        <v>20018840</v>
      </c>
      <c r="F1263" t="s">
        <v>628</v>
      </c>
      <c r="G1263">
        <v>594176</v>
      </c>
      <c r="H1263" s="184">
        <v>44060</v>
      </c>
      <c r="I1263" s="184">
        <v>44069</v>
      </c>
      <c r="J1263" t="s">
        <v>455</v>
      </c>
      <c r="K1263">
        <v>60000</v>
      </c>
      <c r="L1263" t="s">
        <v>204</v>
      </c>
    </row>
    <row r="1264" spans="1:12" x14ac:dyDescent="0.4">
      <c r="A1264" t="s">
        <v>167</v>
      </c>
      <c r="B1264" t="s">
        <v>4</v>
      </c>
      <c r="C1264" t="s">
        <v>549</v>
      </c>
      <c r="D1264" t="s">
        <v>550</v>
      </c>
      <c r="E1264">
        <v>20018840</v>
      </c>
      <c r="F1264" t="s">
        <v>628</v>
      </c>
      <c r="G1264">
        <v>594176</v>
      </c>
      <c r="H1264" s="184">
        <v>44060</v>
      </c>
      <c r="I1264" s="184">
        <v>44069</v>
      </c>
      <c r="J1264" t="s">
        <v>455</v>
      </c>
      <c r="K1264">
        <v>60000</v>
      </c>
      <c r="L1264" t="s">
        <v>205</v>
      </c>
    </row>
    <row r="1265" spans="1:12" x14ac:dyDescent="0.4">
      <c r="A1265" t="s">
        <v>167</v>
      </c>
      <c r="B1265" t="s">
        <v>4</v>
      </c>
      <c r="C1265" t="s">
        <v>549</v>
      </c>
      <c r="D1265" t="s">
        <v>550</v>
      </c>
      <c r="E1265">
        <v>20018840</v>
      </c>
      <c r="F1265" t="s">
        <v>628</v>
      </c>
      <c r="G1265">
        <v>594176</v>
      </c>
      <c r="H1265" s="184">
        <v>44060</v>
      </c>
      <c r="I1265" s="184">
        <v>44069</v>
      </c>
      <c r="J1265" t="s">
        <v>455</v>
      </c>
      <c r="K1265">
        <v>60000</v>
      </c>
      <c r="L1265" t="s">
        <v>206</v>
      </c>
    </row>
    <row r="1266" spans="1:12" x14ac:dyDescent="0.4">
      <c r="A1266" t="s">
        <v>167</v>
      </c>
      <c r="B1266" t="s">
        <v>4</v>
      </c>
      <c r="C1266" t="s">
        <v>549</v>
      </c>
      <c r="D1266" t="s">
        <v>550</v>
      </c>
      <c r="E1266">
        <v>20018840</v>
      </c>
      <c r="F1266" t="s">
        <v>628</v>
      </c>
      <c r="G1266">
        <v>594176</v>
      </c>
      <c r="H1266" s="184">
        <v>44060</v>
      </c>
      <c r="I1266" s="184">
        <v>44069</v>
      </c>
      <c r="J1266" t="s">
        <v>455</v>
      </c>
      <c r="K1266">
        <v>60000</v>
      </c>
      <c r="L1266" t="s">
        <v>207</v>
      </c>
    </row>
    <row r="1267" spans="1:12" x14ac:dyDescent="0.4">
      <c r="A1267" t="s">
        <v>167</v>
      </c>
      <c r="B1267" t="s">
        <v>4</v>
      </c>
      <c r="C1267" t="s">
        <v>549</v>
      </c>
      <c r="D1267" t="s">
        <v>550</v>
      </c>
      <c r="E1267">
        <v>20018840</v>
      </c>
      <c r="F1267" t="s">
        <v>628</v>
      </c>
      <c r="G1267">
        <v>594176</v>
      </c>
      <c r="H1267" s="184">
        <v>44060</v>
      </c>
      <c r="I1267" s="184">
        <v>44069</v>
      </c>
      <c r="J1267" t="s">
        <v>455</v>
      </c>
      <c r="K1267">
        <v>60000</v>
      </c>
      <c r="L1267" t="s">
        <v>208</v>
      </c>
    </row>
    <row r="1268" spans="1:12" x14ac:dyDescent="0.4">
      <c r="A1268" t="s">
        <v>167</v>
      </c>
      <c r="B1268" t="s">
        <v>4</v>
      </c>
      <c r="C1268" t="s">
        <v>549</v>
      </c>
      <c r="D1268" t="s">
        <v>550</v>
      </c>
      <c r="E1268">
        <v>20018872</v>
      </c>
      <c r="F1268" t="s">
        <v>629</v>
      </c>
      <c r="G1268">
        <v>594674</v>
      </c>
      <c r="H1268" s="184">
        <v>44120</v>
      </c>
      <c r="I1268" s="184">
        <v>44123</v>
      </c>
      <c r="J1268" t="s">
        <v>630</v>
      </c>
      <c r="K1268">
        <v>60000</v>
      </c>
      <c r="L1268" t="s">
        <v>250</v>
      </c>
    </row>
    <row r="1269" spans="1:12" x14ac:dyDescent="0.4">
      <c r="A1269" t="s">
        <v>167</v>
      </c>
      <c r="B1269" t="s">
        <v>4</v>
      </c>
      <c r="C1269" t="s">
        <v>549</v>
      </c>
      <c r="D1269" t="s">
        <v>550</v>
      </c>
      <c r="E1269">
        <v>20018872</v>
      </c>
      <c r="F1269" t="s">
        <v>629</v>
      </c>
      <c r="G1269">
        <v>594674</v>
      </c>
      <c r="H1269" s="184">
        <v>44120</v>
      </c>
      <c r="I1269" s="184">
        <v>44123</v>
      </c>
      <c r="J1269" t="s">
        <v>630</v>
      </c>
      <c r="K1269">
        <v>60000</v>
      </c>
      <c r="L1269" t="s">
        <v>251</v>
      </c>
    </row>
    <row r="1270" spans="1:12" x14ac:dyDescent="0.4">
      <c r="A1270" t="s">
        <v>167</v>
      </c>
      <c r="B1270" t="s">
        <v>4</v>
      </c>
      <c r="C1270" t="s">
        <v>549</v>
      </c>
      <c r="D1270" t="s">
        <v>550</v>
      </c>
      <c r="E1270">
        <v>20018872</v>
      </c>
      <c r="F1270" t="s">
        <v>629</v>
      </c>
      <c r="G1270">
        <v>594674</v>
      </c>
      <c r="H1270" s="184">
        <v>44120</v>
      </c>
      <c r="I1270" s="184">
        <v>44123</v>
      </c>
      <c r="J1270" t="s">
        <v>630</v>
      </c>
      <c r="K1270">
        <v>60000</v>
      </c>
      <c r="L1270" t="s">
        <v>252</v>
      </c>
    </row>
    <row r="1271" spans="1:12" x14ac:dyDescent="0.4">
      <c r="A1271" t="s">
        <v>167</v>
      </c>
      <c r="B1271" t="s">
        <v>4</v>
      </c>
      <c r="C1271" t="s">
        <v>549</v>
      </c>
      <c r="D1271" t="s">
        <v>550</v>
      </c>
      <c r="E1271">
        <v>20018872</v>
      </c>
      <c r="F1271" t="s">
        <v>629</v>
      </c>
      <c r="G1271">
        <v>594674</v>
      </c>
      <c r="H1271" s="184">
        <v>44120</v>
      </c>
      <c r="I1271" s="184">
        <v>44123</v>
      </c>
      <c r="J1271" t="s">
        <v>630</v>
      </c>
      <c r="K1271">
        <v>60000</v>
      </c>
      <c r="L1271" t="s">
        <v>253</v>
      </c>
    </row>
    <row r="1272" spans="1:12" x14ac:dyDescent="0.4">
      <c r="A1272" t="s">
        <v>167</v>
      </c>
      <c r="B1272" t="s">
        <v>4</v>
      </c>
      <c r="C1272" t="s">
        <v>549</v>
      </c>
      <c r="D1272" t="s">
        <v>550</v>
      </c>
      <c r="E1272">
        <v>20018872</v>
      </c>
      <c r="F1272" t="s">
        <v>629</v>
      </c>
      <c r="G1272">
        <v>594674</v>
      </c>
      <c r="H1272" s="184">
        <v>44120</v>
      </c>
      <c r="I1272" s="184">
        <v>44123</v>
      </c>
      <c r="J1272" t="s">
        <v>630</v>
      </c>
      <c r="K1272">
        <v>60000</v>
      </c>
      <c r="L1272" t="s">
        <v>254</v>
      </c>
    </row>
    <row r="1273" spans="1:12" x14ac:dyDescent="0.4">
      <c r="A1273" t="s">
        <v>167</v>
      </c>
      <c r="B1273" t="s">
        <v>4</v>
      </c>
      <c r="C1273" t="s">
        <v>549</v>
      </c>
      <c r="D1273" t="s">
        <v>550</v>
      </c>
      <c r="E1273">
        <v>20018872</v>
      </c>
      <c r="F1273" t="s">
        <v>629</v>
      </c>
      <c r="G1273">
        <v>594674</v>
      </c>
      <c r="H1273" s="184">
        <v>44120</v>
      </c>
      <c r="I1273" s="184">
        <v>44123</v>
      </c>
      <c r="J1273" t="s">
        <v>630</v>
      </c>
      <c r="K1273">
        <v>60000</v>
      </c>
      <c r="L1273" t="s">
        <v>255</v>
      </c>
    </row>
    <row r="1274" spans="1:12" x14ac:dyDescent="0.4">
      <c r="A1274" t="s">
        <v>167</v>
      </c>
      <c r="B1274" t="s">
        <v>4</v>
      </c>
      <c r="C1274" t="s">
        <v>549</v>
      </c>
      <c r="D1274" t="s">
        <v>550</v>
      </c>
      <c r="E1274">
        <v>20019087</v>
      </c>
      <c r="F1274" t="s">
        <v>631</v>
      </c>
      <c r="G1274">
        <v>597731</v>
      </c>
      <c r="H1274" s="184">
        <v>44284</v>
      </c>
      <c r="I1274" s="184">
        <v>44286</v>
      </c>
      <c r="J1274" t="s">
        <v>632</v>
      </c>
      <c r="K1274">
        <v>60000</v>
      </c>
      <c r="L1274" t="s">
        <v>242</v>
      </c>
    </row>
    <row r="1275" spans="1:12" x14ac:dyDescent="0.4">
      <c r="A1275" t="s">
        <v>167</v>
      </c>
      <c r="B1275" t="s">
        <v>4</v>
      </c>
      <c r="C1275" t="s">
        <v>549</v>
      </c>
      <c r="D1275" t="s">
        <v>550</v>
      </c>
      <c r="E1275">
        <v>20019087</v>
      </c>
      <c r="F1275" t="s">
        <v>631</v>
      </c>
      <c r="G1275">
        <v>597731</v>
      </c>
      <c r="H1275" s="184">
        <v>44284</v>
      </c>
      <c r="I1275" s="184">
        <v>44286</v>
      </c>
      <c r="J1275" t="s">
        <v>632</v>
      </c>
      <c r="K1275">
        <v>60000</v>
      </c>
      <c r="L1275" t="s">
        <v>243</v>
      </c>
    </row>
    <row r="1276" spans="1:12" x14ac:dyDescent="0.4">
      <c r="A1276" t="s">
        <v>167</v>
      </c>
      <c r="B1276" t="s">
        <v>4</v>
      </c>
      <c r="C1276" t="s">
        <v>549</v>
      </c>
      <c r="D1276" t="s">
        <v>550</v>
      </c>
      <c r="E1276">
        <v>20019087</v>
      </c>
      <c r="F1276" t="s">
        <v>631</v>
      </c>
      <c r="G1276">
        <v>597731</v>
      </c>
      <c r="H1276" s="184">
        <v>44284</v>
      </c>
      <c r="I1276" s="184">
        <v>44286</v>
      </c>
      <c r="J1276" t="s">
        <v>632</v>
      </c>
      <c r="K1276">
        <v>60000</v>
      </c>
      <c r="L1276" t="s">
        <v>244</v>
      </c>
    </row>
    <row r="1277" spans="1:12" x14ac:dyDescent="0.4">
      <c r="A1277" t="s">
        <v>167</v>
      </c>
      <c r="B1277" t="s">
        <v>4</v>
      </c>
      <c r="C1277" t="s">
        <v>549</v>
      </c>
      <c r="D1277" t="s">
        <v>550</v>
      </c>
      <c r="E1277">
        <v>20019087</v>
      </c>
      <c r="F1277" t="s">
        <v>631</v>
      </c>
      <c r="G1277">
        <v>597731</v>
      </c>
      <c r="H1277" s="184">
        <v>44284</v>
      </c>
      <c r="I1277" s="184">
        <v>44286</v>
      </c>
      <c r="J1277" t="s">
        <v>632</v>
      </c>
      <c r="K1277">
        <v>60000</v>
      </c>
      <c r="L1277" t="s">
        <v>245</v>
      </c>
    </row>
    <row r="1278" spans="1:12" x14ac:dyDescent="0.4">
      <c r="A1278" t="s">
        <v>167</v>
      </c>
      <c r="B1278" t="s">
        <v>4</v>
      </c>
      <c r="C1278" t="s">
        <v>549</v>
      </c>
      <c r="D1278" t="s">
        <v>550</v>
      </c>
      <c r="E1278">
        <v>20019087</v>
      </c>
      <c r="F1278" t="s">
        <v>631</v>
      </c>
      <c r="G1278">
        <v>597731</v>
      </c>
      <c r="H1278" s="184">
        <v>44284</v>
      </c>
      <c r="I1278" s="184">
        <v>44286</v>
      </c>
      <c r="J1278" t="s">
        <v>632</v>
      </c>
      <c r="K1278">
        <v>60000</v>
      </c>
      <c r="L1278" t="s">
        <v>246</v>
      </c>
    </row>
    <row r="1279" spans="1:12" x14ac:dyDescent="0.4">
      <c r="A1279" t="s">
        <v>167</v>
      </c>
      <c r="B1279" t="s">
        <v>4</v>
      </c>
      <c r="C1279" t="s">
        <v>549</v>
      </c>
      <c r="D1279" t="s">
        <v>550</v>
      </c>
      <c r="E1279">
        <v>20019087</v>
      </c>
      <c r="F1279" t="s">
        <v>631</v>
      </c>
      <c r="G1279">
        <v>597731</v>
      </c>
      <c r="H1279" s="184">
        <v>44284</v>
      </c>
      <c r="I1279" s="184">
        <v>44286</v>
      </c>
      <c r="J1279" t="s">
        <v>632</v>
      </c>
      <c r="K1279">
        <v>60000</v>
      </c>
      <c r="L1279" t="s">
        <v>247</v>
      </c>
    </row>
    <row r="1280" spans="1:12" x14ac:dyDescent="0.4">
      <c r="A1280" t="s">
        <v>167</v>
      </c>
      <c r="B1280" t="s">
        <v>4</v>
      </c>
      <c r="C1280" t="s">
        <v>549</v>
      </c>
      <c r="D1280" t="s">
        <v>550</v>
      </c>
      <c r="E1280">
        <v>20019111</v>
      </c>
      <c r="F1280" t="s">
        <v>633</v>
      </c>
      <c r="G1280">
        <v>594908</v>
      </c>
      <c r="H1280" s="184">
        <v>44090</v>
      </c>
      <c r="I1280" s="184">
        <v>44091</v>
      </c>
      <c r="J1280" t="s">
        <v>634</v>
      </c>
      <c r="K1280">
        <v>60000</v>
      </c>
      <c r="L1280" t="s">
        <v>290</v>
      </c>
    </row>
    <row r="1281" spans="1:12" x14ac:dyDescent="0.4">
      <c r="A1281" t="s">
        <v>167</v>
      </c>
      <c r="B1281" t="s">
        <v>4</v>
      </c>
      <c r="C1281" t="s">
        <v>549</v>
      </c>
      <c r="D1281" t="s">
        <v>550</v>
      </c>
      <c r="E1281">
        <v>20019111</v>
      </c>
      <c r="F1281" t="s">
        <v>633</v>
      </c>
      <c r="G1281">
        <v>594908</v>
      </c>
      <c r="H1281" s="184">
        <v>44090</v>
      </c>
      <c r="I1281" s="184">
        <v>44091</v>
      </c>
      <c r="J1281" t="s">
        <v>634</v>
      </c>
      <c r="K1281">
        <v>60000</v>
      </c>
      <c r="L1281" t="s">
        <v>291</v>
      </c>
    </row>
    <row r="1282" spans="1:12" x14ac:dyDescent="0.4">
      <c r="A1282" t="s">
        <v>167</v>
      </c>
      <c r="B1282" t="s">
        <v>4</v>
      </c>
      <c r="C1282" t="s">
        <v>549</v>
      </c>
      <c r="D1282" t="s">
        <v>550</v>
      </c>
      <c r="E1282">
        <v>20019111</v>
      </c>
      <c r="F1282" t="s">
        <v>633</v>
      </c>
      <c r="G1282">
        <v>594908</v>
      </c>
      <c r="H1282" s="184">
        <v>44090</v>
      </c>
      <c r="I1282" s="184">
        <v>44091</v>
      </c>
      <c r="J1282" t="s">
        <v>634</v>
      </c>
      <c r="K1282">
        <v>60000</v>
      </c>
      <c r="L1282" t="s">
        <v>292</v>
      </c>
    </row>
    <row r="1283" spans="1:12" x14ac:dyDescent="0.4">
      <c r="A1283" t="s">
        <v>167</v>
      </c>
      <c r="B1283" t="s">
        <v>4</v>
      </c>
      <c r="C1283" t="s">
        <v>549</v>
      </c>
      <c r="D1283" t="s">
        <v>550</v>
      </c>
      <c r="E1283">
        <v>20019111</v>
      </c>
      <c r="F1283" t="s">
        <v>633</v>
      </c>
      <c r="G1283">
        <v>594908</v>
      </c>
      <c r="H1283" s="184">
        <v>44090</v>
      </c>
      <c r="I1283" s="184">
        <v>44091</v>
      </c>
      <c r="J1283" t="s">
        <v>634</v>
      </c>
      <c r="K1283">
        <v>60000</v>
      </c>
      <c r="L1283" t="s">
        <v>293</v>
      </c>
    </row>
    <row r="1284" spans="1:12" x14ac:dyDescent="0.4">
      <c r="A1284" t="s">
        <v>167</v>
      </c>
      <c r="B1284" t="s">
        <v>4</v>
      </c>
      <c r="C1284" t="s">
        <v>549</v>
      </c>
      <c r="D1284" t="s">
        <v>550</v>
      </c>
      <c r="E1284">
        <v>20019111</v>
      </c>
      <c r="F1284" t="s">
        <v>633</v>
      </c>
      <c r="G1284">
        <v>594908</v>
      </c>
      <c r="H1284" s="184">
        <v>44090</v>
      </c>
      <c r="I1284" s="184">
        <v>44091</v>
      </c>
      <c r="J1284" t="s">
        <v>634</v>
      </c>
      <c r="K1284">
        <v>60000</v>
      </c>
      <c r="L1284" t="s">
        <v>294</v>
      </c>
    </row>
    <row r="1285" spans="1:12" x14ac:dyDescent="0.4">
      <c r="A1285" t="s">
        <v>167</v>
      </c>
      <c r="B1285" t="s">
        <v>4</v>
      </c>
      <c r="C1285" t="s">
        <v>549</v>
      </c>
      <c r="D1285" t="s">
        <v>550</v>
      </c>
      <c r="E1285">
        <v>20019111</v>
      </c>
      <c r="F1285" t="s">
        <v>633</v>
      </c>
      <c r="G1285">
        <v>594908</v>
      </c>
      <c r="H1285" s="184">
        <v>44090</v>
      </c>
      <c r="I1285" s="184">
        <v>44091</v>
      </c>
      <c r="J1285" t="s">
        <v>634</v>
      </c>
      <c r="K1285">
        <v>60000</v>
      </c>
      <c r="L1285" t="s">
        <v>295</v>
      </c>
    </row>
    <row r="1286" spans="1:12" x14ac:dyDescent="0.4">
      <c r="A1286" t="s">
        <v>167</v>
      </c>
      <c r="B1286" t="s">
        <v>4</v>
      </c>
      <c r="C1286" t="s">
        <v>549</v>
      </c>
      <c r="D1286" t="s">
        <v>550</v>
      </c>
      <c r="E1286">
        <v>20019178</v>
      </c>
      <c r="F1286" t="s">
        <v>635</v>
      </c>
      <c r="G1286">
        <v>599408</v>
      </c>
      <c r="H1286" s="184"/>
      <c r="I1286" s="184"/>
      <c r="J1286" t="s">
        <v>636</v>
      </c>
      <c r="K1286">
        <v>60000</v>
      </c>
      <c r="L1286" t="s">
        <v>221</v>
      </c>
    </row>
    <row r="1287" spans="1:12" x14ac:dyDescent="0.4">
      <c r="A1287" t="s">
        <v>167</v>
      </c>
      <c r="B1287" t="s">
        <v>4</v>
      </c>
      <c r="C1287" t="s">
        <v>549</v>
      </c>
      <c r="D1287" t="s">
        <v>550</v>
      </c>
      <c r="E1287">
        <v>20019178</v>
      </c>
      <c r="F1287" t="s">
        <v>635</v>
      </c>
      <c r="G1287">
        <v>599408</v>
      </c>
      <c r="H1287" s="184"/>
      <c r="I1287" s="184"/>
      <c r="J1287" t="s">
        <v>636</v>
      </c>
      <c r="K1287">
        <v>60000</v>
      </c>
      <c r="L1287" t="s">
        <v>327</v>
      </c>
    </row>
    <row r="1288" spans="1:12" x14ac:dyDescent="0.4">
      <c r="A1288" t="s">
        <v>167</v>
      </c>
      <c r="B1288" t="s">
        <v>4</v>
      </c>
      <c r="C1288" t="s">
        <v>549</v>
      </c>
      <c r="D1288" t="s">
        <v>550</v>
      </c>
      <c r="E1288">
        <v>20019178</v>
      </c>
      <c r="F1288" t="s">
        <v>635</v>
      </c>
      <c r="G1288">
        <v>599408</v>
      </c>
      <c r="H1288" s="184"/>
      <c r="I1288" s="184"/>
      <c r="J1288" t="s">
        <v>636</v>
      </c>
      <c r="K1288">
        <v>60000</v>
      </c>
      <c r="L1288" t="s">
        <v>328</v>
      </c>
    </row>
    <row r="1289" spans="1:12" x14ac:dyDescent="0.4">
      <c r="A1289" t="s">
        <v>167</v>
      </c>
      <c r="B1289" t="s">
        <v>4</v>
      </c>
      <c r="C1289" t="s">
        <v>549</v>
      </c>
      <c r="D1289" t="s">
        <v>550</v>
      </c>
      <c r="E1289">
        <v>20019178</v>
      </c>
      <c r="F1289" t="s">
        <v>635</v>
      </c>
      <c r="G1289">
        <v>599408</v>
      </c>
      <c r="H1289" s="184"/>
      <c r="I1289" s="184"/>
      <c r="J1289" t="s">
        <v>636</v>
      </c>
      <c r="K1289">
        <v>60000</v>
      </c>
      <c r="L1289" t="s">
        <v>329</v>
      </c>
    </row>
    <row r="1290" spans="1:12" x14ac:dyDescent="0.4">
      <c r="A1290" t="s">
        <v>167</v>
      </c>
      <c r="B1290" t="s">
        <v>4</v>
      </c>
      <c r="C1290" t="s">
        <v>549</v>
      </c>
      <c r="D1290" t="s">
        <v>550</v>
      </c>
      <c r="E1290">
        <v>20019178</v>
      </c>
      <c r="F1290" t="s">
        <v>635</v>
      </c>
      <c r="G1290">
        <v>599408</v>
      </c>
      <c r="H1290" s="184"/>
      <c r="I1290" s="184"/>
      <c r="J1290" t="s">
        <v>636</v>
      </c>
      <c r="K1290">
        <v>60000</v>
      </c>
      <c r="L1290" t="s">
        <v>330</v>
      </c>
    </row>
    <row r="1291" spans="1:12" x14ac:dyDescent="0.4">
      <c r="A1291" t="s">
        <v>167</v>
      </c>
      <c r="B1291" t="s">
        <v>4</v>
      </c>
      <c r="C1291" t="s">
        <v>549</v>
      </c>
      <c r="D1291" t="s">
        <v>550</v>
      </c>
      <c r="E1291">
        <v>20019178</v>
      </c>
      <c r="F1291" t="s">
        <v>635</v>
      </c>
      <c r="G1291">
        <v>599408</v>
      </c>
      <c r="H1291" s="184"/>
      <c r="I1291" s="184"/>
      <c r="J1291" t="s">
        <v>636</v>
      </c>
      <c r="K1291">
        <v>60000</v>
      </c>
      <c r="L1291" t="s">
        <v>331</v>
      </c>
    </row>
    <row r="1292" spans="1:12" x14ac:dyDescent="0.4">
      <c r="A1292" t="s">
        <v>167</v>
      </c>
      <c r="B1292" t="s">
        <v>4</v>
      </c>
      <c r="C1292" t="s">
        <v>549</v>
      </c>
      <c r="D1292" t="s">
        <v>550</v>
      </c>
      <c r="E1292">
        <v>20019192</v>
      </c>
      <c r="F1292" t="s">
        <v>637</v>
      </c>
      <c r="G1292">
        <v>596208</v>
      </c>
      <c r="H1292" s="184">
        <v>44225</v>
      </c>
      <c r="I1292" s="184">
        <v>44225</v>
      </c>
      <c r="J1292" t="s">
        <v>638</v>
      </c>
      <c r="K1292">
        <v>60000</v>
      </c>
      <c r="L1292" t="s">
        <v>238</v>
      </c>
    </row>
    <row r="1293" spans="1:12" x14ac:dyDescent="0.4">
      <c r="A1293" t="s">
        <v>167</v>
      </c>
      <c r="B1293" t="s">
        <v>4</v>
      </c>
      <c r="C1293" t="s">
        <v>549</v>
      </c>
      <c r="D1293" t="s">
        <v>550</v>
      </c>
      <c r="E1293">
        <v>20019192</v>
      </c>
      <c r="F1293" t="s">
        <v>637</v>
      </c>
      <c r="G1293">
        <v>596208</v>
      </c>
      <c r="H1293" s="184">
        <v>44225</v>
      </c>
      <c r="I1293" s="184">
        <v>44225</v>
      </c>
      <c r="J1293" t="s">
        <v>638</v>
      </c>
      <c r="K1293">
        <v>60000</v>
      </c>
      <c r="L1293" t="s">
        <v>187</v>
      </c>
    </row>
    <row r="1294" spans="1:12" x14ac:dyDescent="0.4">
      <c r="A1294" t="s">
        <v>167</v>
      </c>
      <c r="B1294" t="s">
        <v>4</v>
      </c>
      <c r="C1294" t="s">
        <v>549</v>
      </c>
      <c r="D1294" t="s">
        <v>550</v>
      </c>
      <c r="E1294">
        <v>20019192</v>
      </c>
      <c r="F1294" t="s">
        <v>637</v>
      </c>
      <c r="G1294">
        <v>596208</v>
      </c>
      <c r="H1294" s="184">
        <v>44225</v>
      </c>
      <c r="I1294" s="184">
        <v>44225</v>
      </c>
      <c r="J1294" t="s">
        <v>638</v>
      </c>
      <c r="K1294">
        <v>60000</v>
      </c>
      <c r="L1294" t="s">
        <v>188</v>
      </c>
    </row>
    <row r="1295" spans="1:12" x14ac:dyDescent="0.4">
      <c r="A1295" t="s">
        <v>167</v>
      </c>
      <c r="B1295" t="s">
        <v>4</v>
      </c>
      <c r="C1295" t="s">
        <v>549</v>
      </c>
      <c r="D1295" t="s">
        <v>550</v>
      </c>
      <c r="E1295">
        <v>20019192</v>
      </c>
      <c r="F1295" t="s">
        <v>637</v>
      </c>
      <c r="G1295">
        <v>596208</v>
      </c>
      <c r="H1295" s="184">
        <v>44225</v>
      </c>
      <c r="I1295" s="184">
        <v>44225</v>
      </c>
      <c r="J1295" t="s">
        <v>638</v>
      </c>
      <c r="K1295">
        <v>60000</v>
      </c>
      <c r="L1295" t="s">
        <v>189</v>
      </c>
    </row>
    <row r="1296" spans="1:12" x14ac:dyDescent="0.4">
      <c r="A1296" t="s">
        <v>167</v>
      </c>
      <c r="B1296" t="s">
        <v>4</v>
      </c>
      <c r="C1296" t="s">
        <v>549</v>
      </c>
      <c r="D1296" t="s">
        <v>550</v>
      </c>
      <c r="E1296">
        <v>20019192</v>
      </c>
      <c r="F1296" t="s">
        <v>637</v>
      </c>
      <c r="G1296">
        <v>596208</v>
      </c>
      <c r="H1296" s="184">
        <v>44225</v>
      </c>
      <c r="I1296" s="184">
        <v>44225</v>
      </c>
      <c r="J1296" t="s">
        <v>638</v>
      </c>
      <c r="K1296">
        <v>60000</v>
      </c>
      <c r="L1296" t="s">
        <v>190</v>
      </c>
    </row>
    <row r="1297" spans="1:12" x14ac:dyDescent="0.4">
      <c r="A1297" t="s">
        <v>167</v>
      </c>
      <c r="B1297" t="s">
        <v>4</v>
      </c>
      <c r="C1297" t="s">
        <v>549</v>
      </c>
      <c r="D1297" t="s">
        <v>550</v>
      </c>
      <c r="E1297">
        <v>20019192</v>
      </c>
      <c r="F1297" t="s">
        <v>637</v>
      </c>
      <c r="G1297">
        <v>596208</v>
      </c>
      <c r="H1297" s="184">
        <v>44225</v>
      </c>
      <c r="I1297" s="184">
        <v>44225</v>
      </c>
      <c r="J1297" t="s">
        <v>638</v>
      </c>
      <c r="K1297">
        <v>60000</v>
      </c>
      <c r="L1297" t="s">
        <v>239</v>
      </c>
    </row>
    <row r="1298" spans="1:12" x14ac:dyDescent="0.4">
      <c r="A1298" t="s">
        <v>167</v>
      </c>
      <c r="B1298" t="s">
        <v>4</v>
      </c>
      <c r="C1298" t="s">
        <v>549</v>
      </c>
      <c r="D1298" t="s">
        <v>550</v>
      </c>
      <c r="E1298">
        <v>20019209</v>
      </c>
      <c r="F1298" t="s">
        <v>639</v>
      </c>
      <c r="G1298">
        <v>595991</v>
      </c>
      <c r="H1298" s="184">
        <v>44155</v>
      </c>
      <c r="I1298" s="184">
        <v>44159</v>
      </c>
      <c r="J1298" t="s">
        <v>210</v>
      </c>
      <c r="K1298">
        <v>60000</v>
      </c>
      <c r="L1298" t="s">
        <v>196</v>
      </c>
    </row>
    <row r="1299" spans="1:12" x14ac:dyDescent="0.4">
      <c r="A1299" t="s">
        <v>167</v>
      </c>
      <c r="B1299" t="s">
        <v>4</v>
      </c>
      <c r="C1299" t="s">
        <v>549</v>
      </c>
      <c r="D1299" t="s">
        <v>550</v>
      </c>
      <c r="E1299">
        <v>20019209</v>
      </c>
      <c r="F1299" t="s">
        <v>639</v>
      </c>
      <c r="G1299">
        <v>595991</v>
      </c>
      <c r="H1299" s="184">
        <v>44155</v>
      </c>
      <c r="I1299" s="184">
        <v>44159</v>
      </c>
      <c r="J1299" t="s">
        <v>210</v>
      </c>
      <c r="K1299">
        <v>60000</v>
      </c>
      <c r="L1299" t="s">
        <v>211</v>
      </c>
    </row>
    <row r="1300" spans="1:12" x14ac:dyDescent="0.4">
      <c r="A1300" t="s">
        <v>167</v>
      </c>
      <c r="B1300" t="s">
        <v>4</v>
      </c>
      <c r="C1300" t="s">
        <v>549</v>
      </c>
      <c r="D1300" t="s">
        <v>550</v>
      </c>
      <c r="E1300">
        <v>20019209</v>
      </c>
      <c r="F1300" t="s">
        <v>639</v>
      </c>
      <c r="G1300">
        <v>595991</v>
      </c>
      <c r="H1300" s="184">
        <v>44155</v>
      </c>
      <c r="I1300" s="184">
        <v>44159</v>
      </c>
      <c r="J1300" t="s">
        <v>210</v>
      </c>
      <c r="K1300">
        <v>60000</v>
      </c>
      <c r="L1300" t="s">
        <v>212</v>
      </c>
    </row>
    <row r="1301" spans="1:12" x14ac:dyDescent="0.4">
      <c r="A1301" t="s">
        <v>167</v>
      </c>
      <c r="B1301" t="s">
        <v>4</v>
      </c>
      <c r="C1301" t="s">
        <v>549</v>
      </c>
      <c r="D1301" t="s">
        <v>550</v>
      </c>
      <c r="E1301">
        <v>20019209</v>
      </c>
      <c r="F1301" t="s">
        <v>639</v>
      </c>
      <c r="G1301">
        <v>595991</v>
      </c>
      <c r="H1301" s="184">
        <v>44155</v>
      </c>
      <c r="I1301" s="184">
        <v>44159</v>
      </c>
      <c r="J1301" t="s">
        <v>210</v>
      </c>
      <c r="K1301">
        <v>60000</v>
      </c>
      <c r="L1301" t="s">
        <v>213</v>
      </c>
    </row>
    <row r="1302" spans="1:12" x14ac:dyDescent="0.4">
      <c r="A1302" t="s">
        <v>167</v>
      </c>
      <c r="B1302" t="s">
        <v>4</v>
      </c>
      <c r="C1302" t="s">
        <v>549</v>
      </c>
      <c r="D1302" t="s">
        <v>550</v>
      </c>
      <c r="E1302">
        <v>20019209</v>
      </c>
      <c r="F1302" t="s">
        <v>639</v>
      </c>
      <c r="G1302">
        <v>595991</v>
      </c>
      <c r="H1302" s="184">
        <v>44155</v>
      </c>
      <c r="I1302" s="184">
        <v>44159</v>
      </c>
      <c r="J1302" t="s">
        <v>210</v>
      </c>
      <c r="K1302">
        <v>60000</v>
      </c>
      <c r="L1302" t="s">
        <v>214</v>
      </c>
    </row>
    <row r="1303" spans="1:12" x14ac:dyDescent="0.4">
      <c r="A1303" t="s">
        <v>167</v>
      </c>
      <c r="B1303" t="s">
        <v>4</v>
      </c>
      <c r="C1303" t="s">
        <v>549</v>
      </c>
      <c r="D1303" t="s">
        <v>550</v>
      </c>
      <c r="E1303">
        <v>20019209</v>
      </c>
      <c r="F1303" t="s">
        <v>639</v>
      </c>
      <c r="G1303">
        <v>595991</v>
      </c>
      <c r="H1303" s="184">
        <v>44155</v>
      </c>
      <c r="I1303" s="184">
        <v>44159</v>
      </c>
      <c r="J1303" t="s">
        <v>210</v>
      </c>
      <c r="K1303">
        <v>60000</v>
      </c>
      <c r="L1303" t="s">
        <v>215</v>
      </c>
    </row>
    <row r="1304" spans="1:12" x14ac:dyDescent="0.4">
      <c r="A1304" t="s">
        <v>167</v>
      </c>
      <c r="B1304" t="s">
        <v>4</v>
      </c>
      <c r="C1304" t="s">
        <v>549</v>
      </c>
      <c r="D1304" t="s">
        <v>550</v>
      </c>
      <c r="E1304">
        <v>20020213</v>
      </c>
      <c r="F1304" t="s">
        <v>640</v>
      </c>
      <c r="G1304">
        <v>597400</v>
      </c>
      <c r="H1304" s="184">
        <v>44246</v>
      </c>
      <c r="I1304" s="184">
        <v>44253</v>
      </c>
      <c r="J1304" t="s">
        <v>425</v>
      </c>
      <c r="K1304">
        <v>60000</v>
      </c>
      <c r="L1304" t="s">
        <v>230</v>
      </c>
    </row>
    <row r="1305" spans="1:12" x14ac:dyDescent="0.4">
      <c r="A1305" t="s">
        <v>167</v>
      </c>
      <c r="B1305" t="s">
        <v>4</v>
      </c>
      <c r="C1305" t="s">
        <v>549</v>
      </c>
      <c r="D1305" t="s">
        <v>550</v>
      </c>
      <c r="E1305">
        <v>20020213</v>
      </c>
      <c r="F1305" t="s">
        <v>640</v>
      </c>
      <c r="G1305">
        <v>597400</v>
      </c>
      <c r="H1305" s="184">
        <v>44246</v>
      </c>
      <c r="I1305" s="184">
        <v>44253</v>
      </c>
      <c r="J1305" t="s">
        <v>425</v>
      </c>
      <c r="K1305">
        <v>60000</v>
      </c>
      <c r="L1305" t="s">
        <v>231</v>
      </c>
    </row>
    <row r="1306" spans="1:12" x14ac:dyDescent="0.4">
      <c r="A1306" t="s">
        <v>167</v>
      </c>
      <c r="B1306" t="s">
        <v>4</v>
      </c>
      <c r="C1306" t="s">
        <v>549</v>
      </c>
      <c r="D1306" t="s">
        <v>550</v>
      </c>
      <c r="E1306">
        <v>20020213</v>
      </c>
      <c r="F1306" t="s">
        <v>640</v>
      </c>
      <c r="G1306">
        <v>597400</v>
      </c>
      <c r="H1306" s="184">
        <v>44246</v>
      </c>
      <c r="I1306" s="184">
        <v>44253</v>
      </c>
      <c r="J1306" t="s">
        <v>425</v>
      </c>
      <c r="K1306">
        <v>60000</v>
      </c>
      <c r="L1306" t="s">
        <v>232</v>
      </c>
    </row>
    <row r="1307" spans="1:12" x14ac:dyDescent="0.4">
      <c r="A1307" t="s">
        <v>167</v>
      </c>
      <c r="B1307" t="s">
        <v>4</v>
      </c>
      <c r="C1307" t="s">
        <v>549</v>
      </c>
      <c r="D1307" t="s">
        <v>550</v>
      </c>
      <c r="E1307">
        <v>20020213</v>
      </c>
      <c r="F1307" t="s">
        <v>640</v>
      </c>
      <c r="G1307">
        <v>597400</v>
      </c>
      <c r="H1307" s="184">
        <v>44246</v>
      </c>
      <c r="I1307" s="184">
        <v>44253</v>
      </c>
      <c r="J1307" t="s">
        <v>425</v>
      </c>
      <c r="K1307">
        <v>60000</v>
      </c>
      <c r="L1307" t="s">
        <v>233</v>
      </c>
    </row>
    <row r="1308" spans="1:12" x14ac:dyDescent="0.4">
      <c r="A1308" t="s">
        <v>167</v>
      </c>
      <c r="B1308" t="s">
        <v>4</v>
      </c>
      <c r="C1308" t="s">
        <v>549</v>
      </c>
      <c r="D1308" t="s">
        <v>550</v>
      </c>
      <c r="E1308">
        <v>20020213</v>
      </c>
      <c r="F1308" t="s">
        <v>640</v>
      </c>
      <c r="G1308">
        <v>597400</v>
      </c>
      <c r="H1308" s="184">
        <v>44246</v>
      </c>
      <c r="I1308" s="184">
        <v>44253</v>
      </c>
      <c r="J1308" t="s">
        <v>425</v>
      </c>
      <c r="K1308">
        <v>60000</v>
      </c>
      <c r="L1308" t="s">
        <v>234</v>
      </c>
    </row>
    <row r="1309" spans="1:12" x14ac:dyDescent="0.4">
      <c r="A1309" t="s">
        <v>167</v>
      </c>
      <c r="B1309" t="s">
        <v>4</v>
      </c>
      <c r="C1309" t="s">
        <v>549</v>
      </c>
      <c r="D1309" t="s">
        <v>550</v>
      </c>
      <c r="E1309">
        <v>20020213</v>
      </c>
      <c r="F1309" t="s">
        <v>640</v>
      </c>
      <c r="G1309">
        <v>597400</v>
      </c>
      <c r="H1309" s="184">
        <v>44246</v>
      </c>
      <c r="I1309" s="184">
        <v>44253</v>
      </c>
      <c r="J1309" t="s">
        <v>425</v>
      </c>
      <c r="K1309">
        <v>60000</v>
      </c>
      <c r="L1309" t="s">
        <v>235</v>
      </c>
    </row>
    <row r="1310" spans="1:12" x14ac:dyDescent="0.4">
      <c r="A1310" t="s">
        <v>167</v>
      </c>
      <c r="B1310" t="s">
        <v>4</v>
      </c>
      <c r="C1310" t="s">
        <v>549</v>
      </c>
      <c r="D1310" t="s">
        <v>550</v>
      </c>
      <c r="E1310">
        <v>20020225</v>
      </c>
      <c r="F1310" t="s">
        <v>641</v>
      </c>
      <c r="G1310">
        <v>597042</v>
      </c>
      <c r="H1310" s="184">
        <v>44202</v>
      </c>
      <c r="I1310" s="184">
        <v>44203</v>
      </c>
      <c r="J1310" t="s">
        <v>642</v>
      </c>
      <c r="K1310">
        <v>60000</v>
      </c>
      <c r="L1310" t="s">
        <v>238</v>
      </c>
    </row>
    <row r="1311" spans="1:12" x14ac:dyDescent="0.4">
      <c r="A1311" t="s">
        <v>167</v>
      </c>
      <c r="B1311" t="s">
        <v>4</v>
      </c>
      <c r="C1311" t="s">
        <v>549</v>
      </c>
      <c r="D1311" t="s">
        <v>550</v>
      </c>
      <c r="E1311">
        <v>20020225</v>
      </c>
      <c r="F1311" t="s">
        <v>641</v>
      </c>
      <c r="G1311">
        <v>597042</v>
      </c>
      <c r="H1311" s="184">
        <v>44202</v>
      </c>
      <c r="I1311" s="184">
        <v>44203</v>
      </c>
      <c r="J1311" t="s">
        <v>642</v>
      </c>
      <c r="K1311">
        <v>60000</v>
      </c>
      <c r="L1311" t="s">
        <v>187</v>
      </c>
    </row>
    <row r="1312" spans="1:12" x14ac:dyDescent="0.4">
      <c r="A1312" t="s">
        <v>167</v>
      </c>
      <c r="B1312" t="s">
        <v>4</v>
      </c>
      <c r="C1312" t="s">
        <v>549</v>
      </c>
      <c r="D1312" t="s">
        <v>550</v>
      </c>
      <c r="E1312">
        <v>20020225</v>
      </c>
      <c r="F1312" t="s">
        <v>641</v>
      </c>
      <c r="G1312">
        <v>597042</v>
      </c>
      <c r="H1312" s="184">
        <v>44202</v>
      </c>
      <c r="I1312" s="184">
        <v>44203</v>
      </c>
      <c r="J1312" t="s">
        <v>642</v>
      </c>
      <c r="K1312">
        <v>60000</v>
      </c>
      <c r="L1312" t="s">
        <v>188</v>
      </c>
    </row>
    <row r="1313" spans="1:12" x14ac:dyDescent="0.4">
      <c r="A1313" t="s">
        <v>167</v>
      </c>
      <c r="B1313" t="s">
        <v>4</v>
      </c>
      <c r="C1313" t="s">
        <v>549</v>
      </c>
      <c r="D1313" t="s">
        <v>550</v>
      </c>
      <c r="E1313">
        <v>20020225</v>
      </c>
      <c r="F1313" t="s">
        <v>641</v>
      </c>
      <c r="G1313">
        <v>597042</v>
      </c>
      <c r="H1313" s="184">
        <v>44202</v>
      </c>
      <c r="I1313" s="184">
        <v>44203</v>
      </c>
      <c r="J1313" t="s">
        <v>642</v>
      </c>
      <c r="K1313">
        <v>60000</v>
      </c>
      <c r="L1313" t="s">
        <v>189</v>
      </c>
    </row>
    <row r="1314" spans="1:12" x14ac:dyDescent="0.4">
      <c r="A1314" t="s">
        <v>167</v>
      </c>
      <c r="B1314" t="s">
        <v>4</v>
      </c>
      <c r="C1314" t="s">
        <v>549</v>
      </c>
      <c r="D1314" t="s">
        <v>550</v>
      </c>
      <c r="E1314">
        <v>20020225</v>
      </c>
      <c r="F1314" t="s">
        <v>641</v>
      </c>
      <c r="G1314">
        <v>597042</v>
      </c>
      <c r="H1314" s="184">
        <v>44202</v>
      </c>
      <c r="I1314" s="184">
        <v>44203</v>
      </c>
      <c r="J1314" t="s">
        <v>642</v>
      </c>
      <c r="K1314">
        <v>60000</v>
      </c>
      <c r="L1314" t="s">
        <v>190</v>
      </c>
    </row>
    <row r="1315" spans="1:12" x14ac:dyDescent="0.4">
      <c r="A1315" t="s">
        <v>167</v>
      </c>
      <c r="B1315" t="s">
        <v>4</v>
      </c>
      <c r="C1315" t="s">
        <v>549</v>
      </c>
      <c r="D1315" t="s">
        <v>550</v>
      </c>
      <c r="E1315">
        <v>20020225</v>
      </c>
      <c r="F1315" t="s">
        <v>641</v>
      </c>
      <c r="G1315">
        <v>597042</v>
      </c>
      <c r="H1315" s="184">
        <v>44202</v>
      </c>
      <c r="I1315" s="184">
        <v>44203</v>
      </c>
      <c r="J1315" t="s">
        <v>642</v>
      </c>
      <c r="K1315">
        <v>60000</v>
      </c>
      <c r="L1315" t="s">
        <v>239</v>
      </c>
    </row>
    <row r="1316" spans="1:12" x14ac:dyDescent="0.4">
      <c r="A1316" t="s">
        <v>167</v>
      </c>
      <c r="B1316" t="s">
        <v>4</v>
      </c>
      <c r="C1316" t="s">
        <v>549</v>
      </c>
      <c r="D1316" t="s">
        <v>550</v>
      </c>
      <c r="E1316">
        <v>20020226</v>
      </c>
      <c r="F1316" t="s">
        <v>643</v>
      </c>
      <c r="G1316">
        <v>596371</v>
      </c>
      <c r="H1316" s="184">
        <v>44165</v>
      </c>
      <c r="I1316" s="184">
        <v>44165</v>
      </c>
      <c r="J1316" t="s">
        <v>558</v>
      </c>
      <c r="K1316">
        <v>60000</v>
      </c>
      <c r="L1316" t="s">
        <v>196</v>
      </c>
    </row>
    <row r="1317" spans="1:12" x14ac:dyDescent="0.4">
      <c r="A1317" t="s">
        <v>167</v>
      </c>
      <c r="B1317" t="s">
        <v>4</v>
      </c>
      <c r="C1317" t="s">
        <v>549</v>
      </c>
      <c r="D1317" t="s">
        <v>550</v>
      </c>
      <c r="E1317">
        <v>20020226</v>
      </c>
      <c r="F1317" t="s">
        <v>643</v>
      </c>
      <c r="G1317">
        <v>596371</v>
      </c>
      <c r="H1317" s="184">
        <v>44165</v>
      </c>
      <c r="I1317" s="184">
        <v>44165</v>
      </c>
      <c r="J1317" t="s">
        <v>558</v>
      </c>
      <c r="K1317">
        <v>60000</v>
      </c>
      <c r="L1317" t="s">
        <v>211</v>
      </c>
    </row>
    <row r="1318" spans="1:12" x14ac:dyDescent="0.4">
      <c r="A1318" t="s">
        <v>167</v>
      </c>
      <c r="B1318" t="s">
        <v>4</v>
      </c>
      <c r="C1318" t="s">
        <v>549</v>
      </c>
      <c r="D1318" t="s">
        <v>550</v>
      </c>
      <c r="E1318">
        <v>20020226</v>
      </c>
      <c r="F1318" t="s">
        <v>643</v>
      </c>
      <c r="G1318">
        <v>596371</v>
      </c>
      <c r="H1318" s="184">
        <v>44165</v>
      </c>
      <c r="I1318" s="184">
        <v>44165</v>
      </c>
      <c r="J1318" t="s">
        <v>558</v>
      </c>
      <c r="K1318">
        <v>60000</v>
      </c>
      <c r="L1318" t="s">
        <v>212</v>
      </c>
    </row>
    <row r="1319" spans="1:12" x14ac:dyDescent="0.4">
      <c r="A1319" t="s">
        <v>167</v>
      </c>
      <c r="B1319" t="s">
        <v>4</v>
      </c>
      <c r="C1319" t="s">
        <v>549</v>
      </c>
      <c r="D1319" t="s">
        <v>550</v>
      </c>
      <c r="E1319">
        <v>20020226</v>
      </c>
      <c r="F1319" t="s">
        <v>643</v>
      </c>
      <c r="G1319">
        <v>596371</v>
      </c>
      <c r="H1319" s="184">
        <v>44165</v>
      </c>
      <c r="I1319" s="184">
        <v>44165</v>
      </c>
      <c r="J1319" t="s">
        <v>558</v>
      </c>
      <c r="K1319">
        <v>60000</v>
      </c>
      <c r="L1319" t="s">
        <v>213</v>
      </c>
    </row>
    <row r="1320" spans="1:12" x14ac:dyDescent="0.4">
      <c r="A1320" t="s">
        <v>167</v>
      </c>
      <c r="B1320" t="s">
        <v>4</v>
      </c>
      <c r="C1320" t="s">
        <v>549</v>
      </c>
      <c r="D1320" t="s">
        <v>550</v>
      </c>
      <c r="E1320">
        <v>20020226</v>
      </c>
      <c r="F1320" t="s">
        <v>643</v>
      </c>
      <c r="G1320">
        <v>596371</v>
      </c>
      <c r="H1320" s="184">
        <v>44165</v>
      </c>
      <c r="I1320" s="184">
        <v>44165</v>
      </c>
      <c r="J1320" t="s">
        <v>558</v>
      </c>
      <c r="K1320">
        <v>60000</v>
      </c>
      <c r="L1320" t="s">
        <v>214</v>
      </c>
    </row>
    <row r="1321" spans="1:12" x14ac:dyDescent="0.4">
      <c r="A1321" t="s">
        <v>167</v>
      </c>
      <c r="B1321" t="s">
        <v>4</v>
      </c>
      <c r="C1321" t="s">
        <v>549</v>
      </c>
      <c r="D1321" t="s">
        <v>550</v>
      </c>
      <c r="E1321">
        <v>20020226</v>
      </c>
      <c r="F1321" t="s">
        <v>643</v>
      </c>
      <c r="G1321">
        <v>596371</v>
      </c>
      <c r="H1321" s="184">
        <v>44165</v>
      </c>
      <c r="I1321" s="184">
        <v>44165</v>
      </c>
      <c r="J1321" t="s">
        <v>558</v>
      </c>
      <c r="K1321">
        <v>60000</v>
      </c>
      <c r="L1321" t="s">
        <v>215</v>
      </c>
    </row>
    <row r="1322" spans="1:12" x14ac:dyDescent="0.4">
      <c r="A1322" t="s">
        <v>167</v>
      </c>
      <c r="B1322" t="s">
        <v>4</v>
      </c>
      <c r="C1322" t="s">
        <v>555</v>
      </c>
      <c r="D1322" t="s">
        <v>556</v>
      </c>
      <c r="E1322">
        <v>20020343</v>
      </c>
      <c r="F1322" t="s">
        <v>644</v>
      </c>
      <c r="G1322">
        <v>598252</v>
      </c>
      <c r="H1322" s="184">
        <v>44316</v>
      </c>
      <c r="I1322" s="184">
        <v>44316</v>
      </c>
      <c r="J1322" t="s">
        <v>645</v>
      </c>
      <c r="K1322">
        <v>60000</v>
      </c>
      <c r="L1322" t="s">
        <v>311</v>
      </c>
    </row>
    <row r="1323" spans="1:12" x14ac:dyDescent="0.4">
      <c r="A1323" t="s">
        <v>167</v>
      </c>
      <c r="B1323" t="s">
        <v>4</v>
      </c>
      <c r="C1323" t="s">
        <v>555</v>
      </c>
      <c r="D1323" t="s">
        <v>556</v>
      </c>
      <c r="E1323">
        <v>20020343</v>
      </c>
      <c r="F1323" t="s">
        <v>644</v>
      </c>
      <c r="G1323">
        <v>598252</v>
      </c>
      <c r="H1323" s="184">
        <v>44316</v>
      </c>
      <c r="I1323" s="184">
        <v>44316</v>
      </c>
      <c r="J1323" t="s">
        <v>645</v>
      </c>
      <c r="K1323">
        <v>60000</v>
      </c>
      <c r="L1323" t="s">
        <v>312</v>
      </c>
    </row>
    <row r="1324" spans="1:12" x14ac:dyDescent="0.4">
      <c r="A1324" t="s">
        <v>167</v>
      </c>
      <c r="B1324" t="s">
        <v>4</v>
      </c>
      <c r="C1324" t="s">
        <v>555</v>
      </c>
      <c r="D1324" t="s">
        <v>556</v>
      </c>
      <c r="E1324">
        <v>20020343</v>
      </c>
      <c r="F1324" t="s">
        <v>644</v>
      </c>
      <c r="G1324">
        <v>598252</v>
      </c>
      <c r="H1324" s="184">
        <v>44316</v>
      </c>
      <c r="I1324" s="184">
        <v>44316</v>
      </c>
      <c r="J1324" t="s">
        <v>645</v>
      </c>
      <c r="K1324">
        <v>60000</v>
      </c>
      <c r="L1324" t="s">
        <v>313</v>
      </c>
    </row>
    <row r="1325" spans="1:12" x14ac:dyDescent="0.4">
      <c r="A1325" t="s">
        <v>167</v>
      </c>
      <c r="B1325" t="s">
        <v>4</v>
      </c>
      <c r="C1325" t="s">
        <v>555</v>
      </c>
      <c r="D1325" t="s">
        <v>556</v>
      </c>
      <c r="E1325">
        <v>20020343</v>
      </c>
      <c r="F1325" t="s">
        <v>644</v>
      </c>
      <c r="G1325">
        <v>598252</v>
      </c>
      <c r="H1325" s="184">
        <v>44316</v>
      </c>
      <c r="I1325" s="184">
        <v>44316</v>
      </c>
      <c r="J1325" t="s">
        <v>645</v>
      </c>
      <c r="K1325">
        <v>60000</v>
      </c>
      <c r="L1325" t="s">
        <v>314</v>
      </c>
    </row>
    <row r="1326" spans="1:12" x14ac:dyDescent="0.4">
      <c r="A1326" t="s">
        <v>167</v>
      </c>
      <c r="B1326" t="s">
        <v>4</v>
      </c>
      <c r="C1326" t="s">
        <v>555</v>
      </c>
      <c r="D1326" t="s">
        <v>556</v>
      </c>
      <c r="E1326">
        <v>20020343</v>
      </c>
      <c r="F1326" t="s">
        <v>644</v>
      </c>
      <c r="G1326">
        <v>598252</v>
      </c>
      <c r="H1326" s="184">
        <v>44316</v>
      </c>
      <c r="I1326" s="184">
        <v>44316</v>
      </c>
      <c r="J1326" t="s">
        <v>645</v>
      </c>
      <c r="K1326">
        <v>60000</v>
      </c>
      <c r="L1326" t="s">
        <v>315</v>
      </c>
    </row>
    <row r="1327" spans="1:12" x14ac:dyDescent="0.4">
      <c r="A1327" t="s">
        <v>167</v>
      </c>
      <c r="B1327" t="s">
        <v>4</v>
      </c>
      <c r="C1327" t="s">
        <v>555</v>
      </c>
      <c r="D1327" t="s">
        <v>556</v>
      </c>
      <c r="E1327">
        <v>20020343</v>
      </c>
      <c r="F1327" t="s">
        <v>644</v>
      </c>
      <c r="G1327">
        <v>598252</v>
      </c>
      <c r="H1327" s="184">
        <v>44316</v>
      </c>
      <c r="I1327" s="184">
        <v>44316</v>
      </c>
      <c r="J1327" t="s">
        <v>645</v>
      </c>
      <c r="K1327">
        <v>60000</v>
      </c>
      <c r="L1327" t="s">
        <v>316</v>
      </c>
    </row>
    <row r="1328" spans="1:12" x14ac:dyDescent="0.4">
      <c r="A1328" t="s">
        <v>167</v>
      </c>
      <c r="B1328" t="s">
        <v>4</v>
      </c>
      <c r="C1328" t="s">
        <v>549</v>
      </c>
      <c r="D1328" t="s">
        <v>550</v>
      </c>
      <c r="E1328">
        <v>20020434</v>
      </c>
      <c r="F1328" t="s">
        <v>646</v>
      </c>
      <c r="G1328">
        <v>598110</v>
      </c>
      <c r="H1328" s="184">
        <v>44286</v>
      </c>
      <c r="I1328" s="184">
        <v>44286</v>
      </c>
      <c r="J1328" t="s">
        <v>241</v>
      </c>
      <c r="K1328">
        <v>60000</v>
      </c>
      <c r="L1328" t="s">
        <v>242</v>
      </c>
    </row>
    <row r="1329" spans="1:12" x14ac:dyDescent="0.4">
      <c r="A1329" t="s">
        <v>167</v>
      </c>
      <c r="B1329" t="s">
        <v>4</v>
      </c>
      <c r="C1329" t="s">
        <v>549</v>
      </c>
      <c r="D1329" t="s">
        <v>550</v>
      </c>
      <c r="E1329">
        <v>20020434</v>
      </c>
      <c r="F1329" t="s">
        <v>646</v>
      </c>
      <c r="G1329">
        <v>598110</v>
      </c>
      <c r="H1329" s="184">
        <v>44286</v>
      </c>
      <c r="I1329" s="184">
        <v>44286</v>
      </c>
      <c r="J1329" t="s">
        <v>241</v>
      </c>
      <c r="K1329">
        <v>60000</v>
      </c>
      <c r="L1329" t="s">
        <v>243</v>
      </c>
    </row>
    <row r="1330" spans="1:12" x14ac:dyDescent="0.4">
      <c r="A1330" t="s">
        <v>167</v>
      </c>
      <c r="B1330" t="s">
        <v>4</v>
      </c>
      <c r="C1330" t="s">
        <v>549</v>
      </c>
      <c r="D1330" t="s">
        <v>550</v>
      </c>
      <c r="E1330">
        <v>20020434</v>
      </c>
      <c r="F1330" t="s">
        <v>646</v>
      </c>
      <c r="G1330">
        <v>598110</v>
      </c>
      <c r="H1330" s="184">
        <v>44286</v>
      </c>
      <c r="I1330" s="184">
        <v>44286</v>
      </c>
      <c r="J1330" t="s">
        <v>241</v>
      </c>
      <c r="K1330">
        <v>60000</v>
      </c>
      <c r="L1330" t="s">
        <v>244</v>
      </c>
    </row>
    <row r="1331" spans="1:12" x14ac:dyDescent="0.4">
      <c r="A1331" t="s">
        <v>167</v>
      </c>
      <c r="B1331" t="s">
        <v>4</v>
      </c>
      <c r="C1331" t="s">
        <v>549</v>
      </c>
      <c r="D1331" t="s">
        <v>550</v>
      </c>
      <c r="E1331">
        <v>20020434</v>
      </c>
      <c r="F1331" t="s">
        <v>646</v>
      </c>
      <c r="G1331">
        <v>598110</v>
      </c>
      <c r="H1331" s="184">
        <v>44286</v>
      </c>
      <c r="I1331" s="184">
        <v>44286</v>
      </c>
      <c r="J1331" t="s">
        <v>241</v>
      </c>
      <c r="K1331">
        <v>60000</v>
      </c>
      <c r="L1331" t="s">
        <v>245</v>
      </c>
    </row>
    <row r="1332" spans="1:12" x14ac:dyDescent="0.4">
      <c r="A1332" t="s">
        <v>167</v>
      </c>
      <c r="B1332" t="s">
        <v>4</v>
      </c>
      <c r="C1332" t="s">
        <v>549</v>
      </c>
      <c r="D1332" t="s">
        <v>550</v>
      </c>
      <c r="E1332">
        <v>20020434</v>
      </c>
      <c r="F1332" t="s">
        <v>646</v>
      </c>
      <c r="G1332">
        <v>598110</v>
      </c>
      <c r="H1332" s="184">
        <v>44286</v>
      </c>
      <c r="I1332" s="184">
        <v>44286</v>
      </c>
      <c r="J1332" t="s">
        <v>241</v>
      </c>
      <c r="K1332">
        <v>60000</v>
      </c>
      <c r="L1332" t="s">
        <v>246</v>
      </c>
    </row>
    <row r="1333" spans="1:12" x14ac:dyDescent="0.4">
      <c r="A1333" t="s">
        <v>167</v>
      </c>
      <c r="B1333" t="s">
        <v>4</v>
      </c>
      <c r="C1333" t="s">
        <v>549</v>
      </c>
      <c r="D1333" t="s">
        <v>550</v>
      </c>
      <c r="E1333">
        <v>20020434</v>
      </c>
      <c r="F1333" t="s">
        <v>646</v>
      </c>
      <c r="G1333">
        <v>598110</v>
      </c>
      <c r="H1333" s="184">
        <v>44286</v>
      </c>
      <c r="I1333" s="184">
        <v>44286</v>
      </c>
      <c r="J1333" t="s">
        <v>241</v>
      </c>
      <c r="K1333">
        <v>60000</v>
      </c>
      <c r="L1333" t="s">
        <v>247</v>
      </c>
    </row>
    <row r="1334" spans="1:12" x14ac:dyDescent="0.4">
      <c r="A1334" t="s">
        <v>167</v>
      </c>
      <c r="B1334" t="s">
        <v>4</v>
      </c>
      <c r="C1334" t="s">
        <v>549</v>
      </c>
      <c r="D1334" t="s">
        <v>550</v>
      </c>
      <c r="E1334">
        <v>20020437</v>
      </c>
      <c r="F1334" t="s">
        <v>647</v>
      </c>
      <c r="G1334">
        <v>599411</v>
      </c>
      <c r="H1334" s="184"/>
      <c r="I1334" s="184"/>
      <c r="J1334" t="s">
        <v>648</v>
      </c>
      <c r="K1334">
        <v>60000</v>
      </c>
      <c r="L1334" t="s">
        <v>204</v>
      </c>
    </row>
    <row r="1335" spans="1:12" x14ac:dyDescent="0.4">
      <c r="A1335" t="s">
        <v>167</v>
      </c>
      <c r="B1335" t="s">
        <v>4</v>
      </c>
      <c r="C1335" t="s">
        <v>549</v>
      </c>
      <c r="D1335" t="s">
        <v>550</v>
      </c>
      <c r="E1335">
        <v>20020437</v>
      </c>
      <c r="F1335" t="s">
        <v>647</v>
      </c>
      <c r="G1335">
        <v>599411</v>
      </c>
      <c r="H1335" s="184"/>
      <c r="I1335" s="184"/>
      <c r="J1335" t="s">
        <v>648</v>
      </c>
      <c r="K1335">
        <v>60000</v>
      </c>
      <c r="L1335" t="s">
        <v>222</v>
      </c>
    </row>
    <row r="1336" spans="1:12" x14ac:dyDescent="0.4">
      <c r="A1336" t="s">
        <v>167</v>
      </c>
      <c r="B1336" t="s">
        <v>4</v>
      </c>
      <c r="C1336" t="s">
        <v>549</v>
      </c>
      <c r="D1336" t="s">
        <v>550</v>
      </c>
      <c r="E1336">
        <v>20020437</v>
      </c>
      <c r="F1336" t="s">
        <v>647</v>
      </c>
      <c r="G1336">
        <v>599411</v>
      </c>
      <c r="H1336" s="184"/>
      <c r="I1336" s="184"/>
      <c r="J1336" t="s">
        <v>648</v>
      </c>
      <c r="K1336">
        <v>60000</v>
      </c>
      <c r="L1336" t="s">
        <v>223</v>
      </c>
    </row>
    <row r="1337" spans="1:12" x14ac:dyDescent="0.4">
      <c r="A1337" t="s">
        <v>167</v>
      </c>
      <c r="B1337" t="s">
        <v>4</v>
      </c>
      <c r="C1337" t="s">
        <v>549</v>
      </c>
      <c r="D1337" t="s">
        <v>550</v>
      </c>
      <c r="E1337">
        <v>20020437</v>
      </c>
      <c r="F1337" t="s">
        <v>647</v>
      </c>
      <c r="G1337">
        <v>599411</v>
      </c>
      <c r="H1337" s="184"/>
      <c r="I1337" s="184"/>
      <c r="J1337" t="s">
        <v>648</v>
      </c>
      <c r="K1337">
        <v>60000</v>
      </c>
      <c r="L1337" t="s">
        <v>224</v>
      </c>
    </row>
    <row r="1338" spans="1:12" x14ac:dyDescent="0.4">
      <c r="A1338" t="s">
        <v>167</v>
      </c>
      <c r="B1338" t="s">
        <v>4</v>
      </c>
      <c r="C1338" t="s">
        <v>549</v>
      </c>
      <c r="D1338" t="s">
        <v>550</v>
      </c>
      <c r="E1338">
        <v>20020437</v>
      </c>
      <c r="F1338" t="s">
        <v>647</v>
      </c>
      <c r="G1338">
        <v>599411</v>
      </c>
      <c r="H1338" s="184"/>
      <c r="I1338" s="184"/>
      <c r="J1338" t="s">
        <v>648</v>
      </c>
      <c r="K1338">
        <v>60000</v>
      </c>
      <c r="L1338" t="s">
        <v>225</v>
      </c>
    </row>
    <row r="1339" spans="1:12" x14ac:dyDescent="0.4">
      <c r="A1339" t="s">
        <v>167</v>
      </c>
      <c r="B1339" t="s">
        <v>4</v>
      </c>
      <c r="C1339" t="s">
        <v>549</v>
      </c>
      <c r="D1339" t="s">
        <v>550</v>
      </c>
      <c r="E1339">
        <v>20020437</v>
      </c>
      <c r="F1339" t="s">
        <v>647</v>
      </c>
      <c r="G1339">
        <v>599411</v>
      </c>
      <c r="H1339" s="184"/>
      <c r="I1339" s="184"/>
      <c r="J1339" t="s">
        <v>648</v>
      </c>
      <c r="K1339">
        <v>60000</v>
      </c>
      <c r="L1339" t="s">
        <v>649</v>
      </c>
    </row>
    <row r="1340" spans="1:12" x14ac:dyDescent="0.4">
      <c r="A1340" t="s">
        <v>167</v>
      </c>
      <c r="B1340" t="s">
        <v>4</v>
      </c>
      <c r="C1340" t="s">
        <v>549</v>
      </c>
      <c r="D1340" t="s">
        <v>550</v>
      </c>
      <c r="E1340">
        <v>20020512</v>
      </c>
      <c r="F1340" t="s">
        <v>650</v>
      </c>
      <c r="G1340">
        <v>598474</v>
      </c>
      <c r="H1340" s="184">
        <v>44307</v>
      </c>
      <c r="I1340" s="184">
        <v>44316</v>
      </c>
      <c r="J1340" t="s">
        <v>651</v>
      </c>
      <c r="K1340">
        <v>60000</v>
      </c>
      <c r="L1340" t="s">
        <v>311</v>
      </c>
    </row>
    <row r="1341" spans="1:12" x14ac:dyDescent="0.4">
      <c r="A1341" t="s">
        <v>167</v>
      </c>
      <c r="B1341" t="s">
        <v>4</v>
      </c>
      <c r="C1341" t="s">
        <v>549</v>
      </c>
      <c r="D1341" t="s">
        <v>550</v>
      </c>
      <c r="E1341">
        <v>20020512</v>
      </c>
      <c r="F1341" t="s">
        <v>650</v>
      </c>
      <c r="G1341">
        <v>598474</v>
      </c>
      <c r="H1341" s="184">
        <v>44307</v>
      </c>
      <c r="I1341" s="184">
        <v>44316</v>
      </c>
      <c r="J1341" t="s">
        <v>651</v>
      </c>
      <c r="K1341">
        <v>60000</v>
      </c>
      <c r="L1341" t="s">
        <v>312</v>
      </c>
    </row>
    <row r="1342" spans="1:12" x14ac:dyDescent="0.4">
      <c r="A1342" t="s">
        <v>167</v>
      </c>
      <c r="B1342" t="s">
        <v>4</v>
      </c>
      <c r="C1342" t="s">
        <v>549</v>
      </c>
      <c r="D1342" t="s">
        <v>550</v>
      </c>
      <c r="E1342">
        <v>20020512</v>
      </c>
      <c r="F1342" t="s">
        <v>650</v>
      </c>
      <c r="G1342">
        <v>598474</v>
      </c>
      <c r="H1342" s="184">
        <v>44307</v>
      </c>
      <c r="I1342" s="184">
        <v>44316</v>
      </c>
      <c r="J1342" t="s">
        <v>651</v>
      </c>
      <c r="K1342">
        <v>60000</v>
      </c>
      <c r="L1342" t="s">
        <v>313</v>
      </c>
    </row>
    <row r="1343" spans="1:12" x14ac:dyDescent="0.4">
      <c r="A1343" t="s">
        <v>167</v>
      </c>
      <c r="B1343" t="s">
        <v>4</v>
      </c>
      <c r="C1343" t="s">
        <v>549</v>
      </c>
      <c r="D1343" t="s">
        <v>550</v>
      </c>
      <c r="E1343">
        <v>20020512</v>
      </c>
      <c r="F1343" t="s">
        <v>650</v>
      </c>
      <c r="G1343">
        <v>598474</v>
      </c>
      <c r="H1343" s="184">
        <v>44307</v>
      </c>
      <c r="I1343" s="184">
        <v>44316</v>
      </c>
      <c r="J1343" t="s">
        <v>651</v>
      </c>
      <c r="K1343">
        <v>60000</v>
      </c>
      <c r="L1343" t="s">
        <v>314</v>
      </c>
    </row>
    <row r="1344" spans="1:12" x14ac:dyDescent="0.4">
      <c r="A1344" t="s">
        <v>167</v>
      </c>
      <c r="B1344" t="s">
        <v>4</v>
      </c>
      <c r="C1344" t="s">
        <v>549</v>
      </c>
      <c r="D1344" t="s">
        <v>550</v>
      </c>
      <c r="E1344">
        <v>20020512</v>
      </c>
      <c r="F1344" t="s">
        <v>650</v>
      </c>
      <c r="G1344">
        <v>598474</v>
      </c>
      <c r="H1344" s="184">
        <v>44307</v>
      </c>
      <c r="I1344" s="184">
        <v>44316</v>
      </c>
      <c r="J1344" t="s">
        <v>651</v>
      </c>
      <c r="K1344">
        <v>60000</v>
      </c>
      <c r="L1344" t="s">
        <v>315</v>
      </c>
    </row>
    <row r="1345" spans="1:12" x14ac:dyDescent="0.4">
      <c r="A1345" t="s">
        <v>167</v>
      </c>
      <c r="B1345" t="s">
        <v>4</v>
      </c>
      <c r="C1345" t="s">
        <v>549</v>
      </c>
      <c r="D1345" t="s">
        <v>550</v>
      </c>
      <c r="E1345">
        <v>20020512</v>
      </c>
      <c r="F1345" t="s">
        <v>650</v>
      </c>
      <c r="G1345">
        <v>598474</v>
      </c>
      <c r="H1345" s="184">
        <v>44307</v>
      </c>
      <c r="I1345" s="184">
        <v>44316</v>
      </c>
      <c r="J1345" t="s">
        <v>651</v>
      </c>
      <c r="K1345">
        <v>60000</v>
      </c>
      <c r="L1345" t="s">
        <v>316</v>
      </c>
    </row>
    <row r="1346" spans="1:12" x14ac:dyDescent="0.4">
      <c r="A1346" t="s">
        <v>167</v>
      </c>
      <c r="B1346" t="s">
        <v>4</v>
      </c>
      <c r="C1346" t="s">
        <v>549</v>
      </c>
      <c r="D1346" t="s">
        <v>550</v>
      </c>
      <c r="E1346">
        <v>20020584</v>
      </c>
      <c r="F1346" t="s">
        <v>652</v>
      </c>
      <c r="G1346">
        <v>598398</v>
      </c>
      <c r="H1346" s="184">
        <v>44273</v>
      </c>
      <c r="I1346" s="184">
        <v>44274</v>
      </c>
      <c r="J1346" t="s">
        <v>653</v>
      </c>
      <c r="K1346">
        <v>60000</v>
      </c>
      <c r="L1346" t="s">
        <v>242</v>
      </c>
    </row>
    <row r="1347" spans="1:12" x14ac:dyDescent="0.4">
      <c r="A1347" t="s">
        <v>167</v>
      </c>
      <c r="B1347" t="s">
        <v>4</v>
      </c>
      <c r="C1347" t="s">
        <v>549</v>
      </c>
      <c r="D1347" t="s">
        <v>550</v>
      </c>
      <c r="E1347">
        <v>20020584</v>
      </c>
      <c r="F1347" t="s">
        <v>652</v>
      </c>
      <c r="G1347">
        <v>598398</v>
      </c>
      <c r="H1347" s="184">
        <v>44273</v>
      </c>
      <c r="I1347" s="184">
        <v>44274</v>
      </c>
      <c r="J1347" t="s">
        <v>653</v>
      </c>
      <c r="K1347">
        <v>60000</v>
      </c>
      <c r="L1347" t="s">
        <v>243</v>
      </c>
    </row>
    <row r="1348" spans="1:12" x14ac:dyDescent="0.4">
      <c r="A1348" t="s">
        <v>167</v>
      </c>
      <c r="B1348" t="s">
        <v>4</v>
      </c>
      <c r="C1348" t="s">
        <v>549</v>
      </c>
      <c r="D1348" t="s">
        <v>550</v>
      </c>
      <c r="E1348">
        <v>20020584</v>
      </c>
      <c r="F1348" t="s">
        <v>652</v>
      </c>
      <c r="G1348">
        <v>598398</v>
      </c>
      <c r="H1348" s="184">
        <v>44273</v>
      </c>
      <c r="I1348" s="184">
        <v>44274</v>
      </c>
      <c r="J1348" t="s">
        <v>653</v>
      </c>
      <c r="K1348">
        <v>60000</v>
      </c>
      <c r="L1348" t="s">
        <v>244</v>
      </c>
    </row>
    <row r="1349" spans="1:12" x14ac:dyDescent="0.4">
      <c r="A1349" t="s">
        <v>167</v>
      </c>
      <c r="B1349" t="s">
        <v>4</v>
      </c>
      <c r="C1349" t="s">
        <v>549</v>
      </c>
      <c r="D1349" t="s">
        <v>550</v>
      </c>
      <c r="E1349">
        <v>20020584</v>
      </c>
      <c r="F1349" t="s">
        <v>652</v>
      </c>
      <c r="G1349">
        <v>598398</v>
      </c>
      <c r="H1349" s="184">
        <v>44273</v>
      </c>
      <c r="I1349" s="184">
        <v>44274</v>
      </c>
      <c r="J1349" t="s">
        <v>653</v>
      </c>
      <c r="K1349">
        <v>60000</v>
      </c>
      <c r="L1349" t="s">
        <v>245</v>
      </c>
    </row>
    <row r="1350" spans="1:12" x14ac:dyDescent="0.4">
      <c r="A1350" t="s">
        <v>167</v>
      </c>
      <c r="B1350" t="s">
        <v>4</v>
      </c>
      <c r="C1350" t="s">
        <v>549</v>
      </c>
      <c r="D1350" t="s">
        <v>550</v>
      </c>
      <c r="E1350">
        <v>20020584</v>
      </c>
      <c r="F1350" t="s">
        <v>652</v>
      </c>
      <c r="G1350">
        <v>598398</v>
      </c>
      <c r="H1350" s="184">
        <v>44273</v>
      </c>
      <c r="I1350" s="184">
        <v>44274</v>
      </c>
      <c r="J1350" t="s">
        <v>653</v>
      </c>
      <c r="K1350">
        <v>60000</v>
      </c>
      <c r="L1350" t="s">
        <v>246</v>
      </c>
    </row>
    <row r="1351" spans="1:12" x14ac:dyDescent="0.4">
      <c r="A1351" t="s">
        <v>167</v>
      </c>
      <c r="B1351" t="s">
        <v>4</v>
      </c>
      <c r="C1351" t="s">
        <v>549</v>
      </c>
      <c r="D1351" t="s">
        <v>550</v>
      </c>
      <c r="E1351">
        <v>20020584</v>
      </c>
      <c r="F1351" t="s">
        <v>652</v>
      </c>
      <c r="G1351">
        <v>598398</v>
      </c>
      <c r="H1351" s="184">
        <v>44273</v>
      </c>
      <c r="I1351" s="184">
        <v>44274</v>
      </c>
      <c r="J1351" t="s">
        <v>653</v>
      </c>
      <c r="K1351">
        <v>60000</v>
      </c>
      <c r="L1351" t="s">
        <v>247</v>
      </c>
    </row>
    <row r="1352" spans="1:12" x14ac:dyDescent="0.4">
      <c r="A1352" t="s">
        <v>167</v>
      </c>
      <c r="B1352" t="s">
        <v>4</v>
      </c>
      <c r="C1352" t="s">
        <v>549</v>
      </c>
      <c r="D1352" t="s">
        <v>550</v>
      </c>
      <c r="E1352">
        <v>20020748</v>
      </c>
      <c r="F1352" t="s">
        <v>654</v>
      </c>
      <c r="G1352">
        <v>599063</v>
      </c>
      <c r="H1352" s="184"/>
      <c r="I1352" s="184"/>
      <c r="J1352" t="s">
        <v>655</v>
      </c>
      <c r="K1352">
        <v>60000</v>
      </c>
      <c r="L1352" t="s">
        <v>221</v>
      </c>
    </row>
    <row r="1353" spans="1:12" x14ac:dyDescent="0.4">
      <c r="A1353" t="s">
        <v>167</v>
      </c>
      <c r="B1353" t="s">
        <v>4</v>
      </c>
      <c r="C1353" t="s">
        <v>549</v>
      </c>
      <c r="D1353" t="s">
        <v>550</v>
      </c>
      <c r="E1353">
        <v>20020748</v>
      </c>
      <c r="F1353" t="s">
        <v>654</v>
      </c>
      <c r="G1353">
        <v>599063</v>
      </c>
      <c r="H1353" s="184"/>
      <c r="I1353" s="184"/>
      <c r="J1353" t="s">
        <v>655</v>
      </c>
      <c r="K1353">
        <v>60000</v>
      </c>
      <c r="L1353" t="s">
        <v>327</v>
      </c>
    </row>
    <row r="1354" spans="1:12" x14ac:dyDescent="0.4">
      <c r="A1354" t="s">
        <v>167</v>
      </c>
      <c r="B1354" t="s">
        <v>4</v>
      </c>
      <c r="C1354" t="s">
        <v>549</v>
      </c>
      <c r="D1354" t="s">
        <v>550</v>
      </c>
      <c r="E1354">
        <v>20020748</v>
      </c>
      <c r="F1354" t="s">
        <v>654</v>
      </c>
      <c r="G1354">
        <v>599063</v>
      </c>
      <c r="H1354" s="184"/>
      <c r="I1354" s="184"/>
      <c r="J1354" t="s">
        <v>655</v>
      </c>
      <c r="K1354">
        <v>60000</v>
      </c>
      <c r="L1354" t="s">
        <v>328</v>
      </c>
    </row>
    <row r="1355" spans="1:12" x14ac:dyDescent="0.4">
      <c r="A1355" t="s">
        <v>167</v>
      </c>
      <c r="B1355" t="s">
        <v>4</v>
      </c>
      <c r="C1355" t="s">
        <v>549</v>
      </c>
      <c r="D1355" t="s">
        <v>550</v>
      </c>
      <c r="E1355">
        <v>20020748</v>
      </c>
      <c r="F1355" t="s">
        <v>654</v>
      </c>
      <c r="G1355">
        <v>599063</v>
      </c>
      <c r="H1355" s="184"/>
      <c r="I1355" s="184"/>
      <c r="J1355" t="s">
        <v>655</v>
      </c>
      <c r="K1355">
        <v>60000</v>
      </c>
      <c r="L1355" t="s">
        <v>329</v>
      </c>
    </row>
    <row r="1356" spans="1:12" x14ac:dyDescent="0.4">
      <c r="A1356" t="s">
        <v>167</v>
      </c>
      <c r="B1356" t="s">
        <v>4</v>
      </c>
      <c r="C1356" t="s">
        <v>549</v>
      </c>
      <c r="D1356" t="s">
        <v>550</v>
      </c>
      <c r="E1356">
        <v>20020748</v>
      </c>
      <c r="F1356" t="s">
        <v>654</v>
      </c>
      <c r="G1356">
        <v>599063</v>
      </c>
      <c r="H1356" s="184"/>
      <c r="I1356" s="184"/>
      <c r="J1356" t="s">
        <v>655</v>
      </c>
      <c r="K1356">
        <v>60000</v>
      </c>
      <c r="L1356" t="s">
        <v>330</v>
      </c>
    </row>
    <row r="1357" spans="1:12" x14ac:dyDescent="0.4">
      <c r="A1357" t="s">
        <v>167</v>
      </c>
      <c r="B1357" t="s">
        <v>4</v>
      </c>
      <c r="C1357" t="s">
        <v>549</v>
      </c>
      <c r="D1357" t="s">
        <v>550</v>
      </c>
      <c r="E1357">
        <v>20020748</v>
      </c>
      <c r="F1357" t="s">
        <v>654</v>
      </c>
      <c r="G1357">
        <v>599063</v>
      </c>
      <c r="H1357" s="184"/>
      <c r="I1357" s="184"/>
      <c r="J1357" t="s">
        <v>655</v>
      </c>
      <c r="K1357">
        <v>60000</v>
      </c>
      <c r="L1357" t="s">
        <v>331</v>
      </c>
    </row>
    <row r="1358" spans="1:12" x14ac:dyDescent="0.4">
      <c r="A1358" t="s">
        <v>168</v>
      </c>
      <c r="B1358" t="s">
        <v>5</v>
      </c>
      <c r="C1358" t="s">
        <v>656</v>
      </c>
      <c r="D1358" t="s">
        <v>657</v>
      </c>
      <c r="E1358">
        <v>10015892</v>
      </c>
      <c r="F1358" t="s">
        <v>658</v>
      </c>
      <c r="G1358">
        <v>591821</v>
      </c>
      <c r="H1358" s="184">
        <v>43894</v>
      </c>
      <c r="I1358" s="184">
        <v>43907</v>
      </c>
      <c r="J1358" t="s">
        <v>659</v>
      </c>
      <c r="K1358">
        <v>60000</v>
      </c>
      <c r="L1358" t="s">
        <v>281</v>
      </c>
    </row>
    <row r="1359" spans="1:12" x14ac:dyDescent="0.4">
      <c r="A1359" t="s">
        <v>168</v>
      </c>
      <c r="B1359" t="s">
        <v>5</v>
      </c>
      <c r="C1359" t="s">
        <v>656</v>
      </c>
      <c r="D1359" t="s">
        <v>657</v>
      </c>
      <c r="E1359">
        <v>10015892</v>
      </c>
      <c r="F1359" t="s">
        <v>658</v>
      </c>
      <c r="G1359">
        <v>591821</v>
      </c>
      <c r="H1359" s="184">
        <v>43894</v>
      </c>
      <c r="I1359" s="184">
        <v>43907</v>
      </c>
      <c r="J1359" t="s">
        <v>659</v>
      </c>
      <c r="K1359">
        <v>60000</v>
      </c>
      <c r="L1359" t="s">
        <v>230</v>
      </c>
    </row>
    <row r="1360" spans="1:12" x14ac:dyDescent="0.4">
      <c r="A1360" t="s">
        <v>168</v>
      </c>
      <c r="B1360" t="s">
        <v>5</v>
      </c>
      <c r="C1360" t="s">
        <v>656</v>
      </c>
      <c r="D1360" t="s">
        <v>657</v>
      </c>
      <c r="E1360">
        <v>10015892</v>
      </c>
      <c r="F1360" t="s">
        <v>658</v>
      </c>
      <c r="G1360">
        <v>591821</v>
      </c>
      <c r="H1360" s="184">
        <v>43894</v>
      </c>
      <c r="I1360" s="184">
        <v>43907</v>
      </c>
      <c r="J1360" t="s">
        <v>659</v>
      </c>
      <c r="K1360">
        <v>60000</v>
      </c>
      <c r="L1360" t="s">
        <v>243</v>
      </c>
    </row>
    <row r="1361" spans="1:12" x14ac:dyDescent="0.4">
      <c r="A1361" t="s">
        <v>168</v>
      </c>
      <c r="B1361" t="s">
        <v>5</v>
      </c>
      <c r="C1361" t="s">
        <v>656</v>
      </c>
      <c r="D1361" t="s">
        <v>657</v>
      </c>
      <c r="E1361">
        <v>10015892</v>
      </c>
      <c r="F1361" t="s">
        <v>658</v>
      </c>
      <c r="G1361">
        <v>591821</v>
      </c>
      <c r="H1361" s="184">
        <v>43894</v>
      </c>
      <c r="I1361" s="184">
        <v>43907</v>
      </c>
      <c r="J1361" t="s">
        <v>659</v>
      </c>
      <c r="K1361">
        <v>60000</v>
      </c>
      <c r="L1361" t="s">
        <v>244</v>
      </c>
    </row>
    <row r="1362" spans="1:12" x14ac:dyDescent="0.4">
      <c r="A1362" t="s">
        <v>168</v>
      </c>
      <c r="B1362" t="s">
        <v>5</v>
      </c>
      <c r="C1362" t="s">
        <v>656</v>
      </c>
      <c r="D1362" t="s">
        <v>657</v>
      </c>
      <c r="E1362">
        <v>10015892</v>
      </c>
      <c r="F1362" t="s">
        <v>658</v>
      </c>
      <c r="G1362">
        <v>591821</v>
      </c>
      <c r="H1362" s="184">
        <v>43894</v>
      </c>
      <c r="I1362" s="184">
        <v>43907</v>
      </c>
      <c r="J1362" t="s">
        <v>659</v>
      </c>
      <c r="K1362">
        <v>60000</v>
      </c>
      <c r="L1362" t="s">
        <v>245</v>
      </c>
    </row>
    <row r="1363" spans="1:12" x14ac:dyDescent="0.4">
      <c r="A1363" t="s">
        <v>168</v>
      </c>
      <c r="B1363" t="s">
        <v>5</v>
      </c>
      <c r="C1363" t="s">
        <v>656</v>
      </c>
      <c r="D1363" t="s">
        <v>657</v>
      </c>
      <c r="E1363">
        <v>10015892</v>
      </c>
      <c r="F1363" t="s">
        <v>658</v>
      </c>
      <c r="G1363">
        <v>591821</v>
      </c>
      <c r="H1363" s="184">
        <v>43894</v>
      </c>
      <c r="I1363" s="184">
        <v>43907</v>
      </c>
      <c r="J1363" t="s">
        <v>659</v>
      </c>
      <c r="K1363">
        <v>60000</v>
      </c>
      <c r="L1363" t="s">
        <v>246</v>
      </c>
    </row>
    <row r="1364" spans="1:12" x14ac:dyDescent="0.4">
      <c r="A1364" t="s">
        <v>168</v>
      </c>
      <c r="B1364" t="s">
        <v>5</v>
      </c>
      <c r="C1364" t="s">
        <v>656</v>
      </c>
      <c r="D1364" t="s">
        <v>657</v>
      </c>
      <c r="E1364">
        <v>10026249</v>
      </c>
      <c r="F1364" t="s">
        <v>660</v>
      </c>
      <c r="G1364">
        <v>588587</v>
      </c>
      <c r="H1364" s="184">
        <v>43787</v>
      </c>
      <c r="I1364" s="184">
        <v>43787</v>
      </c>
      <c r="J1364" t="s">
        <v>661</v>
      </c>
      <c r="K1364">
        <v>60000</v>
      </c>
      <c r="L1364" t="s">
        <v>268</v>
      </c>
    </row>
    <row r="1365" spans="1:12" x14ac:dyDescent="0.4">
      <c r="A1365" t="s">
        <v>168</v>
      </c>
      <c r="B1365" t="s">
        <v>5</v>
      </c>
      <c r="C1365" t="s">
        <v>656</v>
      </c>
      <c r="D1365" t="s">
        <v>657</v>
      </c>
      <c r="E1365">
        <v>10026249</v>
      </c>
      <c r="F1365" t="s">
        <v>660</v>
      </c>
      <c r="G1365">
        <v>588587</v>
      </c>
      <c r="H1365" s="184">
        <v>43787</v>
      </c>
      <c r="I1365" s="184">
        <v>43787</v>
      </c>
      <c r="J1365" t="s">
        <v>661</v>
      </c>
      <c r="K1365">
        <v>60000</v>
      </c>
      <c r="L1365" t="s">
        <v>250</v>
      </c>
    </row>
    <row r="1366" spans="1:12" x14ac:dyDescent="0.4">
      <c r="A1366" t="s">
        <v>168</v>
      </c>
      <c r="B1366" t="s">
        <v>5</v>
      </c>
      <c r="C1366" t="s">
        <v>656</v>
      </c>
      <c r="D1366" t="s">
        <v>657</v>
      </c>
      <c r="E1366">
        <v>10026249</v>
      </c>
      <c r="F1366" t="s">
        <v>660</v>
      </c>
      <c r="G1366">
        <v>588587</v>
      </c>
      <c r="H1366" s="184">
        <v>43787</v>
      </c>
      <c r="I1366" s="184">
        <v>43787</v>
      </c>
      <c r="J1366" t="s">
        <v>661</v>
      </c>
      <c r="K1366">
        <v>60000</v>
      </c>
      <c r="L1366" t="s">
        <v>211</v>
      </c>
    </row>
    <row r="1367" spans="1:12" x14ac:dyDescent="0.4">
      <c r="A1367" t="s">
        <v>168</v>
      </c>
      <c r="B1367" t="s">
        <v>5</v>
      </c>
      <c r="C1367" t="s">
        <v>656</v>
      </c>
      <c r="D1367" t="s">
        <v>657</v>
      </c>
      <c r="E1367">
        <v>10026249</v>
      </c>
      <c r="F1367" t="s">
        <v>660</v>
      </c>
      <c r="G1367">
        <v>588587</v>
      </c>
      <c r="H1367" s="184">
        <v>43787</v>
      </c>
      <c r="I1367" s="184">
        <v>43787</v>
      </c>
      <c r="J1367" t="s">
        <v>661</v>
      </c>
      <c r="K1367">
        <v>60000</v>
      </c>
      <c r="L1367" t="s">
        <v>212</v>
      </c>
    </row>
    <row r="1368" spans="1:12" x14ac:dyDescent="0.4">
      <c r="A1368" t="s">
        <v>168</v>
      </c>
      <c r="B1368" t="s">
        <v>5</v>
      </c>
      <c r="C1368" t="s">
        <v>656</v>
      </c>
      <c r="D1368" t="s">
        <v>657</v>
      </c>
      <c r="E1368">
        <v>10026249</v>
      </c>
      <c r="F1368" t="s">
        <v>660</v>
      </c>
      <c r="G1368">
        <v>588587</v>
      </c>
      <c r="H1368" s="184">
        <v>43787</v>
      </c>
      <c r="I1368" s="184">
        <v>43787</v>
      </c>
      <c r="J1368" t="s">
        <v>661</v>
      </c>
      <c r="K1368">
        <v>60000</v>
      </c>
      <c r="L1368" t="s">
        <v>213</v>
      </c>
    </row>
    <row r="1369" spans="1:12" x14ac:dyDescent="0.4">
      <c r="A1369" t="s">
        <v>168</v>
      </c>
      <c r="B1369" t="s">
        <v>5</v>
      </c>
      <c r="C1369" t="s">
        <v>656</v>
      </c>
      <c r="D1369" t="s">
        <v>657</v>
      </c>
      <c r="E1369">
        <v>10026249</v>
      </c>
      <c r="F1369" t="s">
        <v>660</v>
      </c>
      <c r="G1369">
        <v>588587</v>
      </c>
      <c r="H1369" s="184">
        <v>43787</v>
      </c>
      <c r="I1369" s="184">
        <v>43787</v>
      </c>
      <c r="J1369" t="s">
        <v>661</v>
      </c>
      <c r="K1369">
        <v>60000</v>
      </c>
      <c r="L1369" t="s">
        <v>214</v>
      </c>
    </row>
    <row r="1370" spans="1:12" x14ac:dyDescent="0.4">
      <c r="A1370" t="s">
        <v>168</v>
      </c>
      <c r="B1370" t="s">
        <v>5</v>
      </c>
      <c r="C1370" t="s">
        <v>656</v>
      </c>
      <c r="D1370" t="s">
        <v>657</v>
      </c>
      <c r="E1370">
        <v>10027949</v>
      </c>
      <c r="F1370" t="s">
        <v>662</v>
      </c>
      <c r="G1370">
        <v>597013</v>
      </c>
      <c r="H1370" s="184">
        <v>44204</v>
      </c>
      <c r="I1370" s="184">
        <v>44231</v>
      </c>
      <c r="J1370" t="s">
        <v>663</v>
      </c>
      <c r="K1370">
        <v>60000</v>
      </c>
      <c r="L1370" t="s">
        <v>230</v>
      </c>
    </row>
    <row r="1371" spans="1:12" x14ac:dyDescent="0.4">
      <c r="A1371" t="s">
        <v>168</v>
      </c>
      <c r="B1371" t="s">
        <v>5</v>
      </c>
      <c r="C1371" t="s">
        <v>656</v>
      </c>
      <c r="D1371" t="s">
        <v>657</v>
      </c>
      <c r="E1371">
        <v>10027949</v>
      </c>
      <c r="F1371" t="s">
        <v>662</v>
      </c>
      <c r="G1371">
        <v>597013</v>
      </c>
      <c r="H1371" s="184">
        <v>44204</v>
      </c>
      <c r="I1371" s="184">
        <v>44231</v>
      </c>
      <c r="J1371" t="s">
        <v>663</v>
      </c>
      <c r="K1371">
        <v>60000</v>
      </c>
      <c r="L1371" t="s">
        <v>231</v>
      </c>
    </row>
    <row r="1372" spans="1:12" x14ac:dyDescent="0.4">
      <c r="A1372" t="s">
        <v>168</v>
      </c>
      <c r="B1372" t="s">
        <v>5</v>
      </c>
      <c r="C1372" t="s">
        <v>656</v>
      </c>
      <c r="D1372" t="s">
        <v>657</v>
      </c>
      <c r="E1372">
        <v>10027949</v>
      </c>
      <c r="F1372" t="s">
        <v>662</v>
      </c>
      <c r="G1372">
        <v>597013</v>
      </c>
      <c r="H1372" s="184">
        <v>44204</v>
      </c>
      <c r="I1372" s="184">
        <v>44231</v>
      </c>
      <c r="J1372" t="s">
        <v>663</v>
      </c>
      <c r="K1372">
        <v>60000</v>
      </c>
      <c r="L1372" t="s">
        <v>232</v>
      </c>
    </row>
    <row r="1373" spans="1:12" x14ac:dyDescent="0.4">
      <c r="A1373" t="s">
        <v>168</v>
      </c>
      <c r="B1373" t="s">
        <v>5</v>
      </c>
      <c r="C1373" t="s">
        <v>656</v>
      </c>
      <c r="D1373" t="s">
        <v>657</v>
      </c>
      <c r="E1373">
        <v>10027949</v>
      </c>
      <c r="F1373" t="s">
        <v>662</v>
      </c>
      <c r="G1373">
        <v>597013</v>
      </c>
      <c r="H1373" s="184">
        <v>44204</v>
      </c>
      <c r="I1373" s="184">
        <v>44231</v>
      </c>
      <c r="J1373" t="s">
        <v>663</v>
      </c>
      <c r="K1373">
        <v>60000</v>
      </c>
      <c r="L1373" t="s">
        <v>233</v>
      </c>
    </row>
    <row r="1374" spans="1:12" x14ac:dyDescent="0.4">
      <c r="A1374" t="s">
        <v>168</v>
      </c>
      <c r="B1374" t="s">
        <v>5</v>
      </c>
      <c r="C1374" t="s">
        <v>656</v>
      </c>
      <c r="D1374" t="s">
        <v>657</v>
      </c>
      <c r="E1374">
        <v>10027949</v>
      </c>
      <c r="F1374" t="s">
        <v>662</v>
      </c>
      <c r="G1374">
        <v>597013</v>
      </c>
      <c r="H1374" s="184">
        <v>44204</v>
      </c>
      <c r="I1374" s="184">
        <v>44231</v>
      </c>
      <c r="J1374" t="s">
        <v>663</v>
      </c>
      <c r="K1374">
        <v>60000</v>
      </c>
      <c r="L1374" t="s">
        <v>234</v>
      </c>
    </row>
    <row r="1375" spans="1:12" x14ac:dyDescent="0.4">
      <c r="A1375" t="s">
        <v>168</v>
      </c>
      <c r="B1375" t="s">
        <v>5</v>
      </c>
      <c r="C1375" t="s">
        <v>656</v>
      </c>
      <c r="D1375" t="s">
        <v>657</v>
      </c>
      <c r="E1375">
        <v>10027949</v>
      </c>
      <c r="F1375" t="s">
        <v>662</v>
      </c>
      <c r="G1375">
        <v>597013</v>
      </c>
      <c r="H1375" s="184">
        <v>44204</v>
      </c>
      <c r="I1375" s="184">
        <v>44231</v>
      </c>
      <c r="J1375" t="s">
        <v>663</v>
      </c>
      <c r="K1375">
        <v>60000</v>
      </c>
      <c r="L1375" t="s">
        <v>235</v>
      </c>
    </row>
    <row r="1376" spans="1:12" x14ac:dyDescent="0.4">
      <c r="A1376" t="s">
        <v>168</v>
      </c>
      <c r="B1376" t="s">
        <v>5</v>
      </c>
      <c r="C1376" t="s">
        <v>664</v>
      </c>
      <c r="D1376" t="s">
        <v>665</v>
      </c>
      <c r="E1376">
        <v>10030445</v>
      </c>
      <c r="F1376" t="s">
        <v>666</v>
      </c>
      <c r="G1376">
        <v>589800</v>
      </c>
      <c r="H1376" s="184">
        <v>43826</v>
      </c>
      <c r="I1376" s="184">
        <v>43826</v>
      </c>
      <c r="J1376" t="s">
        <v>667</v>
      </c>
      <c r="K1376">
        <v>60000</v>
      </c>
      <c r="L1376" t="s">
        <v>195</v>
      </c>
    </row>
    <row r="1377" spans="1:12" x14ac:dyDescent="0.4">
      <c r="A1377" t="s">
        <v>168</v>
      </c>
      <c r="B1377" t="s">
        <v>5</v>
      </c>
      <c r="C1377" t="s">
        <v>664</v>
      </c>
      <c r="D1377" t="s">
        <v>665</v>
      </c>
      <c r="E1377">
        <v>10030445</v>
      </c>
      <c r="F1377" t="s">
        <v>666</v>
      </c>
      <c r="G1377">
        <v>589800</v>
      </c>
      <c r="H1377" s="184">
        <v>43826</v>
      </c>
      <c r="I1377" s="184">
        <v>43826</v>
      </c>
      <c r="J1377" t="s">
        <v>667</v>
      </c>
      <c r="K1377">
        <v>60000</v>
      </c>
      <c r="L1377" t="s">
        <v>196</v>
      </c>
    </row>
    <row r="1378" spans="1:12" x14ac:dyDescent="0.4">
      <c r="A1378" t="s">
        <v>168</v>
      </c>
      <c r="B1378" t="s">
        <v>5</v>
      </c>
      <c r="C1378" t="s">
        <v>664</v>
      </c>
      <c r="D1378" t="s">
        <v>665</v>
      </c>
      <c r="E1378">
        <v>10030445</v>
      </c>
      <c r="F1378" t="s">
        <v>666</v>
      </c>
      <c r="G1378">
        <v>589800</v>
      </c>
      <c r="H1378" s="184">
        <v>43826</v>
      </c>
      <c r="I1378" s="184">
        <v>43826</v>
      </c>
      <c r="J1378" t="s">
        <v>667</v>
      </c>
      <c r="K1378">
        <v>60000</v>
      </c>
      <c r="L1378" t="s">
        <v>197</v>
      </c>
    </row>
    <row r="1379" spans="1:12" x14ac:dyDescent="0.4">
      <c r="A1379" t="s">
        <v>168</v>
      </c>
      <c r="B1379" t="s">
        <v>5</v>
      </c>
      <c r="C1379" t="s">
        <v>664</v>
      </c>
      <c r="D1379" t="s">
        <v>665</v>
      </c>
      <c r="E1379">
        <v>10030445</v>
      </c>
      <c r="F1379" t="s">
        <v>666</v>
      </c>
      <c r="G1379">
        <v>589800</v>
      </c>
      <c r="H1379" s="184">
        <v>43826</v>
      </c>
      <c r="I1379" s="184">
        <v>43826</v>
      </c>
      <c r="J1379" t="s">
        <v>667</v>
      </c>
      <c r="K1379">
        <v>60000</v>
      </c>
      <c r="L1379" t="s">
        <v>198</v>
      </c>
    </row>
    <row r="1380" spans="1:12" x14ac:dyDescent="0.4">
      <c r="A1380" t="s">
        <v>168</v>
      </c>
      <c r="B1380" t="s">
        <v>5</v>
      </c>
      <c r="C1380" t="s">
        <v>664</v>
      </c>
      <c r="D1380" t="s">
        <v>665</v>
      </c>
      <c r="E1380">
        <v>10030445</v>
      </c>
      <c r="F1380" t="s">
        <v>666</v>
      </c>
      <c r="G1380">
        <v>589800</v>
      </c>
      <c r="H1380" s="184">
        <v>43826</v>
      </c>
      <c r="I1380" s="184">
        <v>43826</v>
      </c>
      <c r="J1380" t="s">
        <v>667</v>
      </c>
      <c r="K1380">
        <v>60000</v>
      </c>
      <c r="L1380" t="s">
        <v>199</v>
      </c>
    </row>
    <row r="1381" spans="1:12" x14ac:dyDescent="0.4">
      <c r="A1381" t="s">
        <v>168</v>
      </c>
      <c r="B1381" t="s">
        <v>5</v>
      </c>
      <c r="C1381" t="s">
        <v>664</v>
      </c>
      <c r="D1381" t="s">
        <v>665</v>
      </c>
      <c r="E1381">
        <v>10030445</v>
      </c>
      <c r="F1381" t="s">
        <v>666</v>
      </c>
      <c r="G1381">
        <v>589800</v>
      </c>
      <c r="H1381" s="184">
        <v>43826</v>
      </c>
      <c r="I1381" s="184">
        <v>43826</v>
      </c>
      <c r="J1381" t="s">
        <v>667</v>
      </c>
      <c r="K1381">
        <v>60000</v>
      </c>
      <c r="L1381" t="s">
        <v>200</v>
      </c>
    </row>
    <row r="1382" spans="1:12" x14ac:dyDescent="0.4">
      <c r="A1382" t="s">
        <v>168</v>
      </c>
      <c r="B1382" t="s">
        <v>5</v>
      </c>
      <c r="C1382" t="s">
        <v>656</v>
      </c>
      <c r="D1382" t="s">
        <v>657</v>
      </c>
      <c r="E1382">
        <v>10045281</v>
      </c>
      <c r="F1382" t="s">
        <v>668</v>
      </c>
      <c r="G1382">
        <v>598097</v>
      </c>
      <c r="H1382" s="184">
        <v>44260</v>
      </c>
      <c r="I1382" s="184">
        <v>44285</v>
      </c>
      <c r="J1382" t="s">
        <v>669</v>
      </c>
      <c r="K1382">
        <v>60000</v>
      </c>
      <c r="L1382" t="s">
        <v>242</v>
      </c>
    </row>
    <row r="1383" spans="1:12" x14ac:dyDescent="0.4">
      <c r="A1383" t="s">
        <v>168</v>
      </c>
      <c r="B1383" t="s">
        <v>5</v>
      </c>
      <c r="C1383" t="s">
        <v>656</v>
      </c>
      <c r="D1383" t="s">
        <v>657</v>
      </c>
      <c r="E1383">
        <v>10045281</v>
      </c>
      <c r="F1383" t="s">
        <v>668</v>
      </c>
      <c r="G1383">
        <v>598097</v>
      </c>
      <c r="H1383" s="184">
        <v>44260</v>
      </c>
      <c r="I1383" s="184">
        <v>44285</v>
      </c>
      <c r="J1383" t="s">
        <v>669</v>
      </c>
      <c r="K1383">
        <v>60000</v>
      </c>
      <c r="L1383" t="s">
        <v>243</v>
      </c>
    </row>
    <row r="1384" spans="1:12" x14ac:dyDescent="0.4">
      <c r="A1384" t="s">
        <v>168</v>
      </c>
      <c r="B1384" t="s">
        <v>5</v>
      </c>
      <c r="C1384" t="s">
        <v>656</v>
      </c>
      <c r="D1384" t="s">
        <v>657</v>
      </c>
      <c r="E1384">
        <v>10045281</v>
      </c>
      <c r="F1384" t="s">
        <v>668</v>
      </c>
      <c r="G1384">
        <v>598097</v>
      </c>
      <c r="H1384" s="184">
        <v>44260</v>
      </c>
      <c r="I1384" s="184">
        <v>44285</v>
      </c>
      <c r="J1384" t="s">
        <v>669</v>
      </c>
      <c r="K1384">
        <v>60000</v>
      </c>
      <c r="L1384" t="s">
        <v>244</v>
      </c>
    </row>
    <row r="1385" spans="1:12" x14ac:dyDescent="0.4">
      <c r="A1385" t="s">
        <v>168</v>
      </c>
      <c r="B1385" t="s">
        <v>5</v>
      </c>
      <c r="C1385" t="s">
        <v>656</v>
      </c>
      <c r="D1385" t="s">
        <v>657</v>
      </c>
      <c r="E1385">
        <v>10045281</v>
      </c>
      <c r="F1385" t="s">
        <v>668</v>
      </c>
      <c r="G1385">
        <v>598097</v>
      </c>
      <c r="H1385" s="184">
        <v>44260</v>
      </c>
      <c r="I1385" s="184">
        <v>44285</v>
      </c>
      <c r="J1385" t="s">
        <v>669</v>
      </c>
      <c r="K1385">
        <v>60000</v>
      </c>
      <c r="L1385" t="s">
        <v>245</v>
      </c>
    </row>
    <row r="1386" spans="1:12" x14ac:dyDescent="0.4">
      <c r="A1386" t="s">
        <v>168</v>
      </c>
      <c r="B1386" t="s">
        <v>5</v>
      </c>
      <c r="C1386" t="s">
        <v>656</v>
      </c>
      <c r="D1386" t="s">
        <v>657</v>
      </c>
      <c r="E1386">
        <v>10045281</v>
      </c>
      <c r="F1386" t="s">
        <v>668</v>
      </c>
      <c r="G1386">
        <v>598097</v>
      </c>
      <c r="H1386" s="184">
        <v>44260</v>
      </c>
      <c r="I1386" s="184">
        <v>44285</v>
      </c>
      <c r="J1386" t="s">
        <v>669</v>
      </c>
      <c r="K1386">
        <v>60000</v>
      </c>
      <c r="L1386" t="s">
        <v>246</v>
      </c>
    </row>
    <row r="1387" spans="1:12" x14ac:dyDescent="0.4">
      <c r="A1387" t="s">
        <v>168</v>
      </c>
      <c r="B1387" t="s">
        <v>5</v>
      </c>
      <c r="C1387" t="s">
        <v>656</v>
      </c>
      <c r="D1387" t="s">
        <v>657</v>
      </c>
      <c r="E1387">
        <v>10045281</v>
      </c>
      <c r="F1387" t="s">
        <v>668</v>
      </c>
      <c r="G1387">
        <v>598097</v>
      </c>
      <c r="H1387" s="184">
        <v>44260</v>
      </c>
      <c r="I1387" s="184">
        <v>44285</v>
      </c>
      <c r="J1387" t="s">
        <v>669</v>
      </c>
      <c r="K1387">
        <v>60000</v>
      </c>
      <c r="L1387" t="s">
        <v>247</v>
      </c>
    </row>
    <row r="1388" spans="1:12" x14ac:dyDescent="0.4">
      <c r="A1388" t="s">
        <v>168</v>
      </c>
      <c r="B1388" t="s">
        <v>5</v>
      </c>
      <c r="C1388" t="s">
        <v>656</v>
      </c>
      <c r="D1388" t="s">
        <v>657</v>
      </c>
      <c r="E1388">
        <v>10050986</v>
      </c>
      <c r="F1388" t="s">
        <v>670</v>
      </c>
      <c r="G1388">
        <v>593349</v>
      </c>
      <c r="H1388" s="184">
        <v>43998</v>
      </c>
      <c r="I1388" s="184">
        <v>43999</v>
      </c>
      <c r="J1388" t="s">
        <v>671</v>
      </c>
      <c r="K1388">
        <v>60000</v>
      </c>
      <c r="L1388" t="s">
        <v>353</v>
      </c>
    </row>
    <row r="1389" spans="1:12" x14ac:dyDescent="0.4">
      <c r="A1389" t="s">
        <v>168</v>
      </c>
      <c r="B1389" t="s">
        <v>5</v>
      </c>
      <c r="C1389" t="s">
        <v>656</v>
      </c>
      <c r="D1389" t="s">
        <v>657</v>
      </c>
      <c r="E1389">
        <v>10050986</v>
      </c>
      <c r="F1389" t="s">
        <v>670</v>
      </c>
      <c r="G1389">
        <v>593349</v>
      </c>
      <c r="H1389" s="184">
        <v>43998</v>
      </c>
      <c r="I1389" s="184">
        <v>43999</v>
      </c>
      <c r="J1389" t="s">
        <v>671</v>
      </c>
      <c r="K1389">
        <v>60000</v>
      </c>
      <c r="L1389" t="s">
        <v>258</v>
      </c>
    </row>
    <row r="1390" spans="1:12" x14ac:dyDescent="0.4">
      <c r="A1390" t="s">
        <v>168</v>
      </c>
      <c r="B1390" t="s">
        <v>5</v>
      </c>
      <c r="C1390" t="s">
        <v>656</v>
      </c>
      <c r="D1390" t="s">
        <v>657</v>
      </c>
      <c r="E1390">
        <v>10050986</v>
      </c>
      <c r="F1390" t="s">
        <v>670</v>
      </c>
      <c r="G1390">
        <v>593349</v>
      </c>
      <c r="H1390" s="184">
        <v>43998</v>
      </c>
      <c r="I1390" s="184">
        <v>43999</v>
      </c>
      <c r="J1390" t="s">
        <v>671</v>
      </c>
      <c r="K1390">
        <v>60000</v>
      </c>
      <c r="L1390" t="s">
        <v>327</v>
      </c>
    </row>
    <row r="1391" spans="1:12" x14ac:dyDescent="0.4">
      <c r="A1391" t="s">
        <v>168</v>
      </c>
      <c r="B1391" t="s">
        <v>5</v>
      </c>
      <c r="C1391" t="s">
        <v>656</v>
      </c>
      <c r="D1391" t="s">
        <v>657</v>
      </c>
      <c r="E1391">
        <v>10050986</v>
      </c>
      <c r="F1391" t="s">
        <v>670</v>
      </c>
      <c r="G1391">
        <v>593349</v>
      </c>
      <c r="H1391" s="184">
        <v>43998</v>
      </c>
      <c r="I1391" s="184">
        <v>43999</v>
      </c>
      <c r="J1391" t="s">
        <v>671</v>
      </c>
      <c r="K1391">
        <v>60000</v>
      </c>
      <c r="L1391" t="s">
        <v>328</v>
      </c>
    </row>
    <row r="1392" spans="1:12" x14ac:dyDescent="0.4">
      <c r="A1392" t="s">
        <v>168</v>
      </c>
      <c r="B1392" t="s">
        <v>5</v>
      </c>
      <c r="C1392" t="s">
        <v>656</v>
      </c>
      <c r="D1392" t="s">
        <v>657</v>
      </c>
      <c r="E1392">
        <v>10050986</v>
      </c>
      <c r="F1392" t="s">
        <v>670</v>
      </c>
      <c r="G1392">
        <v>593349</v>
      </c>
      <c r="H1392" s="184">
        <v>43998</v>
      </c>
      <c r="I1392" s="184">
        <v>43999</v>
      </c>
      <c r="J1392" t="s">
        <v>671</v>
      </c>
      <c r="K1392">
        <v>60000</v>
      </c>
      <c r="L1392" t="s">
        <v>329</v>
      </c>
    </row>
    <row r="1393" spans="1:12" x14ac:dyDescent="0.4">
      <c r="A1393" t="s">
        <v>168</v>
      </c>
      <c r="B1393" t="s">
        <v>5</v>
      </c>
      <c r="C1393" t="s">
        <v>656</v>
      </c>
      <c r="D1393" t="s">
        <v>657</v>
      </c>
      <c r="E1393">
        <v>10050986</v>
      </c>
      <c r="F1393" t="s">
        <v>670</v>
      </c>
      <c r="G1393">
        <v>593349</v>
      </c>
      <c r="H1393" s="184">
        <v>43998</v>
      </c>
      <c r="I1393" s="184">
        <v>43999</v>
      </c>
      <c r="J1393" t="s">
        <v>671</v>
      </c>
      <c r="K1393">
        <v>60000</v>
      </c>
      <c r="L1393" t="s">
        <v>330</v>
      </c>
    </row>
    <row r="1394" spans="1:12" x14ac:dyDescent="0.4">
      <c r="A1394" t="s">
        <v>168</v>
      </c>
      <c r="B1394" t="s">
        <v>5</v>
      </c>
      <c r="C1394" t="s">
        <v>656</v>
      </c>
      <c r="D1394" t="s">
        <v>657</v>
      </c>
      <c r="E1394">
        <v>10055953</v>
      </c>
      <c r="F1394" t="s">
        <v>672</v>
      </c>
      <c r="G1394">
        <v>588588</v>
      </c>
      <c r="H1394" s="184">
        <v>43789</v>
      </c>
      <c r="I1394" s="184">
        <v>43797</v>
      </c>
      <c r="J1394" t="s">
        <v>673</v>
      </c>
      <c r="K1394">
        <v>60000</v>
      </c>
      <c r="L1394" t="s">
        <v>268</v>
      </c>
    </row>
    <row r="1395" spans="1:12" x14ac:dyDescent="0.4">
      <c r="A1395" t="s">
        <v>168</v>
      </c>
      <c r="B1395" t="s">
        <v>5</v>
      </c>
      <c r="C1395" t="s">
        <v>656</v>
      </c>
      <c r="D1395" t="s">
        <v>657</v>
      </c>
      <c r="E1395">
        <v>10055953</v>
      </c>
      <c r="F1395" t="s">
        <v>672</v>
      </c>
      <c r="G1395">
        <v>588588</v>
      </c>
      <c r="H1395" s="184">
        <v>43789</v>
      </c>
      <c r="I1395" s="184">
        <v>43797</v>
      </c>
      <c r="J1395" t="s">
        <v>673</v>
      </c>
      <c r="K1395">
        <v>60000</v>
      </c>
      <c r="L1395" t="s">
        <v>250</v>
      </c>
    </row>
    <row r="1396" spans="1:12" x14ac:dyDescent="0.4">
      <c r="A1396" t="s">
        <v>168</v>
      </c>
      <c r="B1396" t="s">
        <v>5</v>
      </c>
      <c r="C1396" t="s">
        <v>656</v>
      </c>
      <c r="D1396" t="s">
        <v>657</v>
      </c>
      <c r="E1396">
        <v>10055953</v>
      </c>
      <c r="F1396" t="s">
        <v>672</v>
      </c>
      <c r="G1396">
        <v>588588</v>
      </c>
      <c r="H1396" s="184">
        <v>43789</v>
      </c>
      <c r="I1396" s="184">
        <v>43797</v>
      </c>
      <c r="J1396" t="s">
        <v>673</v>
      </c>
      <c r="K1396">
        <v>60000</v>
      </c>
      <c r="L1396" t="s">
        <v>211</v>
      </c>
    </row>
    <row r="1397" spans="1:12" x14ac:dyDescent="0.4">
      <c r="A1397" t="s">
        <v>168</v>
      </c>
      <c r="B1397" t="s">
        <v>5</v>
      </c>
      <c r="C1397" t="s">
        <v>656</v>
      </c>
      <c r="D1397" t="s">
        <v>657</v>
      </c>
      <c r="E1397">
        <v>10055953</v>
      </c>
      <c r="F1397" t="s">
        <v>672</v>
      </c>
      <c r="G1397">
        <v>588588</v>
      </c>
      <c r="H1397" s="184">
        <v>43789</v>
      </c>
      <c r="I1397" s="184">
        <v>43797</v>
      </c>
      <c r="J1397" t="s">
        <v>673</v>
      </c>
      <c r="K1397">
        <v>60000</v>
      </c>
      <c r="L1397" t="s">
        <v>212</v>
      </c>
    </row>
    <row r="1398" spans="1:12" x14ac:dyDescent="0.4">
      <c r="A1398" t="s">
        <v>168</v>
      </c>
      <c r="B1398" t="s">
        <v>5</v>
      </c>
      <c r="C1398" t="s">
        <v>656</v>
      </c>
      <c r="D1398" t="s">
        <v>657</v>
      </c>
      <c r="E1398">
        <v>10055953</v>
      </c>
      <c r="F1398" t="s">
        <v>672</v>
      </c>
      <c r="G1398">
        <v>588588</v>
      </c>
      <c r="H1398" s="184">
        <v>43789</v>
      </c>
      <c r="I1398" s="184">
        <v>43797</v>
      </c>
      <c r="J1398" t="s">
        <v>673</v>
      </c>
      <c r="K1398">
        <v>60000</v>
      </c>
      <c r="L1398" t="s">
        <v>213</v>
      </c>
    </row>
    <row r="1399" spans="1:12" x14ac:dyDescent="0.4">
      <c r="A1399" t="s">
        <v>168</v>
      </c>
      <c r="B1399" t="s">
        <v>5</v>
      </c>
      <c r="C1399" t="s">
        <v>656</v>
      </c>
      <c r="D1399" t="s">
        <v>657</v>
      </c>
      <c r="E1399">
        <v>10055953</v>
      </c>
      <c r="F1399" t="s">
        <v>672</v>
      </c>
      <c r="G1399">
        <v>588588</v>
      </c>
      <c r="H1399" s="184">
        <v>43789</v>
      </c>
      <c r="I1399" s="184">
        <v>43797</v>
      </c>
      <c r="J1399" t="s">
        <v>673</v>
      </c>
      <c r="K1399">
        <v>60000</v>
      </c>
      <c r="L1399" t="s">
        <v>214</v>
      </c>
    </row>
    <row r="1400" spans="1:12" x14ac:dyDescent="0.4">
      <c r="A1400" t="s">
        <v>168</v>
      </c>
      <c r="B1400" t="s">
        <v>5</v>
      </c>
      <c r="C1400" t="s">
        <v>656</v>
      </c>
      <c r="D1400" t="s">
        <v>657</v>
      </c>
      <c r="E1400">
        <v>10067085</v>
      </c>
      <c r="F1400" t="s">
        <v>674</v>
      </c>
      <c r="G1400">
        <v>595217</v>
      </c>
      <c r="H1400" s="184">
        <v>44146</v>
      </c>
      <c r="I1400" s="184">
        <v>44165</v>
      </c>
      <c r="J1400" t="s">
        <v>675</v>
      </c>
      <c r="K1400">
        <v>60000</v>
      </c>
      <c r="L1400" t="s">
        <v>196</v>
      </c>
    </row>
    <row r="1401" spans="1:12" x14ac:dyDescent="0.4">
      <c r="A1401" t="s">
        <v>168</v>
      </c>
      <c r="B1401" t="s">
        <v>5</v>
      </c>
      <c r="C1401" t="s">
        <v>656</v>
      </c>
      <c r="D1401" t="s">
        <v>657</v>
      </c>
      <c r="E1401">
        <v>10067085</v>
      </c>
      <c r="F1401" t="s">
        <v>674</v>
      </c>
      <c r="G1401">
        <v>595217</v>
      </c>
      <c r="H1401" s="184">
        <v>44146</v>
      </c>
      <c r="I1401" s="184">
        <v>44165</v>
      </c>
      <c r="J1401" t="s">
        <v>675</v>
      </c>
      <c r="K1401">
        <v>60000</v>
      </c>
      <c r="L1401" t="s">
        <v>211</v>
      </c>
    </row>
    <row r="1402" spans="1:12" x14ac:dyDescent="0.4">
      <c r="A1402" t="s">
        <v>168</v>
      </c>
      <c r="B1402" t="s">
        <v>5</v>
      </c>
      <c r="C1402" t="s">
        <v>656</v>
      </c>
      <c r="D1402" t="s">
        <v>657</v>
      </c>
      <c r="E1402">
        <v>10067085</v>
      </c>
      <c r="F1402" t="s">
        <v>674</v>
      </c>
      <c r="G1402">
        <v>595217</v>
      </c>
      <c r="H1402" s="184">
        <v>44146</v>
      </c>
      <c r="I1402" s="184">
        <v>44165</v>
      </c>
      <c r="J1402" t="s">
        <v>675</v>
      </c>
      <c r="K1402">
        <v>60000</v>
      </c>
      <c r="L1402" t="s">
        <v>212</v>
      </c>
    </row>
    <row r="1403" spans="1:12" x14ac:dyDescent="0.4">
      <c r="A1403" t="s">
        <v>168</v>
      </c>
      <c r="B1403" t="s">
        <v>5</v>
      </c>
      <c r="C1403" t="s">
        <v>656</v>
      </c>
      <c r="D1403" t="s">
        <v>657</v>
      </c>
      <c r="E1403">
        <v>10067085</v>
      </c>
      <c r="F1403" t="s">
        <v>674</v>
      </c>
      <c r="G1403">
        <v>595217</v>
      </c>
      <c r="H1403" s="184">
        <v>44146</v>
      </c>
      <c r="I1403" s="184">
        <v>44165</v>
      </c>
      <c r="J1403" t="s">
        <v>675</v>
      </c>
      <c r="K1403">
        <v>60000</v>
      </c>
      <c r="L1403" t="s">
        <v>213</v>
      </c>
    </row>
    <row r="1404" spans="1:12" x14ac:dyDescent="0.4">
      <c r="A1404" t="s">
        <v>168</v>
      </c>
      <c r="B1404" t="s">
        <v>5</v>
      </c>
      <c r="C1404" t="s">
        <v>656</v>
      </c>
      <c r="D1404" t="s">
        <v>657</v>
      </c>
      <c r="E1404">
        <v>10067085</v>
      </c>
      <c r="F1404" t="s">
        <v>674</v>
      </c>
      <c r="G1404">
        <v>595217</v>
      </c>
      <c r="H1404" s="184">
        <v>44146</v>
      </c>
      <c r="I1404" s="184">
        <v>44165</v>
      </c>
      <c r="J1404" t="s">
        <v>675</v>
      </c>
      <c r="K1404">
        <v>60000</v>
      </c>
      <c r="L1404" t="s">
        <v>214</v>
      </c>
    </row>
    <row r="1405" spans="1:12" x14ac:dyDescent="0.4">
      <c r="A1405" t="s">
        <v>168</v>
      </c>
      <c r="B1405" t="s">
        <v>5</v>
      </c>
      <c r="C1405" t="s">
        <v>656</v>
      </c>
      <c r="D1405" t="s">
        <v>657</v>
      </c>
      <c r="E1405">
        <v>10067085</v>
      </c>
      <c r="F1405" t="s">
        <v>674</v>
      </c>
      <c r="G1405">
        <v>595217</v>
      </c>
      <c r="H1405" s="184">
        <v>44146</v>
      </c>
      <c r="I1405" s="184">
        <v>44165</v>
      </c>
      <c r="J1405" t="s">
        <v>675</v>
      </c>
      <c r="K1405">
        <v>60000</v>
      </c>
      <c r="L1405" t="s">
        <v>215</v>
      </c>
    </row>
    <row r="1406" spans="1:12" x14ac:dyDescent="0.4">
      <c r="A1406" t="s">
        <v>168</v>
      </c>
      <c r="B1406" t="s">
        <v>5</v>
      </c>
      <c r="C1406" t="s">
        <v>664</v>
      </c>
      <c r="D1406" t="s">
        <v>665</v>
      </c>
      <c r="E1406">
        <v>10075037</v>
      </c>
      <c r="F1406" t="s">
        <v>676</v>
      </c>
      <c r="G1406">
        <v>591351</v>
      </c>
      <c r="H1406" s="184">
        <v>43875</v>
      </c>
      <c r="I1406" s="184">
        <v>43889</v>
      </c>
      <c r="J1406" t="s">
        <v>677</v>
      </c>
      <c r="K1406">
        <v>60000</v>
      </c>
      <c r="L1406" t="s">
        <v>275</v>
      </c>
    </row>
    <row r="1407" spans="1:12" x14ac:dyDescent="0.4">
      <c r="A1407" t="s">
        <v>168</v>
      </c>
      <c r="B1407" t="s">
        <v>5</v>
      </c>
      <c r="C1407" t="s">
        <v>664</v>
      </c>
      <c r="D1407" t="s">
        <v>665</v>
      </c>
      <c r="E1407">
        <v>10075037</v>
      </c>
      <c r="F1407" t="s">
        <v>676</v>
      </c>
      <c r="G1407">
        <v>591351</v>
      </c>
      <c r="H1407" s="184">
        <v>43875</v>
      </c>
      <c r="I1407" s="184">
        <v>43889</v>
      </c>
      <c r="J1407" t="s">
        <v>677</v>
      </c>
      <c r="K1407">
        <v>60000</v>
      </c>
      <c r="L1407" t="s">
        <v>238</v>
      </c>
    </row>
    <row r="1408" spans="1:12" x14ac:dyDescent="0.4">
      <c r="A1408" t="s">
        <v>168</v>
      </c>
      <c r="B1408" t="s">
        <v>5</v>
      </c>
      <c r="C1408" t="s">
        <v>664</v>
      </c>
      <c r="D1408" t="s">
        <v>665</v>
      </c>
      <c r="E1408">
        <v>10075037</v>
      </c>
      <c r="F1408" t="s">
        <v>676</v>
      </c>
      <c r="G1408">
        <v>591351</v>
      </c>
      <c r="H1408" s="184">
        <v>43875</v>
      </c>
      <c r="I1408" s="184">
        <v>43889</v>
      </c>
      <c r="J1408" t="s">
        <v>677</v>
      </c>
      <c r="K1408">
        <v>60000</v>
      </c>
      <c r="L1408" t="s">
        <v>231</v>
      </c>
    </row>
    <row r="1409" spans="1:12" x14ac:dyDescent="0.4">
      <c r="A1409" t="s">
        <v>168</v>
      </c>
      <c r="B1409" t="s">
        <v>5</v>
      </c>
      <c r="C1409" t="s">
        <v>664</v>
      </c>
      <c r="D1409" t="s">
        <v>665</v>
      </c>
      <c r="E1409">
        <v>10075037</v>
      </c>
      <c r="F1409" t="s">
        <v>676</v>
      </c>
      <c r="G1409">
        <v>591351</v>
      </c>
      <c r="H1409" s="184">
        <v>43875</v>
      </c>
      <c r="I1409" s="184">
        <v>43889</v>
      </c>
      <c r="J1409" t="s">
        <v>677</v>
      </c>
      <c r="K1409">
        <v>60000</v>
      </c>
      <c r="L1409" t="s">
        <v>232</v>
      </c>
    </row>
    <row r="1410" spans="1:12" x14ac:dyDescent="0.4">
      <c r="A1410" t="s">
        <v>168</v>
      </c>
      <c r="B1410" t="s">
        <v>5</v>
      </c>
      <c r="C1410" t="s">
        <v>664</v>
      </c>
      <c r="D1410" t="s">
        <v>665</v>
      </c>
      <c r="E1410">
        <v>10075037</v>
      </c>
      <c r="F1410" t="s">
        <v>676</v>
      </c>
      <c r="G1410">
        <v>591351</v>
      </c>
      <c r="H1410" s="184">
        <v>43875</v>
      </c>
      <c r="I1410" s="184">
        <v>43889</v>
      </c>
      <c r="J1410" t="s">
        <v>677</v>
      </c>
      <c r="K1410">
        <v>60000</v>
      </c>
      <c r="L1410" t="s">
        <v>233</v>
      </c>
    </row>
    <row r="1411" spans="1:12" x14ac:dyDescent="0.4">
      <c r="A1411" t="s">
        <v>168</v>
      </c>
      <c r="B1411" t="s">
        <v>5</v>
      </c>
      <c r="C1411" t="s">
        <v>664</v>
      </c>
      <c r="D1411" t="s">
        <v>665</v>
      </c>
      <c r="E1411">
        <v>10075037</v>
      </c>
      <c r="F1411" t="s">
        <v>676</v>
      </c>
      <c r="G1411">
        <v>591351</v>
      </c>
      <c r="H1411" s="184">
        <v>43875</v>
      </c>
      <c r="I1411" s="184">
        <v>43889</v>
      </c>
      <c r="J1411" t="s">
        <v>677</v>
      </c>
      <c r="K1411">
        <v>60000</v>
      </c>
      <c r="L1411" t="s">
        <v>234</v>
      </c>
    </row>
    <row r="1412" spans="1:12" x14ac:dyDescent="0.4">
      <c r="A1412" t="s">
        <v>168</v>
      </c>
      <c r="B1412" t="s">
        <v>5</v>
      </c>
      <c r="C1412" t="s">
        <v>656</v>
      </c>
      <c r="D1412" t="s">
        <v>657</v>
      </c>
      <c r="E1412">
        <v>10084874</v>
      </c>
      <c r="F1412" t="s">
        <v>678</v>
      </c>
      <c r="G1412">
        <v>599350</v>
      </c>
      <c r="H1412" s="184"/>
      <c r="I1412" s="184"/>
      <c r="J1412" t="s">
        <v>679</v>
      </c>
      <c r="K1412">
        <v>60000</v>
      </c>
      <c r="L1412" t="s">
        <v>258</v>
      </c>
    </row>
    <row r="1413" spans="1:12" x14ac:dyDescent="0.4">
      <c r="A1413" t="s">
        <v>168</v>
      </c>
      <c r="B1413" t="s">
        <v>5</v>
      </c>
      <c r="C1413" t="s">
        <v>656</v>
      </c>
      <c r="D1413" t="s">
        <v>657</v>
      </c>
      <c r="E1413">
        <v>10084874</v>
      </c>
      <c r="F1413" t="s">
        <v>678</v>
      </c>
      <c r="G1413">
        <v>599350</v>
      </c>
      <c r="H1413" s="184"/>
      <c r="I1413" s="184"/>
      <c r="J1413" t="s">
        <v>679</v>
      </c>
      <c r="K1413">
        <v>60000</v>
      </c>
      <c r="L1413" t="s">
        <v>259</v>
      </c>
    </row>
    <row r="1414" spans="1:12" x14ac:dyDescent="0.4">
      <c r="A1414" t="s">
        <v>168</v>
      </c>
      <c r="B1414" t="s">
        <v>5</v>
      </c>
      <c r="C1414" t="s">
        <v>656</v>
      </c>
      <c r="D1414" t="s">
        <v>657</v>
      </c>
      <c r="E1414">
        <v>10084874</v>
      </c>
      <c r="F1414" t="s">
        <v>678</v>
      </c>
      <c r="G1414">
        <v>599350</v>
      </c>
      <c r="H1414" s="184"/>
      <c r="I1414" s="184"/>
      <c r="J1414" t="s">
        <v>679</v>
      </c>
      <c r="K1414">
        <v>60000</v>
      </c>
      <c r="L1414" t="s">
        <v>260</v>
      </c>
    </row>
    <row r="1415" spans="1:12" x14ac:dyDescent="0.4">
      <c r="A1415" t="s">
        <v>168</v>
      </c>
      <c r="B1415" t="s">
        <v>5</v>
      </c>
      <c r="C1415" t="s">
        <v>656</v>
      </c>
      <c r="D1415" t="s">
        <v>657</v>
      </c>
      <c r="E1415">
        <v>10084874</v>
      </c>
      <c r="F1415" t="s">
        <v>678</v>
      </c>
      <c r="G1415">
        <v>599350</v>
      </c>
      <c r="H1415" s="184"/>
      <c r="I1415" s="184"/>
      <c r="J1415" t="s">
        <v>679</v>
      </c>
      <c r="K1415">
        <v>60000</v>
      </c>
      <c r="L1415" t="s">
        <v>261</v>
      </c>
    </row>
    <row r="1416" spans="1:12" x14ac:dyDescent="0.4">
      <c r="A1416" t="s">
        <v>168</v>
      </c>
      <c r="B1416" t="s">
        <v>5</v>
      </c>
      <c r="C1416" t="s">
        <v>656</v>
      </c>
      <c r="D1416" t="s">
        <v>657</v>
      </c>
      <c r="E1416">
        <v>10084874</v>
      </c>
      <c r="F1416" t="s">
        <v>678</v>
      </c>
      <c r="G1416">
        <v>599350</v>
      </c>
      <c r="H1416" s="184"/>
      <c r="I1416" s="184"/>
      <c r="J1416" t="s">
        <v>679</v>
      </c>
      <c r="K1416">
        <v>60000</v>
      </c>
      <c r="L1416" t="s">
        <v>262</v>
      </c>
    </row>
    <row r="1417" spans="1:12" x14ac:dyDescent="0.4">
      <c r="A1417" t="s">
        <v>168</v>
      </c>
      <c r="B1417" t="s">
        <v>5</v>
      </c>
      <c r="C1417" t="s">
        <v>656</v>
      </c>
      <c r="D1417" t="s">
        <v>657</v>
      </c>
      <c r="E1417">
        <v>10084874</v>
      </c>
      <c r="F1417" t="s">
        <v>678</v>
      </c>
      <c r="G1417">
        <v>599350</v>
      </c>
      <c r="H1417" s="184"/>
      <c r="I1417" s="184"/>
      <c r="J1417" t="s">
        <v>679</v>
      </c>
      <c r="K1417">
        <v>60000</v>
      </c>
      <c r="L1417" t="s">
        <v>263</v>
      </c>
    </row>
    <row r="1418" spans="1:12" x14ac:dyDescent="0.4">
      <c r="A1418" t="s">
        <v>168</v>
      </c>
      <c r="B1418" t="s">
        <v>5</v>
      </c>
      <c r="C1418" t="s">
        <v>656</v>
      </c>
      <c r="D1418" t="s">
        <v>657</v>
      </c>
      <c r="E1418">
        <v>10090490</v>
      </c>
      <c r="F1418" t="s">
        <v>680</v>
      </c>
      <c r="G1418">
        <v>594887</v>
      </c>
      <c r="H1418" s="184">
        <v>44214</v>
      </c>
      <c r="I1418" s="184">
        <v>44215</v>
      </c>
      <c r="J1418" t="s">
        <v>681</v>
      </c>
      <c r="K1418">
        <v>60000</v>
      </c>
      <c r="L1418" t="s">
        <v>238</v>
      </c>
    </row>
    <row r="1419" spans="1:12" x14ac:dyDescent="0.4">
      <c r="A1419" t="s">
        <v>168</v>
      </c>
      <c r="B1419" t="s">
        <v>5</v>
      </c>
      <c r="C1419" t="s">
        <v>656</v>
      </c>
      <c r="D1419" t="s">
        <v>657</v>
      </c>
      <c r="E1419">
        <v>10090490</v>
      </c>
      <c r="F1419" t="s">
        <v>680</v>
      </c>
      <c r="G1419">
        <v>594887</v>
      </c>
      <c r="H1419" s="184">
        <v>44214</v>
      </c>
      <c r="I1419" s="184">
        <v>44215</v>
      </c>
      <c r="J1419" t="s">
        <v>681</v>
      </c>
      <c r="K1419">
        <v>60000</v>
      </c>
      <c r="L1419" t="s">
        <v>187</v>
      </c>
    </row>
    <row r="1420" spans="1:12" x14ac:dyDescent="0.4">
      <c r="A1420" t="s">
        <v>168</v>
      </c>
      <c r="B1420" t="s">
        <v>5</v>
      </c>
      <c r="C1420" t="s">
        <v>656</v>
      </c>
      <c r="D1420" t="s">
        <v>657</v>
      </c>
      <c r="E1420">
        <v>10090490</v>
      </c>
      <c r="F1420" t="s">
        <v>680</v>
      </c>
      <c r="G1420">
        <v>594887</v>
      </c>
      <c r="H1420" s="184">
        <v>44214</v>
      </c>
      <c r="I1420" s="184">
        <v>44215</v>
      </c>
      <c r="J1420" t="s">
        <v>681</v>
      </c>
      <c r="K1420">
        <v>60000</v>
      </c>
      <c r="L1420" t="s">
        <v>188</v>
      </c>
    </row>
    <row r="1421" spans="1:12" x14ac:dyDescent="0.4">
      <c r="A1421" t="s">
        <v>168</v>
      </c>
      <c r="B1421" t="s">
        <v>5</v>
      </c>
      <c r="C1421" t="s">
        <v>656</v>
      </c>
      <c r="D1421" t="s">
        <v>657</v>
      </c>
      <c r="E1421">
        <v>10090490</v>
      </c>
      <c r="F1421" t="s">
        <v>680</v>
      </c>
      <c r="G1421">
        <v>594887</v>
      </c>
      <c r="H1421" s="184">
        <v>44214</v>
      </c>
      <c r="I1421" s="184">
        <v>44215</v>
      </c>
      <c r="J1421" t="s">
        <v>681</v>
      </c>
      <c r="K1421">
        <v>60000</v>
      </c>
      <c r="L1421" t="s">
        <v>189</v>
      </c>
    </row>
    <row r="1422" spans="1:12" x14ac:dyDescent="0.4">
      <c r="A1422" t="s">
        <v>168</v>
      </c>
      <c r="B1422" t="s">
        <v>5</v>
      </c>
      <c r="C1422" t="s">
        <v>656</v>
      </c>
      <c r="D1422" t="s">
        <v>657</v>
      </c>
      <c r="E1422">
        <v>10090490</v>
      </c>
      <c r="F1422" t="s">
        <v>680</v>
      </c>
      <c r="G1422">
        <v>594887</v>
      </c>
      <c r="H1422" s="184">
        <v>44214</v>
      </c>
      <c r="I1422" s="184">
        <v>44215</v>
      </c>
      <c r="J1422" t="s">
        <v>681</v>
      </c>
      <c r="K1422">
        <v>60000</v>
      </c>
      <c r="L1422" t="s">
        <v>190</v>
      </c>
    </row>
    <row r="1423" spans="1:12" x14ac:dyDescent="0.4">
      <c r="A1423" t="s">
        <v>168</v>
      </c>
      <c r="B1423" t="s">
        <v>5</v>
      </c>
      <c r="C1423" t="s">
        <v>656</v>
      </c>
      <c r="D1423" t="s">
        <v>657</v>
      </c>
      <c r="E1423">
        <v>10090490</v>
      </c>
      <c r="F1423" t="s">
        <v>680</v>
      </c>
      <c r="G1423">
        <v>594887</v>
      </c>
      <c r="H1423" s="184">
        <v>44214</v>
      </c>
      <c r="I1423" s="184">
        <v>44215</v>
      </c>
      <c r="J1423" t="s">
        <v>681</v>
      </c>
      <c r="K1423">
        <v>60000</v>
      </c>
      <c r="L1423" t="s">
        <v>239</v>
      </c>
    </row>
    <row r="1424" spans="1:12" x14ac:dyDescent="0.4">
      <c r="A1424" t="s">
        <v>168</v>
      </c>
      <c r="B1424" t="s">
        <v>5</v>
      </c>
      <c r="C1424" t="s">
        <v>656</v>
      </c>
      <c r="D1424" t="s">
        <v>657</v>
      </c>
      <c r="E1424">
        <v>20014654</v>
      </c>
      <c r="F1424" t="s">
        <v>682</v>
      </c>
      <c r="G1424">
        <v>592057</v>
      </c>
      <c r="H1424" s="184">
        <v>43901</v>
      </c>
      <c r="I1424" s="184">
        <v>43903</v>
      </c>
      <c r="J1424" t="s">
        <v>683</v>
      </c>
      <c r="K1424">
        <v>60000</v>
      </c>
      <c r="L1424" t="s">
        <v>281</v>
      </c>
    </row>
    <row r="1425" spans="1:12" x14ac:dyDescent="0.4">
      <c r="A1425" t="s">
        <v>168</v>
      </c>
      <c r="B1425" t="s">
        <v>5</v>
      </c>
      <c r="C1425" t="s">
        <v>656</v>
      </c>
      <c r="D1425" t="s">
        <v>657</v>
      </c>
      <c r="E1425">
        <v>20014654</v>
      </c>
      <c r="F1425" t="s">
        <v>682</v>
      </c>
      <c r="G1425">
        <v>592057</v>
      </c>
      <c r="H1425" s="184">
        <v>43901</v>
      </c>
      <c r="I1425" s="184">
        <v>43903</v>
      </c>
      <c r="J1425" t="s">
        <v>683</v>
      </c>
      <c r="K1425">
        <v>60000</v>
      </c>
      <c r="L1425" t="s">
        <v>230</v>
      </c>
    </row>
    <row r="1426" spans="1:12" x14ac:dyDescent="0.4">
      <c r="A1426" t="s">
        <v>168</v>
      </c>
      <c r="B1426" t="s">
        <v>5</v>
      </c>
      <c r="C1426" t="s">
        <v>656</v>
      </c>
      <c r="D1426" t="s">
        <v>657</v>
      </c>
      <c r="E1426">
        <v>20014654</v>
      </c>
      <c r="F1426" t="s">
        <v>682</v>
      </c>
      <c r="G1426">
        <v>592057</v>
      </c>
      <c r="H1426" s="184">
        <v>43901</v>
      </c>
      <c r="I1426" s="184">
        <v>43903</v>
      </c>
      <c r="J1426" t="s">
        <v>683</v>
      </c>
      <c r="K1426">
        <v>60000</v>
      </c>
      <c r="L1426" t="s">
        <v>243</v>
      </c>
    </row>
    <row r="1427" spans="1:12" x14ac:dyDescent="0.4">
      <c r="A1427" t="s">
        <v>168</v>
      </c>
      <c r="B1427" t="s">
        <v>5</v>
      </c>
      <c r="C1427" t="s">
        <v>656</v>
      </c>
      <c r="D1427" t="s">
        <v>657</v>
      </c>
      <c r="E1427">
        <v>20014654</v>
      </c>
      <c r="F1427" t="s">
        <v>682</v>
      </c>
      <c r="G1427">
        <v>592057</v>
      </c>
      <c r="H1427" s="184">
        <v>43901</v>
      </c>
      <c r="I1427" s="184">
        <v>43903</v>
      </c>
      <c r="J1427" t="s">
        <v>683</v>
      </c>
      <c r="K1427">
        <v>60000</v>
      </c>
      <c r="L1427" t="s">
        <v>244</v>
      </c>
    </row>
    <row r="1428" spans="1:12" x14ac:dyDescent="0.4">
      <c r="A1428" t="s">
        <v>168</v>
      </c>
      <c r="B1428" t="s">
        <v>5</v>
      </c>
      <c r="C1428" t="s">
        <v>656</v>
      </c>
      <c r="D1428" t="s">
        <v>657</v>
      </c>
      <c r="E1428">
        <v>20014654</v>
      </c>
      <c r="F1428" t="s">
        <v>682</v>
      </c>
      <c r="G1428">
        <v>592057</v>
      </c>
      <c r="H1428" s="184">
        <v>43901</v>
      </c>
      <c r="I1428" s="184">
        <v>43903</v>
      </c>
      <c r="J1428" t="s">
        <v>683</v>
      </c>
      <c r="K1428">
        <v>60000</v>
      </c>
      <c r="L1428" t="s">
        <v>245</v>
      </c>
    </row>
    <row r="1429" spans="1:12" x14ac:dyDescent="0.4">
      <c r="A1429" t="s">
        <v>168</v>
      </c>
      <c r="B1429" t="s">
        <v>5</v>
      </c>
      <c r="C1429" t="s">
        <v>656</v>
      </c>
      <c r="D1429" t="s">
        <v>657</v>
      </c>
      <c r="E1429">
        <v>20014654</v>
      </c>
      <c r="F1429" t="s">
        <v>682</v>
      </c>
      <c r="G1429">
        <v>592057</v>
      </c>
      <c r="H1429" s="184">
        <v>43901</v>
      </c>
      <c r="I1429" s="184">
        <v>43903</v>
      </c>
      <c r="J1429" t="s">
        <v>683</v>
      </c>
      <c r="K1429">
        <v>60000</v>
      </c>
      <c r="L1429" t="s">
        <v>246</v>
      </c>
    </row>
    <row r="1430" spans="1:12" x14ac:dyDescent="0.4">
      <c r="A1430" t="s">
        <v>168</v>
      </c>
      <c r="B1430" t="s">
        <v>5</v>
      </c>
      <c r="C1430" t="s">
        <v>656</v>
      </c>
      <c r="D1430" t="s">
        <v>657</v>
      </c>
      <c r="E1430">
        <v>20017154</v>
      </c>
      <c r="F1430" t="s">
        <v>684</v>
      </c>
      <c r="G1430">
        <v>596229</v>
      </c>
      <c r="H1430" s="184">
        <v>44175</v>
      </c>
      <c r="I1430" s="184">
        <v>44180</v>
      </c>
      <c r="J1430" t="s">
        <v>346</v>
      </c>
      <c r="K1430">
        <v>60000</v>
      </c>
      <c r="L1430" t="s">
        <v>186</v>
      </c>
    </row>
    <row r="1431" spans="1:12" x14ac:dyDescent="0.4">
      <c r="A1431" t="s">
        <v>168</v>
      </c>
      <c r="B1431" t="s">
        <v>5</v>
      </c>
      <c r="C1431" t="s">
        <v>656</v>
      </c>
      <c r="D1431" t="s">
        <v>657</v>
      </c>
      <c r="E1431">
        <v>20017154</v>
      </c>
      <c r="F1431" t="s">
        <v>684</v>
      </c>
      <c r="G1431">
        <v>596229</v>
      </c>
      <c r="H1431" s="184">
        <v>44175</v>
      </c>
      <c r="I1431" s="184">
        <v>44180</v>
      </c>
      <c r="J1431" t="s">
        <v>346</v>
      </c>
      <c r="K1431">
        <v>60000</v>
      </c>
      <c r="L1431" t="s">
        <v>197</v>
      </c>
    </row>
    <row r="1432" spans="1:12" x14ac:dyDescent="0.4">
      <c r="A1432" t="s">
        <v>168</v>
      </c>
      <c r="B1432" t="s">
        <v>5</v>
      </c>
      <c r="C1432" t="s">
        <v>656</v>
      </c>
      <c r="D1432" t="s">
        <v>657</v>
      </c>
      <c r="E1432">
        <v>20017154</v>
      </c>
      <c r="F1432" t="s">
        <v>684</v>
      </c>
      <c r="G1432">
        <v>596229</v>
      </c>
      <c r="H1432" s="184">
        <v>44175</v>
      </c>
      <c r="I1432" s="184">
        <v>44180</v>
      </c>
      <c r="J1432" t="s">
        <v>346</v>
      </c>
      <c r="K1432">
        <v>60000</v>
      </c>
      <c r="L1432" t="s">
        <v>198</v>
      </c>
    </row>
    <row r="1433" spans="1:12" x14ac:dyDescent="0.4">
      <c r="A1433" t="s">
        <v>168</v>
      </c>
      <c r="B1433" t="s">
        <v>5</v>
      </c>
      <c r="C1433" t="s">
        <v>656</v>
      </c>
      <c r="D1433" t="s">
        <v>657</v>
      </c>
      <c r="E1433">
        <v>20017154</v>
      </c>
      <c r="F1433" t="s">
        <v>684</v>
      </c>
      <c r="G1433">
        <v>596229</v>
      </c>
      <c r="H1433" s="184">
        <v>44175</v>
      </c>
      <c r="I1433" s="184">
        <v>44180</v>
      </c>
      <c r="J1433" t="s">
        <v>346</v>
      </c>
      <c r="K1433">
        <v>60000</v>
      </c>
      <c r="L1433" t="s">
        <v>199</v>
      </c>
    </row>
    <row r="1434" spans="1:12" x14ac:dyDescent="0.4">
      <c r="A1434" t="s">
        <v>168</v>
      </c>
      <c r="B1434" t="s">
        <v>5</v>
      </c>
      <c r="C1434" t="s">
        <v>656</v>
      </c>
      <c r="D1434" t="s">
        <v>657</v>
      </c>
      <c r="E1434">
        <v>20017154</v>
      </c>
      <c r="F1434" t="s">
        <v>684</v>
      </c>
      <c r="G1434">
        <v>596229</v>
      </c>
      <c r="H1434" s="184">
        <v>44175</v>
      </c>
      <c r="I1434" s="184">
        <v>44180</v>
      </c>
      <c r="J1434" t="s">
        <v>346</v>
      </c>
      <c r="K1434">
        <v>60000</v>
      </c>
      <c r="L1434" t="s">
        <v>200</v>
      </c>
    </row>
    <row r="1435" spans="1:12" x14ac:dyDescent="0.4">
      <c r="A1435" t="s">
        <v>168</v>
      </c>
      <c r="B1435" t="s">
        <v>5</v>
      </c>
      <c r="C1435" t="s">
        <v>656</v>
      </c>
      <c r="D1435" t="s">
        <v>657</v>
      </c>
      <c r="E1435">
        <v>20017154</v>
      </c>
      <c r="F1435" t="s">
        <v>684</v>
      </c>
      <c r="G1435">
        <v>596229</v>
      </c>
      <c r="H1435" s="184">
        <v>44175</v>
      </c>
      <c r="I1435" s="184">
        <v>44180</v>
      </c>
      <c r="J1435" t="s">
        <v>346</v>
      </c>
      <c r="K1435">
        <v>60000</v>
      </c>
      <c r="L1435" t="s">
        <v>302</v>
      </c>
    </row>
    <row r="1436" spans="1:12" x14ac:dyDescent="0.4">
      <c r="A1436" t="s">
        <v>168</v>
      </c>
      <c r="B1436" t="s">
        <v>5</v>
      </c>
      <c r="C1436" t="s">
        <v>656</v>
      </c>
      <c r="D1436" t="s">
        <v>657</v>
      </c>
      <c r="E1436">
        <v>20018296</v>
      </c>
      <c r="F1436" t="s">
        <v>685</v>
      </c>
      <c r="G1436">
        <v>591681</v>
      </c>
      <c r="H1436" s="184">
        <v>43882</v>
      </c>
      <c r="I1436" s="184">
        <v>43888</v>
      </c>
      <c r="J1436" t="s">
        <v>686</v>
      </c>
      <c r="K1436">
        <v>60000</v>
      </c>
      <c r="L1436" t="s">
        <v>275</v>
      </c>
    </row>
    <row r="1437" spans="1:12" x14ac:dyDescent="0.4">
      <c r="A1437" t="s">
        <v>168</v>
      </c>
      <c r="B1437" t="s">
        <v>5</v>
      </c>
      <c r="C1437" t="s">
        <v>656</v>
      </c>
      <c r="D1437" t="s">
        <v>657</v>
      </c>
      <c r="E1437">
        <v>20018296</v>
      </c>
      <c r="F1437" t="s">
        <v>685</v>
      </c>
      <c r="G1437">
        <v>591681</v>
      </c>
      <c r="H1437" s="184">
        <v>43882</v>
      </c>
      <c r="I1437" s="184">
        <v>43888</v>
      </c>
      <c r="J1437" t="s">
        <v>686</v>
      </c>
      <c r="K1437">
        <v>60000</v>
      </c>
      <c r="L1437" t="s">
        <v>238</v>
      </c>
    </row>
    <row r="1438" spans="1:12" x14ac:dyDescent="0.4">
      <c r="A1438" t="s">
        <v>168</v>
      </c>
      <c r="B1438" t="s">
        <v>5</v>
      </c>
      <c r="C1438" t="s">
        <v>656</v>
      </c>
      <c r="D1438" t="s">
        <v>657</v>
      </c>
      <c r="E1438">
        <v>20018296</v>
      </c>
      <c r="F1438" t="s">
        <v>685</v>
      </c>
      <c r="G1438">
        <v>591681</v>
      </c>
      <c r="H1438" s="184">
        <v>43882</v>
      </c>
      <c r="I1438" s="184">
        <v>43888</v>
      </c>
      <c r="J1438" t="s">
        <v>686</v>
      </c>
      <c r="K1438">
        <v>60000</v>
      </c>
      <c r="L1438" t="s">
        <v>231</v>
      </c>
    </row>
    <row r="1439" spans="1:12" x14ac:dyDescent="0.4">
      <c r="A1439" t="s">
        <v>168</v>
      </c>
      <c r="B1439" t="s">
        <v>5</v>
      </c>
      <c r="C1439" t="s">
        <v>656</v>
      </c>
      <c r="D1439" t="s">
        <v>657</v>
      </c>
      <c r="E1439">
        <v>20018296</v>
      </c>
      <c r="F1439" t="s">
        <v>685</v>
      </c>
      <c r="G1439">
        <v>591681</v>
      </c>
      <c r="H1439" s="184">
        <v>43882</v>
      </c>
      <c r="I1439" s="184">
        <v>43888</v>
      </c>
      <c r="J1439" t="s">
        <v>686</v>
      </c>
      <c r="K1439">
        <v>60000</v>
      </c>
      <c r="L1439" t="s">
        <v>232</v>
      </c>
    </row>
    <row r="1440" spans="1:12" x14ac:dyDescent="0.4">
      <c r="A1440" t="s">
        <v>168</v>
      </c>
      <c r="B1440" t="s">
        <v>5</v>
      </c>
      <c r="C1440" t="s">
        <v>656</v>
      </c>
      <c r="D1440" t="s">
        <v>657</v>
      </c>
      <c r="E1440">
        <v>20018296</v>
      </c>
      <c r="F1440" t="s">
        <v>685</v>
      </c>
      <c r="G1440">
        <v>591681</v>
      </c>
      <c r="H1440" s="184">
        <v>43882</v>
      </c>
      <c r="I1440" s="184">
        <v>43888</v>
      </c>
      <c r="J1440" t="s">
        <v>686</v>
      </c>
      <c r="K1440">
        <v>60000</v>
      </c>
      <c r="L1440" t="s">
        <v>233</v>
      </c>
    </row>
    <row r="1441" spans="1:12" x14ac:dyDescent="0.4">
      <c r="A1441" t="s">
        <v>168</v>
      </c>
      <c r="B1441" t="s">
        <v>5</v>
      </c>
      <c r="C1441" t="s">
        <v>656</v>
      </c>
      <c r="D1441" t="s">
        <v>657</v>
      </c>
      <c r="E1441">
        <v>20018296</v>
      </c>
      <c r="F1441" t="s">
        <v>685</v>
      </c>
      <c r="G1441">
        <v>591681</v>
      </c>
      <c r="H1441" s="184">
        <v>43882</v>
      </c>
      <c r="I1441" s="184">
        <v>43888</v>
      </c>
      <c r="J1441" t="s">
        <v>686</v>
      </c>
      <c r="K1441">
        <v>60000</v>
      </c>
      <c r="L1441" t="s">
        <v>234</v>
      </c>
    </row>
    <row r="1442" spans="1:12" x14ac:dyDescent="0.4">
      <c r="A1442" t="s">
        <v>168</v>
      </c>
      <c r="B1442" t="s">
        <v>5</v>
      </c>
      <c r="C1442" t="s">
        <v>656</v>
      </c>
      <c r="D1442" t="s">
        <v>657</v>
      </c>
      <c r="E1442">
        <v>20018303</v>
      </c>
      <c r="F1442" t="s">
        <v>687</v>
      </c>
      <c r="G1442">
        <v>591580</v>
      </c>
      <c r="H1442" s="184">
        <v>43900</v>
      </c>
      <c r="I1442" s="184">
        <v>43907</v>
      </c>
      <c r="J1442" t="s">
        <v>280</v>
      </c>
      <c r="K1442">
        <v>60000</v>
      </c>
      <c r="L1442" t="s">
        <v>281</v>
      </c>
    </row>
    <row r="1443" spans="1:12" x14ac:dyDescent="0.4">
      <c r="A1443" t="s">
        <v>168</v>
      </c>
      <c r="B1443" t="s">
        <v>5</v>
      </c>
      <c r="C1443" t="s">
        <v>656</v>
      </c>
      <c r="D1443" t="s">
        <v>657</v>
      </c>
      <c r="E1443">
        <v>20018303</v>
      </c>
      <c r="F1443" t="s">
        <v>687</v>
      </c>
      <c r="G1443">
        <v>591580</v>
      </c>
      <c r="H1443" s="184">
        <v>43900</v>
      </c>
      <c r="I1443" s="184">
        <v>43907</v>
      </c>
      <c r="J1443" t="s">
        <v>280</v>
      </c>
      <c r="K1443">
        <v>60000</v>
      </c>
      <c r="L1443" t="s">
        <v>230</v>
      </c>
    </row>
    <row r="1444" spans="1:12" x14ac:dyDescent="0.4">
      <c r="A1444" t="s">
        <v>168</v>
      </c>
      <c r="B1444" t="s">
        <v>5</v>
      </c>
      <c r="C1444" t="s">
        <v>656</v>
      </c>
      <c r="D1444" t="s">
        <v>657</v>
      </c>
      <c r="E1444">
        <v>20018303</v>
      </c>
      <c r="F1444" t="s">
        <v>687</v>
      </c>
      <c r="G1444">
        <v>591580</v>
      </c>
      <c r="H1444" s="184">
        <v>43900</v>
      </c>
      <c r="I1444" s="184">
        <v>43907</v>
      </c>
      <c r="J1444" t="s">
        <v>280</v>
      </c>
      <c r="K1444">
        <v>60000</v>
      </c>
      <c r="L1444" t="s">
        <v>243</v>
      </c>
    </row>
    <row r="1445" spans="1:12" x14ac:dyDescent="0.4">
      <c r="A1445" t="s">
        <v>168</v>
      </c>
      <c r="B1445" t="s">
        <v>5</v>
      </c>
      <c r="C1445" t="s">
        <v>656</v>
      </c>
      <c r="D1445" t="s">
        <v>657</v>
      </c>
      <c r="E1445">
        <v>20018303</v>
      </c>
      <c r="F1445" t="s">
        <v>687</v>
      </c>
      <c r="G1445">
        <v>591580</v>
      </c>
      <c r="H1445" s="184">
        <v>43900</v>
      </c>
      <c r="I1445" s="184">
        <v>43907</v>
      </c>
      <c r="J1445" t="s">
        <v>280</v>
      </c>
      <c r="K1445">
        <v>60000</v>
      </c>
      <c r="L1445" t="s">
        <v>244</v>
      </c>
    </row>
    <row r="1446" spans="1:12" x14ac:dyDescent="0.4">
      <c r="A1446" t="s">
        <v>168</v>
      </c>
      <c r="B1446" t="s">
        <v>5</v>
      </c>
      <c r="C1446" t="s">
        <v>656</v>
      </c>
      <c r="D1446" t="s">
        <v>657</v>
      </c>
      <c r="E1446">
        <v>20018303</v>
      </c>
      <c r="F1446" t="s">
        <v>687</v>
      </c>
      <c r="G1446">
        <v>591580</v>
      </c>
      <c r="H1446" s="184">
        <v>43900</v>
      </c>
      <c r="I1446" s="184">
        <v>43907</v>
      </c>
      <c r="J1446" t="s">
        <v>280</v>
      </c>
      <c r="K1446">
        <v>60000</v>
      </c>
      <c r="L1446" t="s">
        <v>245</v>
      </c>
    </row>
    <row r="1447" spans="1:12" x14ac:dyDescent="0.4">
      <c r="A1447" t="s">
        <v>168</v>
      </c>
      <c r="B1447" t="s">
        <v>5</v>
      </c>
      <c r="C1447" t="s">
        <v>656</v>
      </c>
      <c r="D1447" t="s">
        <v>657</v>
      </c>
      <c r="E1447">
        <v>20018303</v>
      </c>
      <c r="F1447" t="s">
        <v>687</v>
      </c>
      <c r="G1447">
        <v>591580</v>
      </c>
      <c r="H1447" s="184">
        <v>43900</v>
      </c>
      <c r="I1447" s="184">
        <v>43907</v>
      </c>
      <c r="J1447" t="s">
        <v>280</v>
      </c>
      <c r="K1447">
        <v>60000</v>
      </c>
      <c r="L1447" t="s">
        <v>246</v>
      </c>
    </row>
    <row r="1448" spans="1:12" x14ac:dyDescent="0.4">
      <c r="A1448" t="s">
        <v>168</v>
      </c>
      <c r="B1448" t="s">
        <v>5</v>
      </c>
      <c r="C1448" t="s">
        <v>664</v>
      </c>
      <c r="D1448" t="s">
        <v>665</v>
      </c>
      <c r="E1448">
        <v>20018313</v>
      </c>
      <c r="F1448" t="s">
        <v>688</v>
      </c>
      <c r="G1448">
        <v>591789</v>
      </c>
      <c r="H1448" s="184">
        <v>43919</v>
      </c>
      <c r="I1448" s="184">
        <v>43921</v>
      </c>
      <c r="J1448" t="s">
        <v>689</v>
      </c>
      <c r="K1448">
        <v>60000</v>
      </c>
      <c r="L1448" t="s">
        <v>281</v>
      </c>
    </row>
    <row r="1449" spans="1:12" x14ac:dyDescent="0.4">
      <c r="A1449" t="s">
        <v>168</v>
      </c>
      <c r="B1449" t="s">
        <v>5</v>
      </c>
      <c r="C1449" t="s">
        <v>664</v>
      </c>
      <c r="D1449" t="s">
        <v>665</v>
      </c>
      <c r="E1449">
        <v>20018313</v>
      </c>
      <c r="F1449" t="s">
        <v>688</v>
      </c>
      <c r="G1449">
        <v>591789</v>
      </c>
      <c r="H1449" s="184">
        <v>43919</v>
      </c>
      <c r="I1449" s="184">
        <v>43921</v>
      </c>
      <c r="J1449" t="s">
        <v>689</v>
      </c>
      <c r="K1449">
        <v>60000</v>
      </c>
      <c r="L1449" t="s">
        <v>230</v>
      </c>
    </row>
    <row r="1450" spans="1:12" x14ac:dyDescent="0.4">
      <c r="A1450" t="s">
        <v>168</v>
      </c>
      <c r="B1450" t="s">
        <v>5</v>
      </c>
      <c r="C1450" t="s">
        <v>664</v>
      </c>
      <c r="D1450" t="s">
        <v>665</v>
      </c>
      <c r="E1450">
        <v>20018313</v>
      </c>
      <c r="F1450" t="s">
        <v>688</v>
      </c>
      <c r="G1450">
        <v>591789</v>
      </c>
      <c r="H1450" s="184">
        <v>43919</v>
      </c>
      <c r="I1450" s="184">
        <v>43921</v>
      </c>
      <c r="J1450" t="s">
        <v>689</v>
      </c>
      <c r="K1450">
        <v>60000</v>
      </c>
      <c r="L1450" t="s">
        <v>243</v>
      </c>
    </row>
    <row r="1451" spans="1:12" x14ac:dyDescent="0.4">
      <c r="A1451" t="s">
        <v>168</v>
      </c>
      <c r="B1451" t="s">
        <v>5</v>
      </c>
      <c r="C1451" t="s">
        <v>664</v>
      </c>
      <c r="D1451" t="s">
        <v>665</v>
      </c>
      <c r="E1451">
        <v>20018313</v>
      </c>
      <c r="F1451" t="s">
        <v>688</v>
      </c>
      <c r="G1451">
        <v>591789</v>
      </c>
      <c r="H1451" s="184">
        <v>43919</v>
      </c>
      <c r="I1451" s="184">
        <v>43921</v>
      </c>
      <c r="J1451" t="s">
        <v>689</v>
      </c>
      <c r="K1451">
        <v>60000</v>
      </c>
      <c r="L1451" t="s">
        <v>244</v>
      </c>
    </row>
    <row r="1452" spans="1:12" x14ac:dyDescent="0.4">
      <c r="A1452" t="s">
        <v>168</v>
      </c>
      <c r="B1452" t="s">
        <v>5</v>
      </c>
      <c r="C1452" t="s">
        <v>664</v>
      </c>
      <c r="D1452" t="s">
        <v>665</v>
      </c>
      <c r="E1452">
        <v>20018313</v>
      </c>
      <c r="F1452" t="s">
        <v>688</v>
      </c>
      <c r="G1452">
        <v>591789</v>
      </c>
      <c r="H1452" s="184">
        <v>43919</v>
      </c>
      <c r="I1452" s="184">
        <v>43921</v>
      </c>
      <c r="J1452" t="s">
        <v>689</v>
      </c>
      <c r="K1452">
        <v>60000</v>
      </c>
      <c r="L1452" t="s">
        <v>245</v>
      </c>
    </row>
    <row r="1453" spans="1:12" x14ac:dyDescent="0.4">
      <c r="A1453" t="s">
        <v>168</v>
      </c>
      <c r="B1453" t="s">
        <v>5</v>
      </c>
      <c r="C1453" t="s">
        <v>664</v>
      </c>
      <c r="D1453" t="s">
        <v>665</v>
      </c>
      <c r="E1453">
        <v>20018313</v>
      </c>
      <c r="F1453" t="s">
        <v>688</v>
      </c>
      <c r="G1453">
        <v>591789</v>
      </c>
      <c r="H1453" s="184">
        <v>43919</v>
      </c>
      <c r="I1453" s="184">
        <v>43921</v>
      </c>
      <c r="J1453" t="s">
        <v>689</v>
      </c>
      <c r="K1453">
        <v>60000</v>
      </c>
      <c r="L1453" t="s">
        <v>246</v>
      </c>
    </row>
    <row r="1454" spans="1:12" x14ac:dyDescent="0.4">
      <c r="A1454" t="s">
        <v>168</v>
      </c>
      <c r="B1454" t="s">
        <v>5</v>
      </c>
      <c r="C1454" t="s">
        <v>656</v>
      </c>
      <c r="D1454" t="s">
        <v>657</v>
      </c>
      <c r="E1454">
        <v>20018394</v>
      </c>
      <c r="F1454" t="s">
        <v>690</v>
      </c>
      <c r="G1454">
        <v>591780</v>
      </c>
      <c r="H1454" s="184">
        <v>43906</v>
      </c>
      <c r="I1454" s="184">
        <v>43921</v>
      </c>
      <c r="J1454" t="s">
        <v>283</v>
      </c>
      <c r="K1454">
        <v>60000</v>
      </c>
      <c r="L1454" t="s">
        <v>281</v>
      </c>
    </row>
    <row r="1455" spans="1:12" x14ac:dyDescent="0.4">
      <c r="A1455" t="s">
        <v>168</v>
      </c>
      <c r="B1455" t="s">
        <v>5</v>
      </c>
      <c r="C1455" t="s">
        <v>656</v>
      </c>
      <c r="D1455" t="s">
        <v>657</v>
      </c>
      <c r="E1455">
        <v>20018394</v>
      </c>
      <c r="F1455" t="s">
        <v>690</v>
      </c>
      <c r="G1455">
        <v>591780</v>
      </c>
      <c r="H1455" s="184">
        <v>43906</v>
      </c>
      <c r="I1455" s="184">
        <v>43921</v>
      </c>
      <c r="J1455" t="s">
        <v>283</v>
      </c>
      <c r="K1455">
        <v>60000</v>
      </c>
      <c r="L1455" t="s">
        <v>230</v>
      </c>
    </row>
    <row r="1456" spans="1:12" x14ac:dyDescent="0.4">
      <c r="A1456" t="s">
        <v>168</v>
      </c>
      <c r="B1456" t="s">
        <v>5</v>
      </c>
      <c r="C1456" t="s">
        <v>656</v>
      </c>
      <c r="D1456" t="s">
        <v>657</v>
      </c>
      <c r="E1456">
        <v>20018394</v>
      </c>
      <c r="F1456" t="s">
        <v>690</v>
      </c>
      <c r="G1456">
        <v>591780</v>
      </c>
      <c r="H1456" s="184">
        <v>43906</v>
      </c>
      <c r="I1456" s="184">
        <v>43921</v>
      </c>
      <c r="J1456" t="s">
        <v>283</v>
      </c>
      <c r="K1456">
        <v>60000</v>
      </c>
      <c r="L1456" t="s">
        <v>243</v>
      </c>
    </row>
    <row r="1457" spans="1:12" x14ac:dyDescent="0.4">
      <c r="A1457" t="s">
        <v>168</v>
      </c>
      <c r="B1457" t="s">
        <v>5</v>
      </c>
      <c r="C1457" t="s">
        <v>656</v>
      </c>
      <c r="D1457" t="s">
        <v>657</v>
      </c>
      <c r="E1457">
        <v>20018394</v>
      </c>
      <c r="F1457" t="s">
        <v>690</v>
      </c>
      <c r="G1457">
        <v>591780</v>
      </c>
      <c r="H1457" s="184">
        <v>43906</v>
      </c>
      <c r="I1457" s="184">
        <v>43921</v>
      </c>
      <c r="J1457" t="s">
        <v>283</v>
      </c>
      <c r="K1457">
        <v>60000</v>
      </c>
      <c r="L1457" t="s">
        <v>244</v>
      </c>
    </row>
    <row r="1458" spans="1:12" x14ac:dyDescent="0.4">
      <c r="A1458" t="s">
        <v>168</v>
      </c>
      <c r="B1458" t="s">
        <v>5</v>
      </c>
      <c r="C1458" t="s">
        <v>656</v>
      </c>
      <c r="D1458" t="s">
        <v>657</v>
      </c>
      <c r="E1458">
        <v>20018394</v>
      </c>
      <c r="F1458" t="s">
        <v>690</v>
      </c>
      <c r="G1458">
        <v>591780</v>
      </c>
      <c r="H1458" s="184">
        <v>43906</v>
      </c>
      <c r="I1458" s="184">
        <v>43921</v>
      </c>
      <c r="J1458" t="s">
        <v>283</v>
      </c>
      <c r="K1458">
        <v>60000</v>
      </c>
      <c r="L1458" t="s">
        <v>245</v>
      </c>
    </row>
    <row r="1459" spans="1:12" x14ac:dyDescent="0.4">
      <c r="A1459" t="s">
        <v>168</v>
      </c>
      <c r="B1459" t="s">
        <v>5</v>
      </c>
      <c r="C1459" t="s">
        <v>656</v>
      </c>
      <c r="D1459" t="s">
        <v>657</v>
      </c>
      <c r="E1459">
        <v>20018394</v>
      </c>
      <c r="F1459" t="s">
        <v>690</v>
      </c>
      <c r="G1459">
        <v>591780</v>
      </c>
      <c r="H1459" s="184">
        <v>43906</v>
      </c>
      <c r="I1459" s="184">
        <v>43921</v>
      </c>
      <c r="J1459" t="s">
        <v>283</v>
      </c>
      <c r="K1459">
        <v>60000</v>
      </c>
      <c r="L1459" t="s">
        <v>246</v>
      </c>
    </row>
    <row r="1460" spans="1:12" x14ac:dyDescent="0.4">
      <c r="A1460" t="s">
        <v>168</v>
      </c>
      <c r="B1460" t="s">
        <v>5</v>
      </c>
      <c r="C1460" t="s">
        <v>656</v>
      </c>
      <c r="D1460" t="s">
        <v>657</v>
      </c>
      <c r="E1460">
        <v>20018439</v>
      </c>
      <c r="F1460" t="s">
        <v>691</v>
      </c>
      <c r="G1460">
        <v>591969</v>
      </c>
      <c r="H1460" s="184">
        <v>43924</v>
      </c>
      <c r="I1460" s="184">
        <v>43930</v>
      </c>
      <c r="J1460" t="s">
        <v>464</v>
      </c>
      <c r="K1460">
        <v>60000</v>
      </c>
      <c r="L1460" t="s">
        <v>363</v>
      </c>
    </row>
    <row r="1461" spans="1:12" x14ac:dyDescent="0.4">
      <c r="A1461" t="s">
        <v>168</v>
      </c>
      <c r="B1461" t="s">
        <v>5</v>
      </c>
      <c r="C1461" t="s">
        <v>656</v>
      </c>
      <c r="D1461" t="s">
        <v>657</v>
      </c>
      <c r="E1461">
        <v>20018439</v>
      </c>
      <c r="F1461" t="s">
        <v>691</v>
      </c>
      <c r="G1461">
        <v>591969</v>
      </c>
      <c r="H1461" s="184">
        <v>43924</v>
      </c>
      <c r="I1461" s="184">
        <v>43930</v>
      </c>
      <c r="J1461" t="s">
        <v>464</v>
      </c>
      <c r="K1461">
        <v>60000</v>
      </c>
      <c r="L1461" t="s">
        <v>242</v>
      </c>
    </row>
    <row r="1462" spans="1:12" x14ac:dyDescent="0.4">
      <c r="A1462" t="s">
        <v>168</v>
      </c>
      <c r="B1462" t="s">
        <v>5</v>
      </c>
      <c r="C1462" t="s">
        <v>656</v>
      </c>
      <c r="D1462" t="s">
        <v>657</v>
      </c>
      <c r="E1462">
        <v>20018439</v>
      </c>
      <c r="F1462" t="s">
        <v>691</v>
      </c>
      <c r="G1462">
        <v>591969</v>
      </c>
      <c r="H1462" s="184">
        <v>43924</v>
      </c>
      <c r="I1462" s="184">
        <v>43930</v>
      </c>
      <c r="J1462" t="s">
        <v>464</v>
      </c>
      <c r="K1462">
        <v>60000</v>
      </c>
      <c r="L1462" t="s">
        <v>312</v>
      </c>
    </row>
    <row r="1463" spans="1:12" x14ac:dyDescent="0.4">
      <c r="A1463" t="s">
        <v>168</v>
      </c>
      <c r="B1463" t="s">
        <v>5</v>
      </c>
      <c r="C1463" t="s">
        <v>656</v>
      </c>
      <c r="D1463" t="s">
        <v>657</v>
      </c>
      <c r="E1463">
        <v>20018439</v>
      </c>
      <c r="F1463" t="s">
        <v>691</v>
      </c>
      <c r="G1463">
        <v>591969</v>
      </c>
      <c r="H1463" s="184">
        <v>43924</v>
      </c>
      <c r="I1463" s="184">
        <v>43930</v>
      </c>
      <c r="J1463" t="s">
        <v>464</v>
      </c>
      <c r="K1463">
        <v>60000</v>
      </c>
      <c r="L1463" t="s">
        <v>313</v>
      </c>
    </row>
    <row r="1464" spans="1:12" x14ac:dyDescent="0.4">
      <c r="A1464" t="s">
        <v>168</v>
      </c>
      <c r="B1464" t="s">
        <v>5</v>
      </c>
      <c r="C1464" t="s">
        <v>656</v>
      </c>
      <c r="D1464" t="s">
        <v>657</v>
      </c>
      <c r="E1464">
        <v>20018439</v>
      </c>
      <c r="F1464" t="s">
        <v>691</v>
      </c>
      <c r="G1464">
        <v>591969</v>
      </c>
      <c r="H1464" s="184">
        <v>43924</v>
      </c>
      <c r="I1464" s="184">
        <v>43930</v>
      </c>
      <c r="J1464" t="s">
        <v>464</v>
      </c>
      <c r="K1464">
        <v>60000</v>
      </c>
      <c r="L1464" t="s">
        <v>314</v>
      </c>
    </row>
    <row r="1465" spans="1:12" x14ac:dyDescent="0.4">
      <c r="A1465" t="s">
        <v>168</v>
      </c>
      <c r="B1465" t="s">
        <v>5</v>
      </c>
      <c r="C1465" t="s">
        <v>656</v>
      </c>
      <c r="D1465" t="s">
        <v>657</v>
      </c>
      <c r="E1465">
        <v>20018439</v>
      </c>
      <c r="F1465" t="s">
        <v>691</v>
      </c>
      <c r="G1465">
        <v>591969</v>
      </c>
      <c r="H1465" s="184">
        <v>43924</v>
      </c>
      <c r="I1465" s="184">
        <v>43930</v>
      </c>
      <c r="J1465" t="s">
        <v>464</v>
      </c>
      <c r="K1465">
        <v>60000</v>
      </c>
      <c r="L1465" t="s">
        <v>315</v>
      </c>
    </row>
    <row r="1466" spans="1:12" x14ac:dyDescent="0.4">
      <c r="A1466" t="s">
        <v>168</v>
      </c>
      <c r="B1466" t="s">
        <v>5</v>
      </c>
      <c r="C1466" t="s">
        <v>656</v>
      </c>
      <c r="D1466" t="s">
        <v>657</v>
      </c>
      <c r="E1466">
        <v>20018518</v>
      </c>
      <c r="F1466" t="s">
        <v>692</v>
      </c>
      <c r="G1466">
        <v>592316</v>
      </c>
      <c r="H1466" s="184">
        <v>43921</v>
      </c>
      <c r="I1466" s="184">
        <v>43928</v>
      </c>
      <c r="J1466" t="s">
        <v>362</v>
      </c>
      <c r="K1466">
        <v>60000</v>
      </c>
      <c r="L1466" t="s">
        <v>363</v>
      </c>
    </row>
    <row r="1467" spans="1:12" x14ac:dyDescent="0.4">
      <c r="A1467" t="s">
        <v>168</v>
      </c>
      <c r="B1467" t="s">
        <v>5</v>
      </c>
      <c r="C1467" t="s">
        <v>656</v>
      </c>
      <c r="D1467" t="s">
        <v>657</v>
      </c>
      <c r="E1467">
        <v>20018518</v>
      </c>
      <c r="F1467" t="s">
        <v>692</v>
      </c>
      <c r="G1467">
        <v>592316</v>
      </c>
      <c r="H1467" s="184">
        <v>43921</v>
      </c>
      <c r="I1467" s="184">
        <v>43928</v>
      </c>
      <c r="J1467" t="s">
        <v>362</v>
      </c>
      <c r="K1467">
        <v>60000</v>
      </c>
      <c r="L1467" t="s">
        <v>242</v>
      </c>
    </row>
    <row r="1468" spans="1:12" x14ac:dyDescent="0.4">
      <c r="A1468" t="s">
        <v>168</v>
      </c>
      <c r="B1468" t="s">
        <v>5</v>
      </c>
      <c r="C1468" t="s">
        <v>656</v>
      </c>
      <c r="D1468" t="s">
        <v>657</v>
      </c>
      <c r="E1468">
        <v>20018518</v>
      </c>
      <c r="F1468" t="s">
        <v>692</v>
      </c>
      <c r="G1468">
        <v>592316</v>
      </c>
      <c r="H1468" s="184">
        <v>43921</v>
      </c>
      <c r="I1468" s="184">
        <v>43928</v>
      </c>
      <c r="J1468" t="s">
        <v>362</v>
      </c>
      <c r="K1468">
        <v>60000</v>
      </c>
      <c r="L1468" t="s">
        <v>312</v>
      </c>
    </row>
    <row r="1469" spans="1:12" x14ac:dyDescent="0.4">
      <c r="A1469" t="s">
        <v>168</v>
      </c>
      <c r="B1469" t="s">
        <v>5</v>
      </c>
      <c r="C1469" t="s">
        <v>656</v>
      </c>
      <c r="D1469" t="s">
        <v>657</v>
      </c>
      <c r="E1469">
        <v>20018518</v>
      </c>
      <c r="F1469" t="s">
        <v>692</v>
      </c>
      <c r="G1469">
        <v>592316</v>
      </c>
      <c r="H1469" s="184">
        <v>43921</v>
      </c>
      <c r="I1469" s="184">
        <v>43928</v>
      </c>
      <c r="J1469" t="s">
        <v>362</v>
      </c>
      <c r="K1469">
        <v>60000</v>
      </c>
      <c r="L1469" t="s">
        <v>313</v>
      </c>
    </row>
    <row r="1470" spans="1:12" x14ac:dyDescent="0.4">
      <c r="A1470" t="s">
        <v>168</v>
      </c>
      <c r="B1470" t="s">
        <v>5</v>
      </c>
      <c r="C1470" t="s">
        <v>656</v>
      </c>
      <c r="D1470" t="s">
        <v>657</v>
      </c>
      <c r="E1470">
        <v>20018518</v>
      </c>
      <c r="F1470" t="s">
        <v>692</v>
      </c>
      <c r="G1470">
        <v>592316</v>
      </c>
      <c r="H1470" s="184">
        <v>43921</v>
      </c>
      <c r="I1470" s="184">
        <v>43928</v>
      </c>
      <c r="J1470" t="s">
        <v>362</v>
      </c>
      <c r="K1470">
        <v>60000</v>
      </c>
      <c r="L1470" t="s">
        <v>314</v>
      </c>
    </row>
    <row r="1471" spans="1:12" x14ac:dyDescent="0.4">
      <c r="A1471" t="s">
        <v>168</v>
      </c>
      <c r="B1471" t="s">
        <v>5</v>
      </c>
      <c r="C1471" t="s">
        <v>656</v>
      </c>
      <c r="D1471" t="s">
        <v>657</v>
      </c>
      <c r="E1471">
        <v>20018518</v>
      </c>
      <c r="F1471" t="s">
        <v>692</v>
      </c>
      <c r="G1471">
        <v>592316</v>
      </c>
      <c r="H1471" s="184">
        <v>43921</v>
      </c>
      <c r="I1471" s="184">
        <v>43928</v>
      </c>
      <c r="J1471" t="s">
        <v>362</v>
      </c>
      <c r="K1471">
        <v>60000</v>
      </c>
      <c r="L1471" t="s">
        <v>315</v>
      </c>
    </row>
    <row r="1472" spans="1:12" x14ac:dyDescent="0.4">
      <c r="A1472" t="s">
        <v>168</v>
      </c>
      <c r="B1472" t="s">
        <v>5</v>
      </c>
      <c r="C1472" t="s">
        <v>656</v>
      </c>
      <c r="D1472" t="s">
        <v>657</v>
      </c>
      <c r="E1472">
        <v>20018539</v>
      </c>
      <c r="F1472" t="s">
        <v>693</v>
      </c>
      <c r="G1472">
        <v>592696</v>
      </c>
      <c r="H1472" s="184">
        <v>43996</v>
      </c>
      <c r="I1472" s="184">
        <v>44000</v>
      </c>
      <c r="J1472" t="s">
        <v>587</v>
      </c>
      <c r="K1472">
        <v>60000</v>
      </c>
      <c r="L1472" t="s">
        <v>353</v>
      </c>
    </row>
    <row r="1473" spans="1:12" x14ac:dyDescent="0.4">
      <c r="A1473" t="s">
        <v>168</v>
      </c>
      <c r="B1473" t="s">
        <v>5</v>
      </c>
      <c r="C1473" t="s">
        <v>656</v>
      </c>
      <c r="D1473" t="s">
        <v>657</v>
      </c>
      <c r="E1473">
        <v>20018539</v>
      </c>
      <c r="F1473" t="s">
        <v>693</v>
      </c>
      <c r="G1473">
        <v>592696</v>
      </c>
      <c r="H1473" s="184">
        <v>43996</v>
      </c>
      <c r="I1473" s="184">
        <v>44000</v>
      </c>
      <c r="J1473" t="s">
        <v>587</v>
      </c>
      <c r="K1473">
        <v>60000</v>
      </c>
      <c r="L1473" t="s">
        <v>258</v>
      </c>
    </row>
    <row r="1474" spans="1:12" x14ac:dyDescent="0.4">
      <c r="A1474" t="s">
        <v>168</v>
      </c>
      <c r="B1474" t="s">
        <v>5</v>
      </c>
      <c r="C1474" t="s">
        <v>656</v>
      </c>
      <c r="D1474" t="s">
        <v>657</v>
      </c>
      <c r="E1474">
        <v>20018539</v>
      </c>
      <c r="F1474" t="s">
        <v>693</v>
      </c>
      <c r="G1474">
        <v>592696</v>
      </c>
      <c r="H1474" s="184">
        <v>43996</v>
      </c>
      <c r="I1474" s="184">
        <v>44000</v>
      </c>
      <c r="J1474" t="s">
        <v>587</v>
      </c>
      <c r="K1474">
        <v>60000</v>
      </c>
      <c r="L1474" t="s">
        <v>327</v>
      </c>
    </row>
    <row r="1475" spans="1:12" x14ac:dyDescent="0.4">
      <c r="A1475" t="s">
        <v>168</v>
      </c>
      <c r="B1475" t="s">
        <v>5</v>
      </c>
      <c r="C1475" t="s">
        <v>656</v>
      </c>
      <c r="D1475" t="s">
        <v>657</v>
      </c>
      <c r="E1475">
        <v>20018539</v>
      </c>
      <c r="F1475" t="s">
        <v>693</v>
      </c>
      <c r="G1475">
        <v>592696</v>
      </c>
      <c r="H1475" s="184">
        <v>43996</v>
      </c>
      <c r="I1475" s="184">
        <v>44000</v>
      </c>
      <c r="J1475" t="s">
        <v>587</v>
      </c>
      <c r="K1475">
        <v>60000</v>
      </c>
      <c r="L1475" t="s">
        <v>328</v>
      </c>
    </row>
    <row r="1476" spans="1:12" x14ac:dyDescent="0.4">
      <c r="A1476" t="s">
        <v>168</v>
      </c>
      <c r="B1476" t="s">
        <v>5</v>
      </c>
      <c r="C1476" t="s">
        <v>656</v>
      </c>
      <c r="D1476" t="s">
        <v>657</v>
      </c>
      <c r="E1476">
        <v>20018539</v>
      </c>
      <c r="F1476" t="s">
        <v>693</v>
      </c>
      <c r="G1476">
        <v>592696</v>
      </c>
      <c r="H1476" s="184">
        <v>43996</v>
      </c>
      <c r="I1476" s="184">
        <v>44000</v>
      </c>
      <c r="J1476" t="s">
        <v>587</v>
      </c>
      <c r="K1476">
        <v>60000</v>
      </c>
      <c r="L1476" t="s">
        <v>329</v>
      </c>
    </row>
    <row r="1477" spans="1:12" x14ac:dyDescent="0.4">
      <c r="A1477" t="s">
        <v>168</v>
      </c>
      <c r="B1477" t="s">
        <v>5</v>
      </c>
      <c r="C1477" t="s">
        <v>656</v>
      </c>
      <c r="D1477" t="s">
        <v>657</v>
      </c>
      <c r="E1477">
        <v>20018539</v>
      </c>
      <c r="F1477" t="s">
        <v>693</v>
      </c>
      <c r="G1477">
        <v>592696</v>
      </c>
      <c r="H1477" s="184">
        <v>43996</v>
      </c>
      <c r="I1477" s="184">
        <v>44000</v>
      </c>
      <c r="J1477" t="s">
        <v>587</v>
      </c>
      <c r="K1477">
        <v>60000</v>
      </c>
      <c r="L1477" t="s">
        <v>330</v>
      </c>
    </row>
    <row r="1478" spans="1:12" x14ac:dyDescent="0.4">
      <c r="A1478" t="s">
        <v>168</v>
      </c>
      <c r="B1478" t="s">
        <v>5</v>
      </c>
      <c r="C1478" t="s">
        <v>664</v>
      </c>
      <c r="D1478" t="s">
        <v>665</v>
      </c>
      <c r="E1478">
        <v>20018710</v>
      </c>
      <c r="F1478" t="s">
        <v>694</v>
      </c>
      <c r="G1478">
        <v>593049</v>
      </c>
      <c r="H1478" s="184">
        <v>43959</v>
      </c>
      <c r="I1478" s="184">
        <v>43972</v>
      </c>
      <c r="J1478" t="s">
        <v>695</v>
      </c>
      <c r="K1478">
        <v>60000</v>
      </c>
      <c r="L1478" t="s">
        <v>376</v>
      </c>
    </row>
    <row r="1479" spans="1:12" x14ac:dyDescent="0.4">
      <c r="A1479" t="s">
        <v>168</v>
      </c>
      <c r="B1479" t="s">
        <v>5</v>
      </c>
      <c r="C1479" t="s">
        <v>664</v>
      </c>
      <c r="D1479" t="s">
        <v>665</v>
      </c>
      <c r="E1479">
        <v>20018710</v>
      </c>
      <c r="F1479" t="s">
        <v>694</v>
      </c>
      <c r="G1479">
        <v>593049</v>
      </c>
      <c r="H1479" s="184">
        <v>43959</v>
      </c>
      <c r="I1479" s="184">
        <v>43972</v>
      </c>
      <c r="J1479" t="s">
        <v>695</v>
      </c>
      <c r="K1479">
        <v>60000</v>
      </c>
      <c r="L1479" t="s">
        <v>311</v>
      </c>
    </row>
    <row r="1480" spans="1:12" x14ac:dyDescent="0.4">
      <c r="A1480" t="s">
        <v>168</v>
      </c>
      <c r="B1480" t="s">
        <v>5</v>
      </c>
      <c r="C1480" t="s">
        <v>664</v>
      </c>
      <c r="D1480" t="s">
        <v>665</v>
      </c>
      <c r="E1480">
        <v>20018710</v>
      </c>
      <c r="F1480" t="s">
        <v>694</v>
      </c>
      <c r="G1480">
        <v>593049</v>
      </c>
      <c r="H1480" s="184">
        <v>43959</v>
      </c>
      <c r="I1480" s="184">
        <v>43972</v>
      </c>
      <c r="J1480" t="s">
        <v>695</v>
      </c>
      <c r="K1480">
        <v>60000</v>
      </c>
      <c r="L1480" t="s">
        <v>259</v>
      </c>
    </row>
    <row r="1481" spans="1:12" x14ac:dyDescent="0.4">
      <c r="A1481" t="s">
        <v>168</v>
      </c>
      <c r="B1481" t="s">
        <v>5</v>
      </c>
      <c r="C1481" t="s">
        <v>664</v>
      </c>
      <c r="D1481" t="s">
        <v>665</v>
      </c>
      <c r="E1481">
        <v>20018710</v>
      </c>
      <c r="F1481" t="s">
        <v>694</v>
      </c>
      <c r="G1481">
        <v>593049</v>
      </c>
      <c r="H1481" s="184">
        <v>43959</v>
      </c>
      <c r="I1481" s="184">
        <v>43972</v>
      </c>
      <c r="J1481" t="s">
        <v>695</v>
      </c>
      <c r="K1481">
        <v>60000</v>
      </c>
      <c r="L1481" t="s">
        <v>260</v>
      </c>
    </row>
    <row r="1482" spans="1:12" x14ac:dyDescent="0.4">
      <c r="A1482" t="s">
        <v>168</v>
      </c>
      <c r="B1482" t="s">
        <v>5</v>
      </c>
      <c r="C1482" t="s">
        <v>664</v>
      </c>
      <c r="D1482" t="s">
        <v>665</v>
      </c>
      <c r="E1482">
        <v>20018710</v>
      </c>
      <c r="F1482" t="s">
        <v>694</v>
      </c>
      <c r="G1482">
        <v>593049</v>
      </c>
      <c r="H1482" s="184">
        <v>43959</v>
      </c>
      <c r="I1482" s="184">
        <v>43972</v>
      </c>
      <c r="J1482" t="s">
        <v>695</v>
      </c>
      <c r="K1482">
        <v>60000</v>
      </c>
      <c r="L1482" t="s">
        <v>261</v>
      </c>
    </row>
    <row r="1483" spans="1:12" x14ac:dyDescent="0.4">
      <c r="A1483" t="s">
        <v>168</v>
      </c>
      <c r="B1483" t="s">
        <v>5</v>
      </c>
      <c r="C1483" t="s">
        <v>664</v>
      </c>
      <c r="D1483" t="s">
        <v>665</v>
      </c>
      <c r="E1483">
        <v>20018710</v>
      </c>
      <c r="F1483" t="s">
        <v>694</v>
      </c>
      <c r="G1483">
        <v>593049</v>
      </c>
      <c r="H1483" s="184">
        <v>43959</v>
      </c>
      <c r="I1483" s="184">
        <v>43972</v>
      </c>
      <c r="J1483" t="s">
        <v>695</v>
      </c>
      <c r="K1483">
        <v>60000</v>
      </c>
      <c r="L1483" t="s">
        <v>262</v>
      </c>
    </row>
    <row r="1484" spans="1:12" x14ac:dyDescent="0.4">
      <c r="A1484" t="s">
        <v>168</v>
      </c>
      <c r="B1484" t="s">
        <v>5</v>
      </c>
      <c r="C1484" t="s">
        <v>656</v>
      </c>
      <c r="D1484" t="s">
        <v>657</v>
      </c>
      <c r="E1484">
        <v>20018844</v>
      </c>
      <c r="F1484" t="s">
        <v>696</v>
      </c>
      <c r="G1484">
        <v>593939</v>
      </c>
      <c r="H1484" s="184">
        <v>44047</v>
      </c>
      <c r="I1484" s="184">
        <v>44048</v>
      </c>
      <c r="J1484" t="s">
        <v>697</v>
      </c>
      <c r="K1484">
        <v>60000</v>
      </c>
      <c r="L1484" t="s">
        <v>203</v>
      </c>
    </row>
    <row r="1485" spans="1:12" x14ac:dyDescent="0.4">
      <c r="A1485" t="s">
        <v>168</v>
      </c>
      <c r="B1485" t="s">
        <v>5</v>
      </c>
      <c r="C1485" t="s">
        <v>656</v>
      </c>
      <c r="D1485" t="s">
        <v>657</v>
      </c>
      <c r="E1485">
        <v>20018844</v>
      </c>
      <c r="F1485" t="s">
        <v>696</v>
      </c>
      <c r="G1485">
        <v>593939</v>
      </c>
      <c r="H1485" s="184">
        <v>44047</v>
      </c>
      <c r="I1485" s="184">
        <v>44048</v>
      </c>
      <c r="J1485" t="s">
        <v>697</v>
      </c>
      <c r="K1485">
        <v>60000</v>
      </c>
      <c r="L1485" t="s">
        <v>204</v>
      </c>
    </row>
    <row r="1486" spans="1:12" x14ac:dyDescent="0.4">
      <c r="A1486" t="s">
        <v>168</v>
      </c>
      <c r="B1486" t="s">
        <v>5</v>
      </c>
      <c r="C1486" t="s">
        <v>656</v>
      </c>
      <c r="D1486" t="s">
        <v>657</v>
      </c>
      <c r="E1486">
        <v>20018844</v>
      </c>
      <c r="F1486" t="s">
        <v>696</v>
      </c>
      <c r="G1486">
        <v>593939</v>
      </c>
      <c r="H1486" s="184">
        <v>44047</v>
      </c>
      <c r="I1486" s="184">
        <v>44048</v>
      </c>
      <c r="J1486" t="s">
        <v>697</v>
      </c>
      <c r="K1486">
        <v>60000</v>
      </c>
      <c r="L1486" t="s">
        <v>205</v>
      </c>
    </row>
    <row r="1487" spans="1:12" x14ac:dyDescent="0.4">
      <c r="A1487" t="s">
        <v>168</v>
      </c>
      <c r="B1487" t="s">
        <v>5</v>
      </c>
      <c r="C1487" t="s">
        <v>656</v>
      </c>
      <c r="D1487" t="s">
        <v>657</v>
      </c>
      <c r="E1487">
        <v>20018844</v>
      </c>
      <c r="F1487" t="s">
        <v>696</v>
      </c>
      <c r="G1487">
        <v>593939</v>
      </c>
      <c r="H1487" s="184">
        <v>44047</v>
      </c>
      <c r="I1487" s="184">
        <v>44048</v>
      </c>
      <c r="J1487" t="s">
        <v>697</v>
      </c>
      <c r="K1487">
        <v>60000</v>
      </c>
      <c r="L1487" t="s">
        <v>206</v>
      </c>
    </row>
    <row r="1488" spans="1:12" x14ac:dyDescent="0.4">
      <c r="A1488" t="s">
        <v>168</v>
      </c>
      <c r="B1488" t="s">
        <v>5</v>
      </c>
      <c r="C1488" t="s">
        <v>656</v>
      </c>
      <c r="D1488" t="s">
        <v>657</v>
      </c>
      <c r="E1488">
        <v>20018844</v>
      </c>
      <c r="F1488" t="s">
        <v>696</v>
      </c>
      <c r="G1488">
        <v>593939</v>
      </c>
      <c r="H1488" s="184">
        <v>44047</v>
      </c>
      <c r="I1488" s="184">
        <v>44048</v>
      </c>
      <c r="J1488" t="s">
        <v>697</v>
      </c>
      <c r="K1488">
        <v>60000</v>
      </c>
      <c r="L1488" t="s">
        <v>207</v>
      </c>
    </row>
    <row r="1489" spans="1:12" x14ac:dyDescent="0.4">
      <c r="A1489" t="s">
        <v>168</v>
      </c>
      <c r="B1489" t="s">
        <v>5</v>
      </c>
      <c r="C1489" t="s">
        <v>656</v>
      </c>
      <c r="D1489" t="s">
        <v>657</v>
      </c>
      <c r="E1489">
        <v>20018844</v>
      </c>
      <c r="F1489" t="s">
        <v>696</v>
      </c>
      <c r="G1489">
        <v>593939</v>
      </c>
      <c r="H1489" s="184">
        <v>44047</v>
      </c>
      <c r="I1489" s="184">
        <v>44048</v>
      </c>
      <c r="J1489" t="s">
        <v>697</v>
      </c>
      <c r="K1489">
        <v>60000</v>
      </c>
      <c r="L1489" t="s">
        <v>208</v>
      </c>
    </row>
    <row r="1490" spans="1:12" x14ac:dyDescent="0.4">
      <c r="A1490" t="s">
        <v>168</v>
      </c>
      <c r="B1490" t="s">
        <v>5</v>
      </c>
      <c r="C1490" t="s">
        <v>656</v>
      </c>
      <c r="D1490" t="s">
        <v>657</v>
      </c>
      <c r="E1490">
        <v>20019098</v>
      </c>
      <c r="F1490" t="s">
        <v>698</v>
      </c>
      <c r="G1490">
        <v>595603</v>
      </c>
      <c r="H1490" s="184">
        <v>44134</v>
      </c>
      <c r="I1490" s="184">
        <v>44134</v>
      </c>
      <c r="J1490" t="s">
        <v>699</v>
      </c>
      <c r="K1490">
        <v>60000</v>
      </c>
      <c r="L1490" t="s">
        <v>250</v>
      </c>
    </row>
    <row r="1491" spans="1:12" x14ac:dyDescent="0.4">
      <c r="A1491" t="s">
        <v>168</v>
      </c>
      <c r="B1491" t="s">
        <v>5</v>
      </c>
      <c r="C1491" t="s">
        <v>656</v>
      </c>
      <c r="D1491" t="s">
        <v>657</v>
      </c>
      <c r="E1491">
        <v>20019098</v>
      </c>
      <c r="F1491" t="s">
        <v>698</v>
      </c>
      <c r="G1491">
        <v>595603</v>
      </c>
      <c r="H1491" s="184">
        <v>44134</v>
      </c>
      <c r="I1491" s="184">
        <v>44134</v>
      </c>
      <c r="J1491" t="s">
        <v>699</v>
      </c>
      <c r="K1491">
        <v>60000</v>
      </c>
      <c r="L1491" t="s">
        <v>251</v>
      </c>
    </row>
    <row r="1492" spans="1:12" x14ac:dyDescent="0.4">
      <c r="A1492" t="s">
        <v>168</v>
      </c>
      <c r="B1492" t="s">
        <v>5</v>
      </c>
      <c r="C1492" t="s">
        <v>656</v>
      </c>
      <c r="D1492" t="s">
        <v>657</v>
      </c>
      <c r="E1492">
        <v>20019098</v>
      </c>
      <c r="F1492" t="s">
        <v>698</v>
      </c>
      <c r="G1492">
        <v>595603</v>
      </c>
      <c r="H1492" s="184">
        <v>44134</v>
      </c>
      <c r="I1492" s="184">
        <v>44134</v>
      </c>
      <c r="J1492" t="s">
        <v>699</v>
      </c>
      <c r="K1492">
        <v>60000</v>
      </c>
      <c r="L1492" t="s">
        <v>252</v>
      </c>
    </row>
    <row r="1493" spans="1:12" x14ac:dyDescent="0.4">
      <c r="A1493" t="s">
        <v>168</v>
      </c>
      <c r="B1493" t="s">
        <v>5</v>
      </c>
      <c r="C1493" t="s">
        <v>656</v>
      </c>
      <c r="D1493" t="s">
        <v>657</v>
      </c>
      <c r="E1493">
        <v>20019098</v>
      </c>
      <c r="F1493" t="s">
        <v>698</v>
      </c>
      <c r="G1493">
        <v>595603</v>
      </c>
      <c r="H1493" s="184">
        <v>44134</v>
      </c>
      <c r="I1493" s="184">
        <v>44134</v>
      </c>
      <c r="J1493" t="s">
        <v>699</v>
      </c>
      <c r="K1493">
        <v>60000</v>
      </c>
      <c r="L1493" t="s">
        <v>253</v>
      </c>
    </row>
    <row r="1494" spans="1:12" x14ac:dyDescent="0.4">
      <c r="A1494" t="s">
        <v>168</v>
      </c>
      <c r="B1494" t="s">
        <v>5</v>
      </c>
      <c r="C1494" t="s">
        <v>656</v>
      </c>
      <c r="D1494" t="s">
        <v>657</v>
      </c>
      <c r="E1494">
        <v>20019098</v>
      </c>
      <c r="F1494" t="s">
        <v>698</v>
      </c>
      <c r="G1494">
        <v>595603</v>
      </c>
      <c r="H1494" s="184">
        <v>44134</v>
      </c>
      <c r="I1494" s="184">
        <v>44134</v>
      </c>
      <c r="J1494" t="s">
        <v>699</v>
      </c>
      <c r="K1494">
        <v>60000</v>
      </c>
      <c r="L1494" t="s">
        <v>254</v>
      </c>
    </row>
    <row r="1495" spans="1:12" x14ac:dyDescent="0.4">
      <c r="A1495" t="s">
        <v>168</v>
      </c>
      <c r="B1495" t="s">
        <v>5</v>
      </c>
      <c r="C1495" t="s">
        <v>656</v>
      </c>
      <c r="D1495" t="s">
        <v>657</v>
      </c>
      <c r="E1495">
        <v>20019098</v>
      </c>
      <c r="F1495" t="s">
        <v>698</v>
      </c>
      <c r="G1495">
        <v>595603</v>
      </c>
      <c r="H1495" s="184">
        <v>44134</v>
      </c>
      <c r="I1495" s="184">
        <v>44134</v>
      </c>
      <c r="J1495" t="s">
        <v>699</v>
      </c>
      <c r="K1495">
        <v>60000</v>
      </c>
      <c r="L1495" t="s">
        <v>255</v>
      </c>
    </row>
    <row r="1496" spans="1:12" x14ac:dyDescent="0.4">
      <c r="A1496" t="s">
        <v>168</v>
      </c>
      <c r="B1496" t="s">
        <v>5</v>
      </c>
      <c r="C1496" t="s">
        <v>664</v>
      </c>
      <c r="D1496" t="s">
        <v>665</v>
      </c>
      <c r="E1496">
        <v>20020209</v>
      </c>
      <c r="F1496" t="s">
        <v>700</v>
      </c>
      <c r="G1496">
        <v>598255</v>
      </c>
      <c r="H1496" s="184">
        <v>44285</v>
      </c>
      <c r="I1496" s="184">
        <v>44286</v>
      </c>
      <c r="J1496" t="s">
        <v>478</v>
      </c>
      <c r="K1496">
        <v>60000</v>
      </c>
      <c r="L1496" t="s">
        <v>242</v>
      </c>
    </row>
    <row r="1497" spans="1:12" x14ac:dyDescent="0.4">
      <c r="A1497" t="s">
        <v>168</v>
      </c>
      <c r="B1497" t="s">
        <v>5</v>
      </c>
      <c r="C1497" t="s">
        <v>664</v>
      </c>
      <c r="D1497" t="s">
        <v>665</v>
      </c>
      <c r="E1497">
        <v>20020209</v>
      </c>
      <c r="F1497" t="s">
        <v>700</v>
      </c>
      <c r="G1497">
        <v>598255</v>
      </c>
      <c r="H1497" s="184">
        <v>44285</v>
      </c>
      <c r="I1497" s="184">
        <v>44286</v>
      </c>
      <c r="J1497" t="s">
        <v>478</v>
      </c>
      <c r="K1497">
        <v>60000</v>
      </c>
      <c r="L1497" t="s">
        <v>243</v>
      </c>
    </row>
    <row r="1498" spans="1:12" x14ac:dyDescent="0.4">
      <c r="A1498" t="s">
        <v>168</v>
      </c>
      <c r="B1498" t="s">
        <v>5</v>
      </c>
      <c r="C1498" t="s">
        <v>664</v>
      </c>
      <c r="D1498" t="s">
        <v>665</v>
      </c>
      <c r="E1498">
        <v>20020209</v>
      </c>
      <c r="F1498" t="s">
        <v>700</v>
      </c>
      <c r="G1498">
        <v>598255</v>
      </c>
      <c r="H1498" s="184">
        <v>44285</v>
      </c>
      <c r="I1498" s="184">
        <v>44286</v>
      </c>
      <c r="J1498" t="s">
        <v>478</v>
      </c>
      <c r="K1498">
        <v>60000</v>
      </c>
      <c r="L1498" t="s">
        <v>244</v>
      </c>
    </row>
    <row r="1499" spans="1:12" x14ac:dyDescent="0.4">
      <c r="A1499" t="s">
        <v>168</v>
      </c>
      <c r="B1499" t="s">
        <v>5</v>
      </c>
      <c r="C1499" t="s">
        <v>664</v>
      </c>
      <c r="D1499" t="s">
        <v>665</v>
      </c>
      <c r="E1499">
        <v>20020209</v>
      </c>
      <c r="F1499" t="s">
        <v>700</v>
      </c>
      <c r="G1499">
        <v>598255</v>
      </c>
      <c r="H1499" s="184">
        <v>44285</v>
      </c>
      <c r="I1499" s="184">
        <v>44286</v>
      </c>
      <c r="J1499" t="s">
        <v>478</v>
      </c>
      <c r="K1499">
        <v>60000</v>
      </c>
      <c r="L1499" t="s">
        <v>245</v>
      </c>
    </row>
    <row r="1500" spans="1:12" x14ac:dyDescent="0.4">
      <c r="A1500" t="s">
        <v>168</v>
      </c>
      <c r="B1500" t="s">
        <v>5</v>
      </c>
      <c r="C1500" t="s">
        <v>664</v>
      </c>
      <c r="D1500" t="s">
        <v>665</v>
      </c>
      <c r="E1500">
        <v>20020209</v>
      </c>
      <c r="F1500" t="s">
        <v>700</v>
      </c>
      <c r="G1500">
        <v>598255</v>
      </c>
      <c r="H1500" s="184">
        <v>44285</v>
      </c>
      <c r="I1500" s="184">
        <v>44286</v>
      </c>
      <c r="J1500" t="s">
        <v>478</v>
      </c>
      <c r="K1500">
        <v>60000</v>
      </c>
      <c r="L1500" t="s">
        <v>246</v>
      </c>
    </row>
    <row r="1501" spans="1:12" x14ac:dyDescent="0.4">
      <c r="A1501" t="s">
        <v>168</v>
      </c>
      <c r="B1501" t="s">
        <v>5</v>
      </c>
      <c r="C1501" t="s">
        <v>664</v>
      </c>
      <c r="D1501" t="s">
        <v>665</v>
      </c>
      <c r="E1501">
        <v>20020209</v>
      </c>
      <c r="F1501" t="s">
        <v>700</v>
      </c>
      <c r="G1501">
        <v>598255</v>
      </c>
      <c r="H1501" s="184">
        <v>44285</v>
      </c>
      <c r="I1501" s="184">
        <v>44286</v>
      </c>
      <c r="J1501" t="s">
        <v>478</v>
      </c>
      <c r="K1501">
        <v>60000</v>
      </c>
      <c r="L1501" t="s">
        <v>247</v>
      </c>
    </row>
    <row r="1502" spans="1:12" x14ac:dyDescent="0.4">
      <c r="A1502" t="s">
        <v>168</v>
      </c>
      <c r="B1502" t="s">
        <v>5</v>
      </c>
      <c r="C1502" t="s">
        <v>656</v>
      </c>
      <c r="D1502" t="s">
        <v>657</v>
      </c>
      <c r="E1502">
        <v>20020502</v>
      </c>
      <c r="F1502" t="s">
        <v>701</v>
      </c>
      <c r="G1502">
        <v>597973</v>
      </c>
      <c r="H1502" s="184">
        <v>44281</v>
      </c>
      <c r="I1502" s="184">
        <v>44293</v>
      </c>
      <c r="J1502" t="s">
        <v>356</v>
      </c>
      <c r="K1502">
        <v>60000</v>
      </c>
      <c r="L1502" t="s">
        <v>311</v>
      </c>
    </row>
    <row r="1503" spans="1:12" x14ac:dyDescent="0.4">
      <c r="A1503" t="s">
        <v>168</v>
      </c>
      <c r="B1503" t="s">
        <v>5</v>
      </c>
      <c r="C1503" t="s">
        <v>656</v>
      </c>
      <c r="D1503" t="s">
        <v>657</v>
      </c>
      <c r="E1503">
        <v>20020502</v>
      </c>
      <c r="F1503" t="s">
        <v>701</v>
      </c>
      <c r="G1503">
        <v>597973</v>
      </c>
      <c r="H1503" s="184">
        <v>44281</v>
      </c>
      <c r="I1503" s="184">
        <v>44293</v>
      </c>
      <c r="J1503" t="s">
        <v>356</v>
      </c>
      <c r="K1503">
        <v>60000</v>
      </c>
      <c r="L1503" t="s">
        <v>312</v>
      </c>
    </row>
    <row r="1504" spans="1:12" x14ac:dyDescent="0.4">
      <c r="A1504" t="s">
        <v>168</v>
      </c>
      <c r="B1504" t="s">
        <v>5</v>
      </c>
      <c r="C1504" t="s">
        <v>656</v>
      </c>
      <c r="D1504" t="s">
        <v>657</v>
      </c>
      <c r="E1504">
        <v>20020502</v>
      </c>
      <c r="F1504" t="s">
        <v>701</v>
      </c>
      <c r="G1504">
        <v>597973</v>
      </c>
      <c r="H1504" s="184">
        <v>44281</v>
      </c>
      <c r="I1504" s="184">
        <v>44293</v>
      </c>
      <c r="J1504" t="s">
        <v>356</v>
      </c>
      <c r="K1504">
        <v>60000</v>
      </c>
      <c r="L1504" t="s">
        <v>313</v>
      </c>
    </row>
    <row r="1505" spans="1:12" x14ac:dyDescent="0.4">
      <c r="A1505" t="s">
        <v>168</v>
      </c>
      <c r="B1505" t="s">
        <v>5</v>
      </c>
      <c r="C1505" t="s">
        <v>656</v>
      </c>
      <c r="D1505" t="s">
        <v>657</v>
      </c>
      <c r="E1505">
        <v>20020502</v>
      </c>
      <c r="F1505" t="s">
        <v>701</v>
      </c>
      <c r="G1505">
        <v>597973</v>
      </c>
      <c r="H1505" s="184">
        <v>44281</v>
      </c>
      <c r="I1505" s="184">
        <v>44293</v>
      </c>
      <c r="J1505" t="s">
        <v>356</v>
      </c>
      <c r="K1505">
        <v>60000</v>
      </c>
      <c r="L1505" t="s">
        <v>314</v>
      </c>
    </row>
    <row r="1506" spans="1:12" x14ac:dyDescent="0.4">
      <c r="A1506" t="s">
        <v>168</v>
      </c>
      <c r="B1506" t="s">
        <v>5</v>
      </c>
      <c r="C1506" t="s">
        <v>656</v>
      </c>
      <c r="D1506" t="s">
        <v>657</v>
      </c>
      <c r="E1506">
        <v>20020502</v>
      </c>
      <c r="F1506" t="s">
        <v>701</v>
      </c>
      <c r="G1506">
        <v>597973</v>
      </c>
      <c r="H1506" s="184">
        <v>44281</v>
      </c>
      <c r="I1506" s="184">
        <v>44293</v>
      </c>
      <c r="J1506" t="s">
        <v>356</v>
      </c>
      <c r="K1506">
        <v>60000</v>
      </c>
      <c r="L1506" t="s">
        <v>315</v>
      </c>
    </row>
    <row r="1507" spans="1:12" x14ac:dyDescent="0.4">
      <c r="A1507" t="s">
        <v>168</v>
      </c>
      <c r="B1507" t="s">
        <v>5</v>
      </c>
      <c r="C1507" t="s">
        <v>656</v>
      </c>
      <c r="D1507" t="s">
        <v>657</v>
      </c>
      <c r="E1507">
        <v>20020502</v>
      </c>
      <c r="F1507" t="s">
        <v>701</v>
      </c>
      <c r="G1507">
        <v>597973</v>
      </c>
      <c r="H1507" s="184">
        <v>44281</v>
      </c>
      <c r="I1507" s="184">
        <v>44293</v>
      </c>
      <c r="J1507" t="s">
        <v>356</v>
      </c>
      <c r="K1507">
        <v>60000</v>
      </c>
      <c r="L1507" t="s">
        <v>316</v>
      </c>
    </row>
    <row r="1508" spans="1:12" x14ac:dyDescent="0.4">
      <c r="A1508" t="s">
        <v>169</v>
      </c>
      <c r="B1508" t="s">
        <v>6</v>
      </c>
      <c r="C1508" t="s">
        <v>702</v>
      </c>
      <c r="D1508" t="s">
        <v>703</v>
      </c>
      <c r="E1508">
        <v>10008096</v>
      </c>
      <c r="F1508" t="s">
        <v>704</v>
      </c>
      <c r="G1508">
        <v>596380</v>
      </c>
      <c r="H1508" s="184">
        <v>44176</v>
      </c>
      <c r="I1508" s="184">
        <v>44189</v>
      </c>
      <c r="J1508" t="s">
        <v>576</v>
      </c>
      <c r="K1508">
        <v>60000</v>
      </c>
      <c r="L1508" t="s">
        <v>186</v>
      </c>
    </row>
    <row r="1509" spans="1:12" x14ac:dyDescent="0.4">
      <c r="A1509" t="s">
        <v>169</v>
      </c>
      <c r="B1509" t="s">
        <v>6</v>
      </c>
      <c r="C1509" t="s">
        <v>702</v>
      </c>
      <c r="D1509" t="s">
        <v>703</v>
      </c>
      <c r="E1509">
        <v>10008096</v>
      </c>
      <c r="F1509" t="s">
        <v>704</v>
      </c>
      <c r="G1509">
        <v>596380</v>
      </c>
      <c r="H1509" s="184">
        <v>44176</v>
      </c>
      <c r="I1509" s="184">
        <v>44189</v>
      </c>
      <c r="J1509" t="s">
        <v>576</v>
      </c>
      <c r="K1509">
        <v>60000</v>
      </c>
      <c r="L1509" t="s">
        <v>197</v>
      </c>
    </row>
    <row r="1510" spans="1:12" x14ac:dyDescent="0.4">
      <c r="A1510" t="s">
        <v>169</v>
      </c>
      <c r="B1510" t="s">
        <v>6</v>
      </c>
      <c r="C1510" t="s">
        <v>702</v>
      </c>
      <c r="D1510" t="s">
        <v>703</v>
      </c>
      <c r="E1510">
        <v>10008096</v>
      </c>
      <c r="F1510" t="s">
        <v>704</v>
      </c>
      <c r="G1510">
        <v>596380</v>
      </c>
      <c r="H1510" s="184">
        <v>44176</v>
      </c>
      <c r="I1510" s="184">
        <v>44189</v>
      </c>
      <c r="J1510" t="s">
        <v>576</v>
      </c>
      <c r="K1510">
        <v>60000</v>
      </c>
      <c r="L1510" t="s">
        <v>198</v>
      </c>
    </row>
    <row r="1511" spans="1:12" x14ac:dyDescent="0.4">
      <c r="A1511" t="s">
        <v>169</v>
      </c>
      <c r="B1511" t="s">
        <v>6</v>
      </c>
      <c r="C1511" t="s">
        <v>702</v>
      </c>
      <c r="D1511" t="s">
        <v>703</v>
      </c>
      <c r="E1511">
        <v>10008096</v>
      </c>
      <c r="F1511" t="s">
        <v>704</v>
      </c>
      <c r="G1511">
        <v>596380</v>
      </c>
      <c r="H1511" s="184">
        <v>44176</v>
      </c>
      <c r="I1511" s="184">
        <v>44189</v>
      </c>
      <c r="J1511" t="s">
        <v>576</v>
      </c>
      <c r="K1511">
        <v>60000</v>
      </c>
      <c r="L1511" t="s">
        <v>199</v>
      </c>
    </row>
    <row r="1512" spans="1:12" x14ac:dyDescent="0.4">
      <c r="A1512" t="s">
        <v>169</v>
      </c>
      <c r="B1512" t="s">
        <v>6</v>
      </c>
      <c r="C1512" t="s">
        <v>702</v>
      </c>
      <c r="D1512" t="s">
        <v>703</v>
      </c>
      <c r="E1512">
        <v>10008096</v>
      </c>
      <c r="F1512" t="s">
        <v>704</v>
      </c>
      <c r="G1512">
        <v>596380</v>
      </c>
      <c r="H1512" s="184">
        <v>44176</v>
      </c>
      <c r="I1512" s="184">
        <v>44189</v>
      </c>
      <c r="J1512" t="s">
        <v>576</v>
      </c>
      <c r="K1512">
        <v>60000</v>
      </c>
      <c r="L1512" t="s">
        <v>200</v>
      </c>
    </row>
    <row r="1513" spans="1:12" x14ac:dyDescent="0.4">
      <c r="A1513" t="s">
        <v>169</v>
      </c>
      <c r="B1513" t="s">
        <v>6</v>
      </c>
      <c r="C1513" t="s">
        <v>702</v>
      </c>
      <c r="D1513" t="s">
        <v>703</v>
      </c>
      <c r="E1513">
        <v>10008096</v>
      </c>
      <c r="F1513" t="s">
        <v>704</v>
      </c>
      <c r="G1513">
        <v>596380</v>
      </c>
      <c r="H1513" s="184">
        <v>44176</v>
      </c>
      <c r="I1513" s="184">
        <v>44189</v>
      </c>
      <c r="J1513" t="s">
        <v>576</v>
      </c>
      <c r="K1513">
        <v>60000</v>
      </c>
      <c r="L1513" t="s">
        <v>302</v>
      </c>
    </row>
    <row r="1514" spans="1:12" x14ac:dyDescent="0.4">
      <c r="A1514" t="s">
        <v>169</v>
      </c>
      <c r="B1514" t="s">
        <v>6</v>
      </c>
      <c r="C1514" t="s">
        <v>702</v>
      </c>
      <c r="D1514" t="s">
        <v>703</v>
      </c>
      <c r="E1514">
        <v>10010636</v>
      </c>
      <c r="F1514" t="s">
        <v>705</v>
      </c>
      <c r="G1514">
        <v>597939</v>
      </c>
      <c r="H1514" s="184">
        <v>44251</v>
      </c>
      <c r="I1514" s="184">
        <v>44258</v>
      </c>
      <c r="J1514" t="s">
        <v>342</v>
      </c>
      <c r="K1514">
        <v>60000</v>
      </c>
      <c r="L1514" t="s">
        <v>242</v>
      </c>
    </row>
    <row r="1515" spans="1:12" x14ac:dyDescent="0.4">
      <c r="A1515" t="s">
        <v>169</v>
      </c>
      <c r="B1515" t="s">
        <v>6</v>
      </c>
      <c r="C1515" t="s">
        <v>702</v>
      </c>
      <c r="D1515" t="s">
        <v>703</v>
      </c>
      <c r="E1515">
        <v>10010636</v>
      </c>
      <c r="F1515" t="s">
        <v>705</v>
      </c>
      <c r="G1515">
        <v>597939</v>
      </c>
      <c r="H1515" s="184">
        <v>44251</v>
      </c>
      <c r="I1515" s="184">
        <v>44258</v>
      </c>
      <c r="J1515" t="s">
        <v>342</v>
      </c>
      <c r="K1515">
        <v>60000</v>
      </c>
      <c r="L1515" t="s">
        <v>243</v>
      </c>
    </row>
    <row r="1516" spans="1:12" x14ac:dyDescent="0.4">
      <c r="A1516" t="s">
        <v>169</v>
      </c>
      <c r="B1516" t="s">
        <v>6</v>
      </c>
      <c r="C1516" t="s">
        <v>702</v>
      </c>
      <c r="D1516" t="s">
        <v>703</v>
      </c>
      <c r="E1516">
        <v>10010636</v>
      </c>
      <c r="F1516" t="s">
        <v>705</v>
      </c>
      <c r="G1516">
        <v>597939</v>
      </c>
      <c r="H1516" s="184">
        <v>44251</v>
      </c>
      <c r="I1516" s="184">
        <v>44258</v>
      </c>
      <c r="J1516" t="s">
        <v>342</v>
      </c>
      <c r="K1516">
        <v>60000</v>
      </c>
      <c r="L1516" t="s">
        <v>244</v>
      </c>
    </row>
    <row r="1517" spans="1:12" x14ac:dyDescent="0.4">
      <c r="A1517" t="s">
        <v>169</v>
      </c>
      <c r="B1517" t="s">
        <v>6</v>
      </c>
      <c r="C1517" t="s">
        <v>702</v>
      </c>
      <c r="D1517" t="s">
        <v>703</v>
      </c>
      <c r="E1517">
        <v>10010636</v>
      </c>
      <c r="F1517" t="s">
        <v>705</v>
      </c>
      <c r="G1517">
        <v>597939</v>
      </c>
      <c r="H1517" s="184">
        <v>44251</v>
      </c>
      <c r="I1517" s="184">
        <v>44258</v>
      </c>
      <c r="J1517" t="s">
        <v>342</v>
      </c>
      <c r="K1517">
        <v>60000</v>
      </c>
      <c r="L1517" t="s">
        <v>245</v>
      </c>
    </row>
    <row r="1518" spans="1:12" x14ac:dyDescent="0.4">
      <c r="A1518" t="s">
        <v>169</v>
      </c>
      <c r="B1518" t="s">
        <v>6</v>
      </c>
      <c r="C1518" t="s">
        <v>702</v>
      </c>
      <c r="D1518" t="s">
        <v>703</v>
      </c>
      <c r="E1518">
        <v>10010636</v>
      </c>
      <c r="F1518" t="s">
        <v>705</v>
      </c>
      <c r="G1518">
        <v>597939</v>
      </c>
      <c r="H1518" s="184">
        <v>44251</v>
      </c>
      <c r="I1518" s="184">
        <v>44258</v>
      </c>
      <c r="J1518" t="s">
        <v>342</v>
      </c>
      <c r="K1518">
        <v>60000</v>
      </c>
      <c r="L1518" t="s">
        <v>246</v>
      </c>
    </row>
    <row r="1519" spans="1:12" x14ac:dyDescent="0.4">
      <c r="A1519" t="s">
        <v>169</v>
      </c>
      <c r="B1519" t="s">
        <v>6</v>
      </c>
      <c r="C1519" t="s">
        <v>702</v>
      </c>
      <c r="D1519" t="s">
        <v>703</v>
      </c>
      <c r="E1519">
        <v>10010636</v>
      </c>
      <c r="F1519" t="s">
        <v>705</v>
      </c>
      <c r="G1519">
        <v>597939</v>
      </c>
      <c r="H1519" s="184">
        <v>44251</v>
      </c>
      <c r="I1519" s="184">
        <v>44258</v>
      </c>
      <c r="J1519" t="s">
        <v>342</v>
      </c>
      <c r="K1519">
        <v>60000</v>
      </c>
      <c r="L1519" t="s">
        <v>247</v>
      </c>
    </row>
    <row r="1520" spans="1:12" x14ac:dyDescent="0.4">
      <c r="A1520" t="s">
        <v>169</v>
      </c>
      <c r="B1520" t="s">
        <v>6</v>
      </c>
      <c r="C1520" t="s">
        <v>702</v>
      </c>
      <c r="D1520" t="s">
        <v>703</v>
      </c>
      <c r="E1520">
        <v>10013731</v>
      </c>
      <c r="F1520" t="s">
        <v>706</v>
      </c>
      <c r="G1520">
        <v>594244</v>
      </c>
      <c r="H1520" s="184">
        <v>44067</v>
      </c>
      <c r="I1520" s="184">
        <v>44071</v>
      </c>
      <c r="J1520" t="s">
        <v>455</v>
      </c>
      <c r="K1520">
        <v>60000</v>
      </c>
      <c r="L1520" t="s">
        <v>203</v>
      </c>
    </row>
    <row r="1521" spans="1:12" x14ac:dyDescent="0.4">
      <c r="A1521" t="s">
        <v>169</v>
      </c>
      <c r="B1521" t="s">
        <v>6</v>
      </c>
      <c r="C1521" t="s">
        <v>702</v>
      </c>
      <c r="D1521" t="s">
        <v>703</v>
      </c>
      <c r="E1521">
        <v>10013731</v>
      </c>
      <c r="F1521" t="s">
        <v>706</v>
      </c>
      <c r="G1521">
        <v>594244</v>
      </c>
      <c r="H1521" s="184">
        <v>44067</v>
      </c>
      <c r="I1521" s="184">
        <v>44071</v>
      </c>
      <c r="J1521" t="s">
        <v>455</v>
      </c>
      <c r="K1521">
        <v>60000</v>
      </c>
      <c r="L1521" t="s">
        <v>204</v>
      </c>
    </row>
    <row r="1522" spans="1:12" x14ac:dyDescent="0.4">
      <c r="A1522" t="s">
        <v>169</v>
      </c>
      <c r="B1522" t="s">
        <v>6</v>
      </c>
      <c r="C1522" t="s">
        <v>702</v>
      </c>
      <c r="D1522" t="s">
        <v>703</v>
      </c>
      <c r="E1522">
        <v>10013731</v>
      </c>
      <c r="F1522" t="s">
        <v>706</v>
      </c>
      <c r="G1522">
        <v>594244</v>
      </c>
      <c r="H1522" s="184">
        <v>44067</v>
      </c>
      <c r="I1522" s="184">
        <v>44071</v>
      </c>
      <c r="J1522" t="s">
        <v>455</v>
      </c>
      <c r="K1522">
        <v>60000</v>
      </c>
      <c r="L1522" t="s">
        <v>205</v>
      </c>
    </row>
    <row r="1523" spans="1:12" x14ac:dyDescent="0.4">
      <c r="A1523" t="s">
        <v>169</v>
      </c>
      <c r="B1523" t="s">
        <v>6</v>
      </c>
      <c r="C1523" t="s">
        <v>702</v>
      </c>
      <c r="D1523" t="s">
        <v>703</v>
      </c>
      <c r="E1523">
        <v>10013731</v>
      </c>
      <c r="F1523" t="s">
        <v>706</v>
      </c>
      <c r="G1523">
        <v>594244</v>
      </c>
      <c r="H1523" s="184">
        <v>44067</v>
      </c>
      <c r="I1523" s="184">
        <v>44071</v>
      </c>
      <c r="J1523" t="s">
        <v>455</v>
      </c>
      <c r="K1523">
        <v>60000</v>
      </c>
      <c r="L1523" t="s">
        <v>206</v>
      </c>
    </row>
    <row r="1524" spans="1:12" x14ac:dyDescent="0.4">
      <c r="A1524" t="s">
        <v>169</v>
      </c>
      <c r="B1524" t="s">
        <v>6</v>
      </c>
      <c r="C1524" t="s">
        <v>702</v>
      </c>
      <c r="D1524" t="s">
        <v>703</v>
      </c>
      <c r="E1524">
        <v>10013731</v>
      </c>
      <c r="F1524" t="s">
        <v>706</v>
      </c>
      <c r="G1524">
        <v>594244</v>
      </c>
      <c r="H1524" s="184">
        <v>44067</v>
      </c>
      <c r="I1524" s="184">
        <v>44071</v>
      </c>
      <c r="J1524" t="s">
        <v>455</v>
      </c>
      <c r="K1524">
        <v>60000</v>
      </c>
      <c r="L1524" t="s">
        <v>207</v>
      </c>
    </row>
    <row r="1525" spans="1:12" x14ac:dyDescent="0.4">
      <c r="A1525" t="s">
        <v>169</v>
      </c>
      <c r="B1525" t="s">
        <v>6</v>
      </c>
      <c r="C1525" t="s">
        <v>702</v>
      </c>
      <c r="D1525" t="s">
        <v>703</v>
      </c>
      <c r="E1525">
        <v>10013731</v>
      </c>
      <c r="F1525" t="s">
        <v>706</v>
      </c>
      <c r="G1525">
        <v>594244</v>
      </c>
      <c r="H1525" s="184">
        <v>44067</v>
      </c>
      <c r="I1525" s="184">
        <v>44071</v>
      </c>
      <c r="J1525" t="s">
        <v>455</v>
      </c>
      <c r="K1525">
        <v>60000</v>
      </c>
      <c r="L1525" t="s">
        <v>208</v>
      </c>
    </row>
    <row r="1526" spans="1:12" x14ac:dyDescent="0.4">
      <c r="A1526" t="s">
        <v>169</v>
      </c>
      <c r="B1526" t="s">
        <v>6</v>
      </c>
      <c r="C1526" t="s">
        <v>702</v>
      </c>
      <c r="D1526" t="s">
        <v>703</v>
      </c>
      <c r="E1526">
        <v>10019222</v>
      </c>
      <c r="F1526" t="s">
        <v>707</v>
      </c>
      <c r="G1526">
        <v>598994</v>
      </c>
      <c r="H1526" s="184"/>
      <c r="I1526" s="184"/>
      <c r="J1526" t="s">
        <v>679</v>
      </c>
      <c r="K1526">
        <v>60000</v>
      </c>
      <c r="L1526" t="s">
        <v>258</v>
      </c>
    </row>
    <row r="1527" spans="1:12" x14ac:dyDescent="0.4">
      <c r="A1527" t="s">
        <v>169</v>
      </c>
      <c r="B1527" t="s">
        <v>6</v>
      </c>
      <c r="C1527" t="s">
        <v>702</v>
      </c>
      <c r="D1527" t="s">
        <v>703</v>
      </c>
      <c r="E1527">
        <v>10019222</v>
      </c>
      <c r="F1527" t="s">
        <v>707</v>
      </c>
      <c r="G1527">
        <v>598994</v>
      </c>
      <c r="H1527" s="184"/>
      <c r="I1527" s="184"/>
      <c r="J1527" t="s">
        <v>679</v>
      </c>
      <c r="K1527">
        <v>60000</v>
      </c>
      <c r="L1527" t="s">
        <v>259</v>
      </c>
    </row>
    <row r="1528" spans="1:12" x14ac:dyDescent="0.4">
      <c r="A1528" t="s">
        <v>169</v>
      </c>
      <c r="B1528" t="s">
        <v>6</v>
      </c>
      <c r="C1528" t="s">
        <v>702</v>
      </c>
      <c r="D1528" t="s">
        <v>703</v>
      </c>
      <c r="E1528">
        <v>10019222</v>
      </c>
      <c r="F1528" t="s">
        <v>707</v>
      </c>
      <c r="G1528">
        <v>598994</v>
      </c>
      <c r="H1528" s="184"/>
      <c r="I1528" s="184"/>
      <c r="J1528" t="s">
        <v>679</v>
      </c>
      <c r="K1528">
        <v>60000</v>
      </c>
      <c r="L1528" t="s">
        <v>260</v>
      </c>
    </row>
    <row r="1529" spans="1:12" x14ac:dyDescent="0.4">
      <c r="A1529" t="s">
        <v>169</v>
      </c>
      <c r="B1529" t="s">
        <v>6</v>
      </c>
      <c r="C1529" t="s">
        <v>702</v>
      </c>
      <c r="D1529" t="s">
        <v>703</v>
      </c>
      <c r="E1529">
        <v>10019222</v>
      </c>
      <c r="F1529" t="s">
        <v>707</v>
      </c>
      <c r="G1529">
        <v>598994</v>
      </c>
      <c r="H1529" s="184"/>
      <c r="I1529" s="184"/>
      <c r="J1529" t="s">
        <v>679</v>
      </c>
      <c r="K1529">
        <v>60000</v>
      </c>
      <c r="L1529" t="s">
        <v>261</v>
      </c>
    </row>
    <row r="1530" spans="1:12" x14ac:dyDescent="0.4">
      <c r="A1530" t="s">
        <v>169</v>
      </c>
      <c r="B1530" t="s">
        <v>6</v>
      </c>
      <c r="C1530" t="s">
        <v>702</v>
      </c>
      <c r="D1530" t="s">
        <v>703</v>
      </c>
      <c r="E1530">
        <v>10019222</v>
      </c>
      <c r="F1530" t="s">
        <v>707</v>
      </c>
      <c r="G1530">
        <v>598994</v>
      </c>
      <c r="H1530" s="184"/>
      <c r="I1530" s="184"/>
      <c r="J1530" t="s">
        <v>679</v>
      </c>
      <c r="K1530">
        <v>60000</v>
      </c>
      <c r="L1530" t="s">
        <v>262</v>
      </c>
    </row>
    <row r="1531" spans="1:12" x14ac:dyDescent="0.4">
      <c r="A1531" t="s">
        <v>169</v>
      </c>
      <c r="B1531" t="s">
        <v>6</v>
      </c>
      <c r="C1531" t="s">
        <v>702</v>
      </c>
      <c r="D1531" t="s">
        <v>703</v>
      </c>
      <c r="E1531">
        <v>10019222</v>
      </c>
      <c r="F1531" t="s">
        <v>707</v>
      </c>
      <c r="G1531">
        <v>598994</v>
      </c>
      <c r="H1531" s="184"/>
      <c r="I1531" s="184"/>
      <c r="J1531" t="s">
        <v>679</v>
      </c>
      <c r="K1531">
        <v>60000</v>
      </c>
      <c r="L1531" t="s">
        <v>263</v>
      </c>
    </row>
    <row r="1532" spans="1:12" x14ac:dyDescent="0.4">
      <c r="A1532" t="s">
        <v>169</v>
      </c>
      <c r="B1532" t="s">
        <v>6</v>
      </c>
      <c r="C1532" t="s">
        <v>702</v>
      </c>
      <c r="D1532" t="s">
        <v>703</v>
      </c>
      <c r="E1532">
        <v>10023303</v>
      </c>
      <c r="F1532" t="s">
        <v>708</v>
      </c>
      <c r="G1532">
        <v>597308</v>
      </c>
      <c r="H1532" s="184">
        <v>44215</v>
      </c>
      <c r="I1532" s="184">
        <v>44224</v>
      </c>
      <c r="J1532" t="s">
        <v>480</v>
      </c>
      <c r="K1532">
        <v>60000</v>
      </c>
      <c r="L1532" t="s">
        <v>238</v>
      </c>
    </row>
    <row r="1533" spans="1:12" x14ac:dyDescent="0.4">
      <c r="A1533" t="s">
        <v>169</v>
      </c>
      <c r="B1533" t="s">
        <v>6</v>
      </c>
      <c r="C1533" t="s">
        <v>702</v>
      </c>
      <c r="D1533" t="s">
        <v>703</v>
      </c>
      <c r="E1533">
        <v>10023303</v>
      </c>
      <c r="F1533" t="s">
        <v>708</v>
      </c>
      <c r="G1533">
        <v>597308</v>
      </c>
      <c r="H1533" s="184">
        <v>44215</v>
      </c>
      <c r="I1533" s="184">
        <v>44224</v>
      </c>
      <c r="J1533" t="s">
        <v>480</v>
      </c>
      <c r="K1533">
        <v>60000</v>
      </c>
      <c r="L1533" t="s">
        <v>187</v>
      </c>
    </row>
    <row r="1534" spans="1:12" x14ac:dyDescent="0.4">
      <c r="A1534" t="s">
        <v>169</v>
      </c>
      <c r="B1534" t="s">
        <v>6</v>
      </c>
      <c r="C1534" t="s">
        <v>702</v>
      </c>
      <c r="D1534" t="s">
        <v>703</v>
      </c>
      <c r="E1534">
        <v>10023303</v>
      </c>
      <c r="F1534" t="s">
        <v>708</v>
      </c>
      <c r="G1534">
        <v>597308</v>
      </c>
      <c r="H1534" s="184">
        <v>44215</v>
      </c>
      <c r="I1534" s="184">
        <v>44224</v>
      </c>
      <c r="J1534" t="s">
        <v>480</v>
      </c>
      <c r="K1534">
        <v>60000</v>
      </c>
      <c r="L1534" t="s">
        <v>188</v>
      </c>
    </row>
    <row r="1535" spans="1:12" x14ac:dyDescent="0.4">
      <c r="A1535" t="s">
        <v>169</v>
      </c>
      <c r="B1535" t="s">
        <v>6</v>
      </c>
      <c r="C1535" t="s">
        <v>702</v>
      </c>
      <c r="D1535" t="s">
        <v>703</v>
      </c>
      <c r="E1535">
        <v>10023303</v>
      </c>
      <c r="F1535" t="s">
        <v>708</v>
      </c>
      <c r="G1535">
        <v>597308</v>
      </c>
      <c r="H1535" s="184">
        <v>44215</v>
      </c>
      <c r="I1535" s="184">
        <v>44224</v>
      </c>
      <c r="J1535" t="s">
        <v>480</v>
      </c>
      <c r="K1535">
        <v>60000</v>
      </c>
      <c r="L1535" t="s">
        <v>189</v>
      </c>
    </row>
    <row r="1536" spans="1:12" x14ac:dyDescent="0.4">
      <c r="A1536" t="s">
        <v>169</v>
      </c>
      <c r="B1536" t="s">
        <v>6</v>
      </c>
      <c r="C1536" t="s">
        <v>702</v>
      </c>
      <c r="D1536" t="s">
        <v>703</v>
      </c>
      <c r="E1536">
        <v>10023303</v>
      </c>
      <c r="F1536" t="s">
        <v>708</v>
      </c>
      <c r="G1536">
        <v>597308</v>
      </c>
      <c r="H1536" s="184">
        <v>44215</v>
      </c>
      <c r="I1536" s="184">
        <v>44224</v>
      </c>
      <c r="J1536" t="s">
        <v>480</v>
      </c>
      <c r="K1536">
        <v>60000</v>
      </c>
      <c r="L1536" t="s">
        <v>190</v>
      </c>
    </row>
    <row r="1537" spans="1:12" x14ac:dyDescent="0.4">
      <c r="A1537" t="s">
        <v>169</v>
      </c>
      <c r="B1537" t="s">
        <v>6</v>
      </c>
      <c r="C1537" t="s">
        <v>702</v>
      </c>
      <c r="D1537" t="s">
        <v>703</v>
      </c>
      <c r="E1537">
        <v>10023303</v>
      </c>
      <c r="F1537" t="s">
        <v>708</v>
      </c>
      <c r="G1537">
        <v>597308</v>
      </c>
      <c r="H1537" s="184">
        <v>44215</v>
      </c>
      <c r="I1537" s="184">
        <v>44224</v>
      </c>
      <c r="J1537" t="s">
        <v>480</v>
      </c>
      <c r="K1537">
        <v>60000</v>
      </c>
      <c r="L1537" t="s">
        <v>239</v>
      </c>
    </row>
    <row r="1538" spans="1:12" x14ac:dyDescent="0.4">
      <c r="A1538" t="s">
        <v>169</v>
      </c>
      <c r="B1538" t="s">
        <v>6</v>
      </c>
      <c r="C1538" t="s">
        <v>702</v>
      </c>
      <c r="D1538" t="s">
        <v>703</v>
      </c>
      <c r="E1538">
        <v>10024720</v>
      </c>
      <c r="F1538" t="s">
        <v>709</v>
      </c>
      <c r="G1538">
        <v>597758</v>
      </c>
      <c r="H1538" s="184">
        <v>44244</v>
      </c>
      <c r="I1538" s="184">
        <v>44253</v>
      </c>
      <c r="J1538" t="s">
        <v>285</v>
      </c>
      <c r="K1538">
        <v>60000</v>
      </c>
      <c r="L1538" t="s">
        <v>230</v>
      </c>
    </row>
    <row r="1539" spans="1:12" x14ac:dyDescent="0.4">
      <c r="A1539" t="s">
        <v>169</v>
      </c>
      <c r="B1539" t="s">
        <v>6</v>
      </c>
      <c r="C1539" t="s">
        <v>702</v>
      </c>
      <c r="D1539" t="s">
        <v>703</v>
      </c>
      <c r="E1539">
        <v>10024720</v>
      </c>
      <c r="F1539" t="s">
        <v>709</v>
      </c>
      <c r="G1539">
        <v>597758</v>
      </c>
      <c r="H1539" s="184">
        <v>44244</v>
      </c>
      <c r="I1539" s="184">
        <v>44253</v>
      </c>
      <c r="J1539" t="s">
        <v>285</v>
      </c>
      <c r="K1539">
        <v>60000</v>
      </c>
      <c r="L1539" t="s">
        <v>231</v>
      </c>
    </row>
    <row r="1540" spans="1:12" x14ac:dyDescent="0.4">
      <c r="A1540" t="s">
        <v>169</v>
      </c>
      <c r="B1540" t="s">
        <v>6</v>
      </c>
      <c r="C1540" t="s">
        <v>702</v>
      </c>
      <c r="D1540" t="s">
        <v>703</v>
      </c>
      <c r="E1540">
        <v>10024720</v>
      </c>
      <c r="F1540" t="s">
        <v>709</v>
      </c>
      <c r="G1540">
        <v>597758</v>
      </c>
      <c r="H1540" s="184">
        <v>44244</v>
      </c>
      <c r="I1540" s="184">
        <v>44253</v>
      </c>
      <c r="J1540" t="s">
        <v>285</v>
      </c>
      <c r="K1540">
        <v>60000</v>
      </c>
      <c r="L1540" t="s">
        <v>232</v>
      </c>
    </row>
    <row r="1541" spans="1:12" x14ac:dyDescent="0.4">
      <c r="A1541" t="s">
        <v>169</v>
      </c>
      <c r="B1541" t="s">
        <v>6</v>
      </c>
      <c r="C1541" t="s">
        <v>702</v>
      </c>
      <c r="D1541" t="s">
        <v>703</v>
      </c>
      <c r="E1541">
        <v>10024720</v>
      </c>
      <c r="F1541" t="s">
        <v>709</v>
      </c>
      <c r="G1541">
        <v>597758</v>
      </c>
      <c r="H1541" s="184">
        <v>44244</v>
      </c>
      <c r="I1541" s="184">
        <v>44253</v>
      </c>
      <c r="J1541" t="s">
        <v>285</v>
      </c>
      <c r="K1541">
        <v>60000</v>
      </c>
      <c r="L1541" t="s">
        <v>233</v>
      </c>
    </row>
    <row r="1542" spans="1:12" x14ac:dyDescent="0.4">
      <c r="A1542" t="s">
        <v>169</v>
      </c>
      <c r="B1542" t="s">
        <v>6</v>
      </c>
      <c r="C1542" t="s">
        <v>702</v>
      </c>
      <c r="D1542" t="s">
        <v>703</v>
      </c>
      <c r="E1542">
        <v>10024720</v>
      </c>
      <c r="F1542" t="s">
        <v>709</v>
      </c>
      <c r="G1542">
        <v>597758</v>
      </c>
      <c r="H1542" s="184">
        <v>44244</v>
      </c>
      <c r="I1542" s="184">
        <v>44253</v>
      </c>
      <c r="J1542" t="s">
        <v>285</v>
      </c>
      <c r="K1542">
        <v>60000</v>
      </c>
      <c r="L1542" t="s">
        <v>234</v>
      </c>
    </row>
    <row r="1543" spans="1:12" x14ac:dyDescent="0.4">
      <c r="A1543" t="s">
        <v>169</v>
      </c>
      <c r="B1543" t="s">
        <v>6</v>
      </c>
      <c r="C1543" t="s">
        <v>702</v>
      </c>
      <c r="D1543" t="s">
        <v>703</v>
      </c>
      <c r="E1543">
        <v>10024720</v>
      </c>
      <c r="F1543" t="s">
        <v>709</v>
      </c>
      <c r="G1543">
        <v>597758</v>
      </c>
      <c r="H1543" s="184">
        <v>44244</v>
      </c>
      <c r="I1543" s="184">
        <v>44253</v>
      </c>
      <c r="J1543" t="s">
        <v>285</v>
      </c>
      <c r="K1543">
        <v>60000</v>
      </c>
      <c r="L1543" t="s">
        <v>235</v>
      </c>
    </row>
    <row r="1544" spans="1:12" x14ac:dyDescent="0.4">
      <c r="A1544" t="s">
        <v>169</v>
      </c>
      <c r="B1544" t="s">
        <v>6</v>
      </c>
      <c r="C1544" t="s">
        <v>702</v>
      </c>
      <c r="D1544" t="s">
        <v>703</v>
      </c>
      <c r="E1544">
        <v>10025546</v>
      </c>
      <c r="F1544" t="s">
        <v>710</v>
      </c>
      <c r="G1544">
        <v>593815</v>
      </c>
      <c r="H1544" s="184">
        <v>44043</v>
      </c>
      <c r="I1544" s="184">
        <v>44043</v>
      </c>
      <c r="J1544" t="s">
        <v>711</v>
      </c>
      <c r="K1544">
        <v>60000</v>
      </c>
      <c r="L1544" t="s">
        <v>220</v>
      </c>
    </row>
    <row r="1545" spans="1:12" x14ac:dyDescent="0.4">
      <c r="A1545" t="s">
        <v>169</v>
      </c>
      <c r="B1545" t="s">
        <v>6</v>
      </c>
      <c r="C1545" t="s">
        <v>702</v>
      </c>
      <c r="D1545" t="s">
        <v>703</v>
      </c>
      <c r="E1545">
        <v>10025546</v>
      </c>
      <c r="F1545" t="s">
        <v>710</v>
      </c>
      <c r="G1545">
        <v>593815</v>
      </c>
      <c r="H1545" s="184">
        <v>44043</v>
      </c>
      <c r="I1545" s="184">
        <v>44043</v>
      </c>
      <c r="J1545" t="s">
        <v>711</v>
      </c>
      <c r="K1545">
        <v>60000</v>
      </c>
      <c r="L1545" t="s">
        <v>221</v>
      </c>
    </row>
    <row r="1546" spans="1:12" x14ac:dyDescent="0.4">
      <c r="A1546" t="s">
        <v>169</v>
      </c>
      <c r="B1546" t="s">
        <v>6</v>
      </c>
      <c r="C1546" t="s">
        <v>702</v>
      </c>
      <c r="D1546" t="s">
        <v>703</v>
      </c>
      <c r="E1546">
        <v>10025546</v>
      </c>
      <c r="F1546" t="s">
        <v>710</v>
      </c>
      <c r="G1546">
        <v>593815</v>
      </c>
      <c r="H1546" s="184">
        <v>44043</v>
      </c>
      <c r="I1546" s="184">
        <v>44043</v>
      </c>
      <c r="J1546" t="s">
        <v>711</v>
      </c>
      <c r="K1546">
        <v>60000</v>
      </c>
      <c r="L1546" t="s">
        <v>222</v>
      </c>
    </row>
    <row r="1547" spans="1:12" x14ac:dyDescent="0.4">
      <c r="A1547" t="s">
        <v>169</v>
      </c>
      <c r="B1547" t="s">
        <v>6</v>
      </c>
      <c r="C1547" t="s">
        <v>702</v>
      </c>
      <c r="D1547" t="s">
        <v>703</v>
      </c>
      <c r="E1547">
        <v>10025546</v>
      </c>
      <c r="F1547" t="s">
        <v>710</v>
      </c>
      <c r="G1547">
        <v>593815</v>
      </c>
      <c r="H1547" s="184">
        <v>44043</v>
      </c>
      <c r="I1547" s="184">
        <v>44043</v>
      </c>
      <c r="J1547" t="s">
        <v>711</v>
      </c>
      <c r="K1547">
        <v>60000</v>
      </c>
      <c r="L1547" t="s">
        <v>223</v>
      </c>
    </row>
    <row r="1548" spans="1:12" x14ac:dyDescent="0.4">
      <c r="A1548" t="s">
        <v>169</v>
      </c>
      <c r="B1548" t="s">
        <v>6</v>
      </c>
      <c r="C1548" t="s">
        <v>702</v>
      </c>
      <c r="D1548" t="s">
        <v>703</v>
      </c>
      <c r="E1548">
        <v>10025546</v>
      </c>
      <c r="F1548" t="s">
        <v>710</v>
      </c>
      <c r="G1548">
        <v>593815</v>
      </c>
      <c r="H1548" s="184">
        <v>44043</v>
      </c>
      <c r="I1548" s="184">
        <v>44043</v>
      </c>
      <c r="J1548" t="s">
        <v>711</v>
      </c>
      <c r="K1548">
        <v>60000</v>
      </c>
      <c r="L1548" t="s">
        <v>224</v>
      </c>
    </row>
    <row r="1549" spans="1:12" x14ac:dyDescent="0.4">
      <c r="A1549" t="s">
        <v>169</v>
      </c>
      <c r="B1549" t="s">
        <v>6</v>
      </c>
      <c r="C1549" t="s">
        <v>702</v>
      </c>
      <c r="D1549" t="s">
        <v>703</v>
      </c>
      <c r="E1549">
        <v>10025546</v>
      </c>
      <c r="F1549" t="s">
        <v>710</v>
      </c>
      <c r="G1549">
        <v>593815</v>
      </c>
      <c r="H1549" s="184">
        <v>44043</v>
      </c>
      <c r="I1549" s="184">
        <v>44043</v>
      </c>
      <c r="J1549" t="s">
        <v>711</v>
      </c>
      <c r="K1549">
        <v>60000</v>
      </c>
      <c r="L1549" t="s">
        <v>225</v>
      </c>
    </row>
    <row r="1550" spans="1:12" x14ac:dyDescent="0.4">
      <c r="A1550" t="s">
        <v>169</v>
      </c>
      <c r="B1550" t="s">
        <v>6</v>
      </c>
      <c r="C1550" t="s">
        <v>702</v>
      </c>
      <c r="D1550" t="s">
        <v>703</v>
      </c>
      <c r="E1550">
        <v>10025659</v>
      </c>
      <c r="F1550" t="s">
        <v>712</v>
      </c>
      <c r="G1550">
        <v>589408</v>
      </c>
      <c r="H1550" s="184">
        <v>43825</v>
      </c>
      <c r="I1550" s="184">
        <v>43826</v>
      </c>
      <c r="J1550" t="s">
        <v>358</v>
      </c>
      <c r="K1550">
        <v>60000</v>
      </c>
      <c r="L1550" t="s">
        <v>195</v>
      </c>
    </row>
    <row r="1551" spans="1:12" x14ac:dyDescent="0.4">
      <c r="A1551" t="s">
        <v>169</v>
      </c>
      <c r="B1551" t="s">
        <v>6</v>
      </c>
      <c r="C1551" t="s">
        <v>702</v>
      </c>
      <c r="D1551" t="s">
        <v>703</v>
      </c>
      <c r="E1551">
        <v>10025659</v>
      </c>
      <c r="F1551" t="s">
        <v>712</v>
      </c>
      <c r="G1551">
        <v>589408</v>
      </c>
      <c r="H1551" s="184">
        <v>43825</v>
      </c>
      <c r="I1551" s="184">
        <v>43826</v>
      </c>
      <c r="J1551" t="s">
        <v>358</v>
      </c>
      <c r="K1551">
        <v>60000</v>
      </c>
      <c r="L1551" t="s">
        <v>196</v>
      </c>
    </row>
    <row r="1552" spans="1:12" x14ac:dyDescent="0.4">
      <c r="A1552" t="s">
        <v>169</v>
      </c>
      <c r="B1552" t="s">
        <v>6</v>
      </c>
      <c r="C1552" t="s">
        <v>702</v>
      </c>
      <c r="D1552" t="s">
        <v>703</v>
      </c>
      <c r="E1552">
        <v>10025659</v>
      </c>
      <c r="F1552" t="s">
        <v>712</v>
      </c>
      <c r="G1552">
        <v>589408</v>
      </c>
      <c r="H1552" s="184">
        <v>43825</v>
      </c>
      <c r="I1552" s="184">
        <v>43826</v>
      </c>
      <c r="J1552" t="s">
        <v>358</v>
      </c>
      <c r="K1552">
        <v>60000</v>
      </c>
      <c r="L1552" t="s">
        <v>197</v>
      </c>
    </row>
    <row r="1553" spans="1:12" x14ac:dyDescent="0.4">
      <c r="A1553" t="s">
        <v>169</v>
      </c>
      <c r="B1553" t="s">
        <v>6</v>
      </c>
      <c r="C1553" t="s">
        <v>702</v>
      </c>
      <c r="D1553" t="s">
        <v>703</v>
      </c>
      <c r="E1553">
        <v>10025659</v>
      </c>
      <c r="F1553" t="s">
        <v>712</v>
      </c>
      <c r="G1553">
        <v>589408</v>
      </c>
      <c r="H1553" s="184">
        <v>43825</v>
      </c>
      <c r="I1553" s="184">
        <v>43826</v>
      </c>
      <c r="J1553" t="s">
        <v>358</v>
      </c>
      <c r="K1553">
        <v>60000</v>
      </c>
      <c r="L1553" t="s">
        <v>198</v>
      </c>
    </row>
    <row r="1554" spans="1:12" x14ac:dyDescent="0.4">
      <c r="A1554" t="s">
        <v>169</v>
      </c>
      <c r="B1554" t="s">
        <v>6</v>
      </c>
      <c r="C1554" t="s">
        <v>702</v>
      </c>
      <c r="D1554" t="s">
        <v>703</v>
      </c>
      <c r="E1554">
        <v>10025659</v>
      </c>
      <c r="F1554" t="s">
        <v>712</v>
      </c>
      <c r="G1554">
        <v>589408</v>
      </c>
      <c r="H1554" s="184">
        <v>43825</v>
      </c>
      <c r="I1554" s="184">
        <v>43826</v>
      </c>
      <c r="J1554" t="s">
        <v>358</v>
      </c>
      <c r="K1554">
        <v>60000</v>
      </c>
      <c r="L1554" t="s">
        <v>199</v>
      </c>
    </row>
    <row r="1555" spans="1:12" x14ac:dyDescent="0.4">
      <c r="A1555" t="s">
        <v>169</v>
      </c>
      <c r="B1555" t="s">
        <v>6</v>
      </c>
      <c r="C1555" t="s">
        <v>702</v>
      </c>
      <c r="D1555" t="s">
        <v>703</v>
      </c>
      <c r="E1555">
        <v>10025659</v>
      </c>
      <c r="F1555" t="s">
        <v>712</v>
      </c>
      <c r="G1555">
        <v>589408</v>
      </c>
      <c r="H1555" s="184">
        <v>43825</v>
      </c>
      <c r="I1555" s="184">
        <v>43826</v>
      </c>
      <c r="J1555" t="s">
        <v>358</v>
      </c>
      <c r="K1555">
        <v>60000</v>
      </c>
      <c r="L1555" t="s">
        <v>200</v>
      </c>
    </row>
    <row r="1556" spans="1:12" x14ac:dyDescent="0.4">
      <c r="A1556" t="s">
        <v>169</v>
      </c>
      <c r="B1556" t="s">
        <v>6</v>
      </c>
      <c r="C1556" t="s">
        <v>702</v>
      </c>
      <c r="D1556" t="s">
        <v>703</v>
      </c>
      <c r="E1556">
        <v>10028175</v>
      </c>
      <c r="F1556" t="s">
        <v>713</v>
      </c>
      <c r="G1556">
        <v>593634</v>
      </c>
      <c r="H1556" s="184">
        <v>43993</v>
      </c>
      <c r="I1556" s="184">
        <v>43997</v>
      </c>
      <c r="J1556" t="s">
        <v>449</v>
      </c>
      <c r="K1556">
        <v>60000</v>
      </c>
      <c r="L1556" t="s">
        <v>353</v>
      </c>
    </row>
    <row r="1557" spans="1:12" x14ac:dyDescent="0.4">
      <c r="A1557" t="s">
        <v>169</v>
      </c>
      <c r="B1557" t="s">
        <v>6</v>
      </c>
      <c r="C1557" t="s">
        <v>702</v>
      </c>
      <c r="D1557" t="s">
        <v>703</v>
      </c>
      <c r="E1557">
        <v>10028175</v>
      </c>
      <c r="F1557" t="s">
        <v>713</v>
      </c>
      <c r="G1557">
        <v>593634</v>
      </c>
      <c r="H1557" s="184">
        <v>43993</v>
      </c>
      <c r="I1557" s="184">
        <v>43997</v>
      </c>
      <c r="J1557" t="s">
        <v>449</v>
      </c>
      <c r="K1557">
        <v>60000</v>
      </c>
      <c r="L1557" t="s">
        <v>258</v>
      </c>
    </row>
    <row r="1558" spans="1:12" x14ac:dyDescent="0.4">
      <c r="A1558" t="s">
        <v>169</v>
      </c>
      <c r="B1558" t="s">
        <v>6</v>
      </c>
      <c r="C1558" t="s">
        <v>702</v>
      </c>
      <c r="D1558" t="s">
        <v>703</v>
      </c>
      <c r="E1558">
        <v>10028175</v>
      </c>
      <c r="F1558" t="s">
        <v>713</v>
      </c>
      <c r="G1558">
        <v>593634</v>
      </c>
      <c r="H1558" s="184">
        <v>43993</v>
      </c>
      <c r="I1558" s="184">
        <v>43997</v>
      </c>
      <c r="J1558" t="s">
        <v>449</v>
      </c>
      <c r="K1558">
        <v>60000</v>
      </c>
      <c r="L1558" t="s">
        <v>327</v>
      </c>
    </row>
    <row r="1559" spans="1:12" x14ac:dyDescent="0.4">
      <c r="A1559" t="s">
        <v>169</v>
      </c>
      <c r="B1559" t="s">
        <v>6</v>
      </c>
      <c r="C1559" t="s">
        <v>702</v>
      </c>
      <c r="D1559" t="s">
        <v>703</v>
      </c>
      <c r="E1559">
        <v>10028175</v>
      </c>
      <c r="F1559" t="s">
        <v>713</v>
      </c>
      <c r="G1559">
        <v>593634</v>
      </c>
      <c r="H1559" s="184">
        <v>43993</v>
      </c>
      <c r="I1559" s="184">
        <v>43997</v>
      </c>
      <c r="J1559" t="s">
        <v>449</v>
      </c>
      <c r="K1559">
        <v>60000</v>
      </c>
      <c r="L1559" t="s">
        <v>328</v>
      </c>
    </row>
    <row r="1560" spans="1:12" x14ac:dyDescent="0.4">
      <c r="A1560" t="s">
        <v>169</v>
      </c>
      <c r="B1560" t="s">
        <v>6</v>
      </c>
      <c r="C1560" t="s">
        <v>702</v>
      </c>
      <c r="D1560" t="s">
        <v>703</v>
      </c>
      <c r="E1560">
        <v>10028175</v>
      </c>
      <c r="F1560" t="s">
        <v>713</v>
      </c>
      <c r="G1560">
        <v>593634</v>
      </c>
      <c r="H1560" s="184">
        <v>43993</v>
      </c>
      <c r="I1560" s="184">
        <v>43997</v>
      </c>
      <c r="J1560" t="s">
        <v>449</v>
      </c>
      <c r="K1560">
        <v>60000</v>
      </c>
      <c r="L1560" t="s">
        <v>329</v>
      </c>
    </row>
    <row r="1561" spans="1:12" x14ac:dyDescent="0.4">
      <c r="A1561" t="s">
        <v>169</v>
      </c>
      <c r="B1561" t="s">
        <v>6</v>
      </c>
      <c r="C1561" t="s">
        <v>702</v>
      </c>
      <c r="D1561" t="s">
        <v>703</v>
      </c>
      <c r="E1561">
        <v>10028175</v>
      </c>
      <c r="F1561" t="s">
        <v>713</v>
      </c>
      <c r="G1561">
        <v>593634</v>
      </c>
      <c r="H1561" s="184">
        <v>43993</v>
      </c>
      <c r="I1561" s="184">
        <v>43997</v>
      </c>
      <c r="J1561" t="s">
        <v>449</v>
      </c>
      <c r="K1561">
        <v>60000</v>
      </c>
      <c r="L1561" t="s">
        <v>330</v>
      </c>
    </row>
    <row r="1562" spans="1:12" x14ac:dyDescent="0.4">
      <c r="A1562" t="s">
        <v>169</v>
      </c>
      <c r="B1562" t="s">
        <v>6</v>
      </c>
      <c r="C1562" t="s">
        <v>702</v>
      </c>
      <c r="D1562" t="s">
        <v>703</v>
      </c>
      <c r="E1562">
        <v>10028407</v>
      </c>
      <c r="F1562" t="s">
        <v>714</v>
      </c>
      <c r="G1562">
        <v>598291</v>
      </c>
      <c r="H1562" s="184">
        <v>44278</v>
      </c>
      <c r="I1562" s="184">
        <v>44287</v>
      </c>
      <c r="J1562" t="s">
        <v>356</v>
      </c>
      <c r="K1562">
        <v>60000</v>
      </c>
      <c r="L1562" t="s">
        <v>311</v>
      </c>
    </row>
    <row r="1563" spans="1:12" x14ac:dyDescent="0.4">
      <c r="A1563" t="s">
        <v>169</v>
      </c>
      <c r="B1563" t="s">
        <v>6</v>
      </c>
      <c r="C1563" t="s">
        <v>702</v>
      </c>
      <c r="D1563" t="s">
        <v>703</v>
      </c>
      <c r="E1563">
        <v>10028407</v>
      </c>
      <c r="F1563" t="s">
        <v>714</v>
      </c>
      <c r="G1563">
        <v>598291</v>
      </c>
      <c r="H1563" s="184">
        <v>44278</v>
      </c>
      <c r="I1563" s="184">
        <v>44287</v>
      </c>
      <c r="J1563" t="s">
        <v>356</v>
      </c>
      <c r="K1563">
        <v>60000</v>
      </c>
      <c r="L1563" t="s">
        <v>312</v>
      </c>
    </row>
    <row r="1564" spans="1:12" x14ac:dyDescent="0.4">
      <c r="A1564" t="s">
        <v>169</v>
      </c>
      <c r="B1564" t="s">
        <v>6</v>
      </c>
      <c r="C1564" t="s">
        <v>702</v>
      </c>
      <c r="D1564" t="s">
        <v>703</v>
      </c>
      <c r="E1564">
        <v>10028407</v>
      </c>
      <c r="F1564" t="s">
        <v>714</v>
      </c>
      <c r="G1564">
        <v>598291</v>
      </c>
      <c r="H1564" s="184">
        <v>44278</v>
      </c>
      <c r="I1564" s="184">
        <v>44287</v>
      </c>
      <c r="J1564" t="s">
        <v>356</v>
      </c>
      <c r="K1564">
        <v>60000</v>
      </c>
      <c r="L1564" t="s">
        <v>313</v>
      </c>
    </row>
    <row r="1565" spans="1:12" x14ac:dyDescent="0.4">
      <c r="A1565" t="s">
        <v>169</v>
      </c>
      <c r="B1565" t="s">
        <v>6</v>
      </c>
      <c r="C1565" t="s">
        <v>702</v>
      </c>
      <c r="D1565" t="s">
        <v>703</v>
      </c>
      <c r="E1565">
        <v>10028407</v>
      </c>
      <c r="F1565" t="s">
        <v>714</v>
      </c>
      <c r="G1565">
        <v>598291</v>
      </c>
      <c r="H1565" s="184">
        <v>44278</v>
      </c>
      <c r="I1565" s="184">
        <v>44287</v>
      </c>
      <c r="J1565" t="s">
        <v>356</v>
      </c>
      <c r="K1565">
        <v>60000</v>
      </c>
      <c r="L1565" t="s">
        <v>314</v>
      </c>
    </row>
    <row r="1566" spans="1:12" x14ac:dyDescent="0.4">
      <c r="A1566" t="s">
        <v>169</v>
      </c>
      <c r="B1566" t="s">
        <v>6</v>
      </c>
      <c r="C1566" t="s">
        <v>702</v>
      </c>
      <c r="D1566" t="s">
        <v>703</v>
      </c>
      <c r="E1566">
        <v>10028407</v>
      </c>
      <c r="F1566" t="s">
        <v>714</v>
      </c>
      <c r="G1566">
        <v>598291</v>
      </c>
      <c r="H1566" s="184">
        <v>44278</v>
      </c>
      <c r="I1566" s="184">
        <v>44287</v>
      </c>
      <c r="J1566" t="s">
        <v>356</v>
      </c>
      <c r="K1566">
        <v>60000</v>
      </c>
      <c r="L1566" t="s">
        <v>315</v>
      </c>
    </row>
    <row r="1567" spans="1:12" x14ac:dyDescent="0.4">
      <c r="A1567" t="s">
        <v>169</v>
      </c>
      <c r="B1567" t="s">
        <v>6</v>
      </c>
      <c r="C1567" t="s">
        <v>702</v>
      </c>
      <c r="D1567" t="s">
        <v>703</v>
      </c>
      <c r="E1567">
        <v>10028407</v>
      </c>
      <c r="F1567" t="s">
        <v>714</v>
      </c>
      <c r="G1567">
        <v>598291</v>
      </c>
      <c r="H1567" s="184">
        <v>44278</v>
      </c>
      <c r="I1567" s="184">
        <v>44287</v>
      </c>
      <c r="J1567" t="s">
        <v>356</v>
      </c>
      <c r="K1567">
        <v>60000</v>
      </c>
      <c r="L1567" t="s">
        <v>316</v>
      </c>
    </row>
    <row r="1568" spans="1:12" x14ac:dyDescent="0.4">
      <c r="A1568" t="s">
        <v>169</v>
      </c>
      <c r="B1568" t="s">
        <v>6</v>
      </c>
      <c r="C1568" t="s">
        <v>702</v>
      </c>
      <c r="D1568" t="s">
        <v>703</v>
      </c>
      <c r="E1568">
        <v>10033933</v>
      </c>
      <c r="F1568" t="s">
        <v>715</v>
      </c>
      <c r="G1568">
        <v>597561</v>
      </c>
      <c r="H1568" s="184">
        <v>44225</v>
      </c>
      <c r="I1568" s="184">
        <v>44244</v>
      </c>
      <c r="J1568" t="s">
        <v>716</v>
      </c>
      <c r="K1568">
        <v>60000</v>
      </c>
      <c r="L1568" t="s">
        <v>230</v>
      </c>
    </row>
    <row r="1569" spans="1:12" x14ac:dyDescent="0.4">
      <c r="A1569" t="s">
        <v>169</v>
      </c>
      <c r="B1569" t="s">
        <v>6</v>
      </c>
      <c r="C1569" t="s">
        <v>702</v>
      </c>
      <c r="D1569" t="s">
        <v>703</v>
      </c>
      <c r="E1569">
        <v>10033933</v>
      </c>
      <c r="F1569" t="s">
        <v>715</v>
      </c>
      <c r="G1569">
        <v>597561</v>
      </c>
      <c r="H1569" s="184">
        <v>44225</v>
      </c>
      <c r="I1569" s="184">
        <v>44244</v>
      </c>
      <c r="J1569" t="s">
        <v>716</v>
      </c>
      <c r="K1569">
        <v>60000</v>
      </c>
      <c r="L1569" t="s">
        <v>231</v>
      </c>
    </row>
    <row r="1570" spans="1:12" x14ac:dyDescent="0.4">
      <c r="A1570" t="s">
        <v>169</v>
      </c>
      <c r="B1570" t="s">
        <v>6</v>
      </c>
      <c r="C1570" t="s">
        <v>702</v>
      </c>
      <c r="D1570" t="s">
        <v>703</v>
      </c>
      <c r="E1570">
        <v>10033933</v>
      </c>
      <c r="F1570" t="s">
        <v>715</v>
      </c>
      <c r="G1570">
        <v>597561</v>
      </c>
      <c r="H1570" s="184">
        <v>44225</v>
      </c>
      <c r="I1570" s="184">
        <v>44244</v>
      </c>
      <c r="J1570" t="s">
        <v>716</v>
      </c>
      <c r="K1570">
        <v>60000</v>
      </c>
      <c r="L1570" t="s">
        <v>232</v>
      </c>
    </row>
    <row r="1571" spans="1:12" x14ac:dyDescent="0.4">
      <c r="A1571" t="s">
        <v>169</v>
      </c>
      <c r="B1571" t="s">
        <v>6</v>
      </c>
      <c r="C1571" t="s">
        <v>702</v>
      </c>
      <c r="D1571" t="s">
        <v>703</v>
      </c>
      <c r="E1571">
        <v>10033933</v>
      </c>
      <c r="F1571" t="s">
        <v>715</v>
      </c>
      <c r="G1571">
        <v>597561</v>
      </c>
      <c r="H1571" s="184">
        <v>44225</v>
      </c>
      <c r="I1571" s="184">
        <v>44244</v>
      </c>
      <c r="J1571" t="s">
        <v>716</v>
      </c>
      <c r="K1571">
        <v>60000</v>
      </c>
      <c r="L1571" t="s">
        <v>233</v>
      </c>
    </row>
    <row r="1572" spans="1:12" x14ac:dyDescent="0.4">
      <c r="A1572" t="s">
        <v>169</v>
      </c>
      <c r="B1572" t="s">
        <v>6</v>
      </c>
      <c r="C1572" t="s">
        <v>702</v>
      </c>
      <c r="D1572" t="s">
        <v>703</v>
      </c>
      <c r="E1572">
        <v>10033933</v>
      </c>
      <c r="F1572" t="s">
        <v>715</v>
      </c>
      <c r="G1572">
        <v>597561</v>
      </c>
      <c r="H1572" s="184">
        <v>44225</v>
      </c>
      <c r="I1572" s="184">
        <v>44244</v>
      </c>
      <c r="J1572" t="s">
        <v>716</v>
      </c>
      <c r="K1572">
        <v>60000</v>
      </c>
      <c r="L1572" t="s">
        <v>234</v>
      </c>
    </row>
    <row r="1573" spans="1:12" x14ac:dyDescent="0.4">
      <c r="A1573" t="s">
        <v>169</v>
      </c>
      <c r="B1573" t="s">
        <v>6</v>
      </c>
      <c r="C1573" t="s">
        <v>702</v>
      </c>
      <c r="D1573" t="s">
        <v>703</v>
      </c>
      <c r="E1573">
        <v>10033933</v>
      </c>
      <c r="F1573" t="s">
        <v>715</v>
      </c>
      <c r="G1573">
        <v>597561</v>
      </c>
      <c r="H1573" s="184">
        <v>44225</v>
      </c>
      <c r="I1573" s="184">
        <v>44244</v>
      </c>
      <c r="J1573" t="s">
        <v>716</v>
      </c>
      <c r="K1573">
        <v>60000</v>
      </c>
      <c r="L1573" t="s">
        <v>235</v>
      </c>
    </row>
    <row r="1574" spans="1:12" x14ac:dyDescent="0.4">
      <c r="A1574" t="s">
        <v>169</v>
      </c>
      <c r="B1574" t="s">
        <v>6</v>
      </c>
      <c r="C1574" t="s">
        <v>702</v>
      </c>
      <c r="D1574" t="s">
        <v>703</v>
      </c>
      <c r="E1574">
        <v>10037722</v>
      </c>
      <c r="F1574" t="s">
        <v>717</v>
      </c>
      <c r="G1574">
        <v>594241</v>
      </c>
      <c r="H1574" s="184">
        <v>44060</v>
      </c>
      <c r="I1574" s="184">
        <v>44062</v>
      </c>
      <c r="J1574" t="s">
        <v>718</v>
      </c>
      <c r="K1574">
        <v>60000</v>
      </c>
      <c r="L1574" t="s">
        <v>203</v>
      </c>
    </row>
    <row r="1575" spans="1:12" x14ac:dyDescent="0.4">
      <c r="A1575" t="s">
        <v>169</v>
      </c>
      <c r="B1575" t="s">
        <v>6</v>
      </c>
      <c r="C1575" t="s">
        <v>702</v>
      </c>
      <c r="D1575" t="s">
        <v>703</v>
      </c>
      <c r="E1575">
        <v>10037722</v>
      </c>
      <c r="F1575" t="s">
        <v>717</v>
      </c>
      <c r="G1575">
        <v>594241</v>
      </c>
      <c r="H1575" s="184">
        <v>44060</v>
      </c>
      <c r="I1575" s="184">
        <v>44062</v>
      </c>
      <c r="J1575" t="s">
        <v>718</v>
      </c>
      <c r="K1575">
        <v>60000</v>
      </c>
      <c r="L1575" t="s">
        <v>204</v>
      </c>
    </row>
    <row r="1576" spans="1:12" x14ac:dyDescent="0.4">
      <c r="A1576" t="s">
        <v>169</v>
      </c>
      <c r="B1576" t="s">
        <v>6</v>
      </c>
      <c r="C1576" t="s">
        <v>702</v>
      </c>
      <c r="D1576" t="s">
        <v>703</v>
      </c>
      <c r="E1576">
        <v>10037722</v>
      </c>
      <c r="F1576" t="s">
        <v>717</v>
      </c>
      <c r="G1576">
        <v>594241</v>
      </c>
      <c r="H1576" s="184">
        <v>44060</v>
      </c>
      <c r="I1576" s="184">
        <v>44062</v>
      </c>
      <c r="J1576" t="s">
        <v>718</v>
      </c>
      <c r="K1576">
        <v>60000</v>
      </c>
      <c r="L1576" t="s">
        <v>205</v>
      </c>
    </row>
    <row r="1577" spans="1:12" x14ac:dyDescent="0.4">
      <c r="A1577" t="s">
        <v>169</v>
      </c>
      <c r="B1577" t="s">
        <v>6</v>
      </c>
      <c r="C1577" t="s">
        <v>702</v>
      </c>
      <c r="D1577" t="s">
        <v>703</v>
      </c>
      <c r="E1577">
        <v>10037722</v>
      </c>
      <c r="F1577" t="s">
        <v>717</v>
      </c>
      <c r="G1577">
        <v>594241</v>
      </c>
      <c r="H1577" s="184">
        <v>44060</v>
      </c>
      <c r="I1577" s="184">
        <v>44062</v>
      </c>
      <c r="J1577" t="s">
        <v>718</v>
      </c>
      <c r="K1577">
        <v>60000</v>
      </c>
      <c r="L1577" t="s">
        <v>206</v>
      </c>
    </row>
    <row r="1578" spans="1:12" x14ac:dyDescent="0.4">
      <c r="A1578" t="s">
        <v>169</v>
      </c>
      <c r="B1578" t="s">
        <v>6</v>
      </c>
      <c r="C1578" t="s">
        <v>702</v>
      </c>
      <c r="D1578" t="s">
        <v>703</v>
      </c>
      <c r="E1578">
        <v>10037722</v>
      </c>
      <c r="F1578" t="s">
        <v>717</v>
      </c>
      <c r="G1578">
        <v>594241</v>
      </c>
      <c r="H1578" s="184">
        <v>44060</v>
      </c>
      <c r="I1578" s="184">
        <v>44062</v>
      </c>
      <c r="J1578" t="s">
        <v>718</v>
      </c>
      <c r="K1578">
        <v>60000</v>
      </c>
      <c r="L1578" t="s">
        <v>207</v>
      </c>
    </row>
    <row r="1579" spans="1:12" x14ac:dyDescent="0.4">
      <c r="A1579" t="s">
        <v>169</v>
      </c>
      <c r="B1579" t="s">
        <v>6</v>
      </c>
      <c r="C1579" t="s">
        <v>702</v>
      </c>
      <c r="D1579" t="s">
        <v>703</v>
      </c>
      <c r="E1579">
        <v>10037722</v>
      </c>
      <c r="F1579" t="s">
        <v>717</v>
      </c>
      <c r="G1579">
        <v>594241</v>
      </c>
      <c r="H1579" s="184">
        <v>44060</v>
      </c>
      <c r="I1579" s="184">
        <v>44062</v>
      </c>
      <c r="J1579" t="s">
        <v>718</v>
      </c>
      <c r="K1579">
        <v>60000</v>
      </c>
      <c r="L1579" t="s">
        <v>208</v>
      </c>
    </row>
    <row r="1580" spans="1:12" x14ac:dyDescent="0.4">
      <c r="A1580" t="s">
        <v>169</v>
      </c>
      <c r="B1580" t="s">
        <v>6</v>
      </c>
      <c r="C1580" t="s">
        <v>702</v>
      </c>
      <c r="D1580" t="s">
        <v>703</v>
      </c>
      <c r="E1580">
        <v>10040343</v>
      </c>
      <c r="F1580" t="s">
        <v>719</v>
      </c>
      <c r="G1580">
        <v>591044</v>
      </c>
      <c r="H1580" s="184">
        <v>43864</v>
      </c>
      <c r="I1580" s="184">
        <v>43875</v>
      </c>
      <c r="J1580" t="s">
        <v>720</v>
      </c>
      <c r="K1580">
        <v>60000</v>
      </c>
      <c r="L1580" t="s">
        <v>275</v>
      </c>
    </row>
    <row r="1581" spans="1:12" x14ac:dyDescent="0.4">
      <c r="A1581" t="s">
        <v>169</v>
      </c>
      <c r="B1581" t="s">
        <v>6</v>
      </c>
      <c r="C1581" t="s">
        <v>702</v>
      </c>
      <c r="D1581" t="s">
        <v>703</v>
      </c>
      <c r="E1581">
        <v>10040343</v>
      </c>
      <c r="F1581" t="s">
        <v>719</v>
      </c>
      <c r="G1581">
        <v>591044</v>
      </c>
      <c r="H1581" s="184">
        <v>43864</v>
      </c>
      <c r="I1581" s="184">
        <v>43875</v>
      </c>
      <c r="J1581" t="s">
        <v>720</v>
      </c>
      <c r="K1581">
        <v>60000</v>
      </c>
      <c r="L1581" t="s">
        <v>238</v>
      </c>
    </row>
    <row r="1582" spans="1:12" x14ac:dyDescent="0.4">
      <c r="A1582" t="s">
        <v>169</v>
      </c>
      <c r="B1582" t="s">
        <v>6</v>
      </c>
      <c r="C1582" t="s">
        <v>702</v>
      </c>
      <c r="D1582" t="s">
        <v>703</v>
      </c>
      <c r="E1582">
        <v>10040343</v>
      </c>
      <c r="F1582" t="s">
        <v>719</v>
      </c>
      <c r="G1582">
        <v>591044</v>
      </c>
      <c r="H1582" s="184">
        <v>43864</v>
      </c>
      <c r="I1582" s="184">
        <v>43875</v>
      </c>
      <c r="J1582" t="s">
        <v>720</v>
      </c>
      <c r="K1582">
        <v>60000</v>
      </c>
      <c r="L1582" t="s">
        <v>231</v>
      </c>
    </row>
    <row r="1583" spans="1:12" x14ac:dyDescent="0.4">
      <c r="A1583" t="s">
        <v>169</v>
      </c>
      <c r="B1583" t="s">
        <v>6</v>
      </c>
      <c r="C1583" t="s">
        <v>702</v>
      </c>
      <c r="D1583" t="s">
        <v>703</v>
      </c>
      <c r="E1583">
        <v>10040343</v>
      </c>
      <c r="F1583" t="s">
        <v>719</v>
      </c>
      <c r="G1583">
        <v>591044</v>
      </c>
      <c r="H1583" s="184">
        <v>43864</v>
      </c>
      <c r="I1583" s="184">
        <v>43875</v>
      </c>
      <c r="J1583" t="s">
        <v>720</v>
      </c>
      <c r="K1583">
        <v>60000</v>
      </c>
      <c r="L1583" t="s">
        <v>232</v>
      </c>
    </row>
    <row r="1584" spans="1:12" x14ac:dyDescent="0.4">
      <c r="A1584" t="s">
        <v>169</v>
      </c>
      <c r="B1584" t="s">
        <v>6</v>
      </c>
      <c r="C1584" t="s">
        <v>702</v>
      </c>
      <c r="D1584" t="s">
        <v>703</v>
      </c>
      <c r="E1584">
        <v>10040343</v>
      </c>
      <c r="F1584" t="s">
        <v>719</v>
      </c>
      <c r="G1584">
        <v>591044</v>
      </c>
      <c r="H1584" s="184">
        <v>43864</v>
      </c>
      <c r="I1584" s="184">
        <v>43875</v>
      </c>
      <c r="J1584" t="s">
        <v>720</v>
      </c>
      <c r="K1584">
        <v>60000</v>
      </c>
      <c r="L1584" t="s">
        <v>233</v>
      </c>
    </row>
    <row r="1585" spans="1:12" x14ac:dyDescent="0.4">
      <c r="A1585" t="s">
        <v>169</v>
      </c>
      <c r="B1585" t="s">
        <v>6</v>
      </c>
      <c r="C1585" t="s">
        <v>702</v>
      </c>
      <c r="D1585" t="s">
        <v>703</v>
      </c>
      <c r="E1585">
        <v>10040343</v>
      </c>
      <c r="F1585" t="s">
        <v>719</v>
      </c>
      <c r="G1585">
        <v>591044</v>
      </c>
      <c r="H1585" s="184">
        <v>43864</v>
      </c>
      <c r="I1585" s="184">
        <v>43875</v>
      </c>
      <c r="J1585" t="s">
        <v>720</v>
      </c>
      <c r="K1585">
        <v>60000</v>
      </c>
      <c r="L1585" t="s">
        <v>234</v>
      </c>
    </row>
    <row r="1586" spans="1:12" x14ac:dyDescent="0.4">
      <c r="A1586" t="s">
        <v>169</v>
      </c>
      <c r="B1586" t="s">
        <v>6</v>
      </c>
      <c r="C1586" t="s">
        <v>702</v>
      </c>
      <c r="D1586" t="s">
        <v>703</v>
      </c>
      <c r="E1586">
        <v>10050698</v>
      </c>
      <c r="F1586" t="s">
        <v>721</v>
      </c>
      <c r="G1586">
        <v>598115</v>
      </c>
      <c r="H1586" s="184">
        <v>44316</v>
      </c>
      <c r="I1586" s="184">
        <v>44316</v>
      </c>
      <c r="J1586" t="s">
        <v>645</v>
      </c>
      <c r="K1586">
        <v>60000</v>
      </c>
      <c r="L1586" t="s">
        <v>311</v>
      </c>
    </row>
    <row r="1587" spans="1:12" x14ac:dyDescent="0.4">
      <c r="A1587" t="s">
        <v>169</v>
      </c>
      <c r="B1587" t="s">
        <v>6</v>
      </c>
      <c r="C1587" t="s">
        <v>702</v>
      </c>
      <c r="D1587" t="s">
        <v>703</v>
      </c>
      <c r="E1587">
        <v>10050698</v>
      </c>
      <c r="F1587" t="s">
        <v>721</v>
      </c>
      <c r="G1587">
        <v>598115</v>
      </c>
      <c r="H1587" s="184">
        <v>44316</v>
      </c>
      <c r="I1587" s="184">
        <v>44316</v>
      </c>
      <c r="J1587" t="s">
        <v>645</v>
      </c>
      <c r="K1587">
        <v>60000</v>
      </c>
      <c r="L1587" t="s">
        <v>312</v>
      </c>
    </row>
    <row r="1588" spans="1:12" x14ac:dyDescent="0.4">
      <c r="A1588" t="s">
        <v>169</v>
      </c>
      <c r="B1588" t="s">
        <v>6</v>
      </c>
      <c r="C1588" t="s">
        <v>702</v>
      </c>
      <c r="D1588" t="s">
        <v>703</v>
      </c>
      <c r="E1588">
        <v>10050698</v>
      </c>
      <c r="F1588" t="s">
        <v>721</v>
      </c>
      <c r="G1588">
        <v>598115</v>
      </c>
      <c r="H1588" s="184">
        <v>44316</v>
      </c>
      <c r="I1588" s="184">
        <v>44316</v>
      </c>
      <c r="J1588" t="s">
        <v>645</v>
      </c>
      <c r="K1588">
        <v>60000</v>
      </c>
      <c r="L1588" t="s">
        <v>313</v>
      </c>
    </row>
    <row r="1589" spans="1:12" x14ac:dyDescent="0.4">
      <c r="A1589" t="s">
        <v>169</v>
      </c>
      <c r="B1589" t="s">
        <v>6</v>
      </c>
      <c r="C1589" t="s">
        <v>702</v>
      </c>
      <c r="D1589" t="s">
        <v>703</v>
      </c>
      <c r="E1589">
        <v>10050698</v>
      </c>
      <c r="F1589" t="s">
        <v>721</v>
      </c>
      <c r="G1589">
        <v>598115</v>
      </c>
      <c r="H1589" s="184">
        <v>44316</v>
      </c>
      <c r="I1589" s="184">
        <v>44316</v>
      </c>
      <c r="J1589" t="s">
        <v>645</v>
      </c>
      <c r="K1589">
        <v>60000</v>
      </c>
      <c r="L1589" t="s">
        <v>314</v>
      </c>
    </row>
    <row r="1590" spans="1:12" x14ac:dyDescent="0.4">
      <c r="A1590" t="s">
        <v>169</v>
      </c>
      <c r="B1590" t="s">
        <v>6</v>
      </c>
      <c r="C1590" t="s">
        <v>702</v>
      </c>
      <c r="D1590" t="s">
        <v>703</v>
      </c>
      <c r="E1590">
        <v>10050698</v>
      </c>
      <c r="F1590" t="s">
        <v>721</v>
      </c>
      <c r="G1590">
        <v>598115</v>
      </c>
      <c r="H1590" s="184">
        <v>44316</v>
      </c>
      <c r="I1590" s="184">
        <v>44316</v>
      </c>
      <c r="J1590" t="s">
        <v>645</v>
      </c>
      <c r="K1590">
        <v>60000</v>
      </c>
      <c r="L1590" t="s">
        <v>315</v>
      </c>
    </row>
    <row r="1591" spans="1:12" x14ac:dyDescent="0.4">
      <c r="A1591" t="s">
        <v>169</v>
      </c>
      <c r="B1591" t="s">
        <v>6</v>
      </c>
      <c r="C1591" t="s">
        <v>702</v>
      </c>
      <c r="D1591" t="s">
        <v>703</v>
      </c>
      <c r="E1591">
        <v>10050698</v>
      </c>
      <c r="F1591" t="s">
        <v>721</v>
      </c>
      <c r="G1591">
        <v>598115</v>
      </c>
      <c r="H1591" s="184">
        <v>44316</v>
      </c>
      <c r="I1591" s="184">
        <v>44316</v>
      </c>
      <c r="J1591" t="s">
        <v>645</v>
      </c>
      <c r="K1591">
        <v>60000</v>
      </c>
      <c r="L1591" t="s">
        <v>316</v>
      </c>
    </row>
    <row r="1592" spans="1:12" x14ac:dyDescent="0.4">
      <c r="A1592" t="s">
        <v>169</v>
      </c>
      <c r="B1592" t="s">
        <v>6</v>
      </c>
      <c r="C1592" t="s">
        <v>702</v>
      </c>
      <c r="D1592" t="s">
        <v>703</v>
      </c>
      <c r="E1592">
        <v>10052872</v>
      </c>
      <c r="F1592" t="s">
        <v>722</v>
      </c>
      <c r="G1592">
        <v>594865</v>
      </c>
      <c r="H1592" s="184">
        <v>44088</v>
      </c>
      <c r="I1592" s="184">
        <v>44104</v>
      </c>
      <c r="J1592" t="s">
        <v>723</v>
      </c>
      <c r="K1592">
        <v>60000</v>
      </c>
      <c r="L1592" t="s">
        <v>290</v>
      </c>
    </row>
    <row r="1593" spans="1:12" x14ac:dyDescent="0.4">
      <c r="A1593" t="s">
        <v>169</v>
      </c>
      <c r="B1593" t="s">
        <v>6</v>
      </c>
      <c r="C1593" t="s">
        <v>702</v>
      </c>
      <c r="D1593" t="s">
        <v>703</v>
      </c>
      <c r="E1593">
        <v>10052872</v>
      </c>
      <c r="F1593" t="s">
        <v>722</v>
      </c>
      <c r="G1593">
        <v>594865</v>
      </c>
      <c r="H1593" s="184">
        <v>44088</v>
      </c>
      <c r="I1593" s="184">
        <v>44104</v>
      </c>
      <c r="J1593" t="s">
        <v>723</v>
      </c>
      <c r="K1593">
        <v>60000</v>
      </c>
      <c r="L1593" t="s">
        <v>291</v>
      </c>
    </row>
    <row r="1594" spans="1:12" x14ac:dyDescent="0.4">
      <c r="A1594" t="s">
        <v>169</v>
      </c>
      <c r="B1594" t="s">
        <v>6</v>
      </c>
      <c r="C1594" t="s">
        <v>702</v>
      </c>
      <c r="D1594" t="s">
        <v>703</v>
      </c>
      <c r="E1594">
        <v>10052872</v>
      </c>
      <c r="F1594" t="s">
        <v>722</v>
      </c>
      <c r="G1594">
        <v>594865</v>
      </c>
      <c r="H1594" s="184">
        <v>44088</v>
      </c>
      <c r="I1594" s="184">
        <v>44104</v>
      </c>
      <c r="J1594" t="s">
        <v>723</v>
      </c>
      <c r="K1594">
        <v>60000</v>
      </c>
      <c r="L1594" t="s">
        <v>292</v>
      </c>
    </row>
    <row r="1595" spans="1:12" x14ac:dyDescent="0.4">
      <c r="A1595" t="s">
        <v>169</v>
      </c>
      <c r="B1595" t="s">
        <v>6</v>
      </c>
      <c r="C1595" t="s">
        <v>702</v>
      </c>
      <c r="D1595" t="s">
        <v>703</v>
      </c>
      <c r="E1595">
        <v>10052872</v>
      </c>
      <c r="F1595" t="s">
        <v>722</v>
      </c>
      <c r="G1595">
        <v>594865</v>
      </c>
      <c r="H1595" s="184">
        <v>44088</v>
      </c>
      <c r="I1595" s="184">
        <v>44104</v>
      </c>
      <c r="J1595" t="s">
        <v>723</v>
      </c>
      <c r="K1595">
        <v>60000</v>
      </c>
      <c r="L1595" t="s">
        <v>293</v>
      </c>
    </row>
    <row r="1596" spans="1:12" x14ac:dyDescent="0.4">
      <c r="A1596" t="s">
        <v>169</v>
      </c>
      <c r="B1596" t="s">
        <v>6</v>
      </c>
      <c r="C1596" t="s">
        <v>702</v>
      </c>
      <c r="D1596" t="s">
        <v>703</v>
      </c>
      <c r="E1596">
        <v>10052872</v>
      </c>
      <c r="F1596" t="s">
        <v>722</v>
      </c>
      <c r="G1596">
        <v>594865</v>
      </c>
      <c r="H1596" s="184">
        <v>44088</v>
      </c>
      <c r="I1596" s="184">
        <v>44104</v>
      </c>
      <c r="J1596" t="s">
        <v>723</v>
      </c>
      <c r="K1596">
        <v>60000</v>
      </c>
      <c r="L1596" t="s">
        <v>294</v>
      </c>
    </row>
    <row r="1597" spans="1:12" x14ac:dyDescent="0.4">
      <c r="A1597" t="s">
        <v>169</v>
      </c>
      <c r="B1597" t="s">
        <v>6</v>
      </c>
      <c r="C1597" t="s">
        <v>702</v>
      </c>
      <c r="D1597" t="s">
        <v>703</v>
      </c>
      <c r="E1597">
        <v>10052872</v>
      </c>
      <c r="F1597" t="s">
        <v>722</v>
      </c>
      <c r="G1597">
        <v>594865</v>
      </c>
      <c r="H1597" s="184">
        <v>44088</v>
      </c>
      <c r="I1597" s="184">
        <v>44104</v>
      </c>
      <c r="J1597" t="s">
        <v>723</v>
      </c>
      <c r="K1597">
        <v>60000</v>
      </c>
      <c r="L1597" t="s">
        <v>295</v>
      </c>
    </row>
    <row r="1598" spans="1:12" x14ac:dyDescent="0.4">
      <c r="A1598" t="s">
        <v>169</v>
      </c>
      <c r="B1598" t="s">
        <v>6</v>
      </c>
      <c r="C1598" t="s">
        <v>702</v>
      </c>
      <c r="D1598" t="s">
        <v>703</v>
      </c>
      <c r="E1598">
        <v>10060500</v>
      </c>
      <c r="F1598" t="s">
        <v>724</v>
      </c>
      <c r="G1598">
        <v>592180</v>
      </c>
      <c r="H1598" s="184">
        <v>43915</v>
      </c>
      <c r="I1598" s="184">
        <v>43921</v>
      </c>
      <c r="J1598" t="s">
        <v>466</v>
      </c>
      <c r="K1598">
        <v>60000</v>
      </c>
      <c r="L1598" t="s">
        <v>281</v>
      </c>
    </row>
    <row r="1599" spans="1:12" x14ac:dyDescent="0.4">
      <c r="A1599" t="s">
        <v>169</v>
      </c>
      <c r="B1599" t="s">
        <v>6</v>
      </c>
      <c r="C1599" t="s">
        <v>702</v>
      </c>
      <c r="D1599" t="s">
        <v>703</v>
      </c>
      <c r="E1599">
        <v>10060500</v>
      </c>
      <c r="F1599" t="s">
        <v>724</v>
      </c>
      <c r="G1599">
        <v>592180</v>
      </c>
      <c r="H1599" s="184">
        <v>43915</v>
      </c>
      <c r="I1599" s="184">
        <v>43921</v>
      </c>
      <c r="J1599" t="s">
        <v>466</v>
      </c>
      <c r="K1599">
        <v>60000</v>
      </c>
      <c r="L1599" t="s">
        <v>230</v>
      </c>
    </row>
    <row r="1600" spans="1:12" x14ac:dyDescent="0.4">
      <c r="A1600" t="s">
        <v>169</v>
      </c>
      <c r="B1600" t="s">
        <v>6</v>
      </c>
      <c r="C1600" t="s">
        <v>702</v>
      </c>
      <c r="D1600" t="s">
        <v>703</v>
      </c>
      <c r="E1600">
        <v>10060500</v>
      </c>
      <c r="F1600" t="s">
        <v>724</v>
      </c>
      <c r="G1600">
        <v>592180</v>
      </c>
      <c r="H1600" s="184">
        <v>43915</v>
      </c>
      <c r="I1600" s="184">
        <v>43921</v>
      </c>
      <c r="J1600" t="s">
        <v>466</v>
      </c>
      <c r="K1600">
        <v>60000</v>
      </c>
      <c r="L1600" t="s">
        <v>243</v>
      </c>
    </row>
    <row r="1601" spans="1:12" x14ac:dyDescent="0.4">
      <c r="A1601" t="s">
        <v>169</v>
      </c>
      <c r="B1601" t="s">
        <v>6</v>
      </c>
      <c r="C1601" t="s">
        <v>702</v>
      </c>
      <c r="D1601" t="s">
        <v>703</v>
      </c>
      <c r="E1601">
        <v>10060500</v>
      </c>
      <c r="F1601" t="s">
        <v>724</v>
      </c>
      <c r="G1601">
        <v>592180</v>
      </c>
      <c r="H1601" s="184">
        <v>43915</v>
      </c>
      <c r="I1601" s="184">
        <v>43921</v>
      </c>
      <c r="J1601" t="s">
        <v>466</v>
      </c>
      <c r="K1601">
        <v>60000</v>
      </c>
      <c r="L1601" t="s">
        <v>244</v>
      </c>
    </row>
    <row r="1602" spans="1:12" x14ac:dyDescent="0.4">
      <c r="A1602" t="s">
        <v>169</v>
      </c>
      <c r="B1602" t="s">
        <v>6</v>
      </c>
      <c r="C1602" t="s">
        <v>702</v>
      </c>
      <c r="D1602" t="s">
        <v>703</v>
      </c>
      <c r="E1602">
        <v>10060500</v>
      </c>
      <c r="F1602" t="s">
        <v>724</v>
      </c>
      <c r="G1602">
        <v>592180</v>
      </c>
      <c r="H1602" s="184">
        <v>43915</v>
      </c>
      <c r="I1602" s="184">
        <v>43921</v>
      </c>
      <c r="J1602" t="s">
        <v>466</v>
      </c>
      <c r="K1602">
        <v>60000</v>
      </c>
      <c r="L1602" t="s">
        <v>245</v>
      </c>
    </row>
    <row r="1603" spans="1:12" x14ac:dyDescent="0.4">
      <c r="A1603" t="s">
        <v>169</v>
      </c>
      <c r="B1603" t="s">
        <v>6</v>
      </c>
      <c r="C1603" t="s">
        <v>702</v>
      </c>
      <c r="D1603" t="s">
        <v>703</v>
      </c>
      <c r="E1603">
        <v>10060500</v>
      </c>
      <c r="F1603" t="s">
        <v>724</v>
      </c>
      <c r="G1603">
        <v>592180</v>
      </c>
      <c r="H1603" s="184">
        <v>43915</v>
      </c>
      <c r="I1603" s="184">
        <v>43921</v>
      </c>
      <c r="J1603" t="s">
        <v>466</v>
      </c>
      <c r="K1603">
        <v>60000</v>
      </c>
      <c r="L1603" t="s">
        <v>246</v>
      </c>
    </row>
    <row r="1604" spans="1:12" x14ac:dyDescent="0.4">
      <c r="A1604" t="s">
        <v>169</v>
      </c>
      <c r="B1604" t="s">
        <v>6</v>
      </c>
      <c r="C1604" t="s">
        <v>702</v>
      </c>
      <c r="D1604" t="s">
        <v>703</v>
      </c>
      <c r="E1604">
        <v>10063093</v>
      </c>
      <c r="F1604" t="s">
        <v>725</v>
      </c>
      <c r="G1604">
        <v>594570</v>
      </c>
      <c r="H1604" s="184">
        <v>44067</v>
      </c>
      <c r="I1604" s="184">
        <v>44071</v>
      </c>
      <c r="J1604" t="s">
        <v>514</v>
      </c>
      <c r="K1604">
        <v>60000</v>
      </c>
      <c r="L1604" t="s">
        <v>203</v>
      </c>
    </row>
    <row r="1605" spans="1:12" x14ac:dyDescent="0.4">
      <c r="A1605" t="s">
        <v>169</v>
      </c>
      <c r="B1605" t="s">
        <v>6</v>
      </c>
      <c r="C1605" t="s">
        <v>702</v>
      </c>
      <c r="D1605" t="s">
        <v>703</v>
      </c>
      <c r="E1605">
        <v>10063093</v>
      </c>
      <c r="F1605" t="s">
        <v>725</v>
      </c>
      <c r="G1605">
        <v>594570</v>
      </c>
      <c r="H1605" s="184">
        <v>44067</v>
      </c>
      <c r="I1605" s="184">
        <v>44071</v>
      </c>
      <c r="J1605" t="s">
        <v>514</v>
      </c>
      <c r="K1605">
        <v>60000</v>
      </c>
      <c r="L1605" t="s">
        <v>204</v>
      </c>
    </row>
    <row r="1606" spans="1:12" x14ac:dyDescent="0.4">
      <c r="A1606" t="s">
        <v>169</v>
      </c>
      <c r="B1606" t="s">
        <v>6</v>
      </c>
      <c r="C1606" t="s">
        <v>702</v>
      </c>
      <c r="D1606" t="s">
        <v>703</v>
      </c>
      <c r="E1606">
        <v>10063093</v>
      </c>
      <c r="F1606" t="s">
        <v>725</v>
      </c>
      <c r="G1606">
        <v>594570</v>
      </c>
      <c r="H1606" s="184">
        <v>44067</v>
      </c>
      <c r="I1606" s="184">
        <v>44071</v>
      </c>
      <c r="J1606" t="s">
        <v>514</v>
      </c>
      <c r="K1606">
        <v>60000</v>
      </c>
      <c r="L1606" t="s">
        <v>205</v>
      </c>
    </row>
    <row r="1607" spans="1:12" x14ac:dyDescent="0.4">
      <c r="A1607" t="s">
        <v>169</v>
      </c>
      <c r="B1607" t="s">
        <v>6</v>
      </c>
      <c r="C1607" t="s">
        <v>702</v>
      </c>
      <c r="D1607" t="s">
        <v>703</v>
      </c>
      <c r="E1607">
        <v>10063093</v>
      </c>
      <c r="F1607" t="s">
        <v>725</v>
      </c>
      <c r="G1607">
        <v>594570</v>
      </c>
      <c r="H1607" s="184">
        <v>44067</v>
      </c>
      <c r="I1607" s="184">
        <v>44071</v>
      </c>
      <c r="J1607" t="s">
        <v>514</v>
      </c>
      <c r="K1607">
        <v>60000</v>
      </c>
      <c r="L1607" t="s">
        <v>206</v>
      </c>
    </row>
    <row r="1608" spans="1:12" x14ac:dyDescent="0.4">
      <c r="A1608" t="s">
        <v>169</v>
      </c>
      <c r="B1608" t="s">
        <v>6</v>
      </c>
      <c r="C1608" t="s">
        <v>702</v>
      </c>
      <c r="D1608" t="s">
        <v>703</v>
      </c>
      <c r="E1608">
        <v>10063093</v>
      </c>
      <c r="F1608" t="s">
        <v>725</v>
      </c>
      <c r="G1608">
        <v>594570</v>
      </c>
      <c r="H1608" s="184">
        <v>44067</v>
      </c>
      <c r="I1608" s="184">
        <v>44071</v>
      </c>
      <c r="J1608" t="s">
        <v>514</v>
      </c>
      <c r="K1608">
        <v>60000</v>
      </c>
      <c r="L1608" t="s">
        <v>207</v>
      </c>
    </row>
    <row r="1609" spans="1:12" x14ac:dyDescent="0.4">
      <c r="A1609" t="s">
        <v>169</v>
      </c>
      <c r="B1609" t="s">
        <v>6</v>
      </c>
      <c r="C1609" t="s">
        <v>702</v>
      </c>
      <c r="D1609" t="s">
        <v>703</v>
      </c>
      <c r="E1609">
        <v>10063093</v>
      </c>
      <c r="F1609" t="s">
        <v>725</v>
      </c>
      <c r="G1609">
        <v>594570</v>
      </c>
      <c r="H1609" s="184">
        <v>44067</v>
      </c>
      <c r="I1609" s="184">
        <v>44071</v>
      </c>
      <c r="J1609" t="s">
        <v>514</v>
      </c>
      <c r="K1609">
        <v>60000</v>
      </c>
      <c r="L1609" t="s">
        <v>208</v>
      </c>
    </row>
    <row r="1610" spans="1:12" x14ac:dyDescent="0.4">
      <c r="A1610" t="s">
        <v>169</v>
      </c>
      <c r="B1610" t="s">
        <v>6</v>
      </c>
      <c r="C1610" t="s">
        <v>702</v>
      </c>
      <c r="D1610" t="s">
        <v>703</v>
      </c>
      <c r="E1610">
        <v>10065913</v>
      </c>
      <c r="F1610" t="s">
        <v>726</v>
      </c>
      <c r="G1610">
        <v>595994</v>
      </c>
      <c r="H1610" s="184">
        <v>44165</v>
      </c>
      <c r="I1610" s="184">
        <v>44165</v>
      </c>
      <c r="J1610" t="s">
        <v>558</v>
      </c>
      <c r="K1610">
        <v>60000</v>
      </c>
      <c r="L1610" t="s">
        <v>196</v>
      </c>
    </row>
    <row r="1611" spans="1:12" x14ac:dyDescent="0.4">
      <c r="A1611" t="s">
        <v>169</v>
      </c>
      <c r="B1611" t="s">
        <v>6</v>
      </c>
      <c r="C1611" t="s">
        <v>702</v>
      </c>
      <c r="D1611" t="s">
        <v>703</v>
      </c>
      <c r="E1611">
        <v>10065913</v>
      </c>
      <c r="F1611" t="s">
        <v>726</v>
      </c>
      <c r="G1611">
        <v>595994</v>
      </c>
      <c r="H1611" s="184">
        <v>44165</v>
      </c>
      <c r="I1611" s="184">
        <v>44165</v>
      </c>
      <c r="J1611" t="s">
        <v>558</v>
      </c>
      <c r="K1611">
        <v>60000</v>
      </c>
      <c r="L1611" t="s">
        <v>211</v>
      </c>
    </row>
    <row r="1612" spans="1:12" x14ac:dyDescent="0.4">
      <c r="A1612" t="s">
        <v>169</v>
      </c>
      <c r="B1612" t="s">
        <v>6</v>
      </c>
      <c r="C1612" t="s">
        <v>702</v>
      </c>
      <c r="D1612" t="s">
        <v>703</v>
      </c>
      <c r="E1612">
        <v>10065913</v>
      </c>
      <c r="F1612" t="s">
        <v>726</v>
      </c>
      <c r="G1612">
        <v>595994</v>
      </c>
      <c r="H1612" s="184">
        <v>44165</v>
      </c>
      <c r="I1612" s="184">
        <v>44165</v>
      </c>
      <c r="J1612" t="s">
        <v>558</v>
      </c>
      <c r="K1612">
        <v>60000</v>
      </c>
      <c r="L1612" t="s">
        <v>212</v>
      </c>
    </row>
    <row r="1613" spans="1:12" x14ac:dyDescent="0.4">
      <c r="A1613" t="s">
        <v>169</v>
      </c>
      <c r="B1613" t="s">
        <v>6</v>
      </c>
      <c r="C1613" t="s">
        <v>702</v>
      </c>
      <c r="D1613" t="s">
        <v>703</v>
      </c>
      <c r="E1613">
        <v>10065913</v>
      </c>
      <c r="F1613" t="s">
        <v>726</v>
      </c>
      <c r="G1613">
        <v>595994</v>
      </c>
      <c r="H1613" s="184">
        <v>44165</v>
      </c>
      <c r="I1613" s="184">
        <v>44165</v>
      </c>
      <c r="J1613" t="s">
        <v>558</v>
      </c>
      <c r="K1613">
        <v>60000</v>
      </c>
      <c r="L1613" t="s">
        <v>213</v>
      </c>
    </row>
    <row r="1614" spans="1:12" x14ac:dyDescent="0.4">
      <c r="A1614" t="s">
        <v>169</v>
      </c>
      <c r="B1614" t="s">
        <v>6</v>
      </c>
      <c r="C1614" t="s">
        <v>702</v>
      </c>
      <c r="D1614" t="s">
        <v>703</v>
      </c>
      <c r="E1614">
        <v>10065913</v>
      </c>
      <c r="F1614" t="s">
        <v>726</v>
      </c>
      <c r="G1614">
        <v>595994</v>
      </c>
      <c r="H1614" s="184">
        <v>44165</v>
      </c>
      <c r="I1614" s="184">
        <v>44165</v>
      </c>
      <c r="J1614" t="s">
        <v>558</v>
      </c>
      <c r="K1614">
        <v>60000</v>
      </c>
      <c r="L1614" t="s">
        <v>214</v>
      </c>
    </row>
    <row r="1615" spans="1:12" x14ac:dyDescent="0.4">
      <c r="A1615" t="s">
        <v>169</v>
      </c>
      <c r="B1615" t="s">
        <v>6</v>
      </c>
      <c r="C1615" t="s">
        <v>702</v>
      </c>
      <c r="D1615" t="s">
        <v>703</v>
      </c>
      <c r="E1615">
        <v>10065913</v>
      </c>
      <c r="F1615" t="s">
        <v>726</v>
      </c>
      <c r="G1615">
        <v>595994</v>
      </c>
      <c r="H1615" s="184">
        <v>44165</v>
      </c>
      <c r="I1615" s="184">
        <v>44165</v>
      </c>
      <c r="J1615" t="s">
        <v>558</v>
      </c>
      <c r="K1615">
        <v>60000</v>
      </c>
      <c r="L1615" t="s">
        <v>215</v>
      </c>
    </row>
    <row r="1616" spans="1:12" x14ac:dyDescent="0.4">
      <c r="A1616" t="s">
        <v>169</v>
      </c>
      <c r="B1616" t="s">
        <v>6</v>
      </c>
      <c r="C1616" t="s">
        <v>702</v>
      </c>
      <c r="D1616" t="s">
        <v>703</v>
      </c>
      <c r="E1616">
        <v>10066870</v>
      </c>
      <c r="F1616" t="s">
        <v>727</v>
      </c>
      <c r="G1616">
        <v>591377</v>
      </c>
      <c r="H1616" s="184">
        <v>43880</v>
      </c>
      <c r="I1616" s="184">
        <v>43881</v>
      </c>
      <c r="J1616" t="s">
        <v>322</v>
      </c>
      <c r="K1616">
        <v>60000</v>
      </c>
      <c r="L1616" t="s">
        <v>275</v>
      </c>
    </row>
    <row r="1617" spans="1:12" x14ac:dyDescent="0.4">
      <c r="A1617" t="s">
        <v>169</v>
      </c>
      <c r="B1617" t="s">
        <v>6</v>
      </c>
      <c r="C1617" t="s">
        <v>702</v>
      </c>
      <c r="D1617" t="s">
        <v>703</v>
      </c>
      <c r="E1617">
        <v>10066870</v>
      </c>
      <c r="F1617" t="s">
        <v>727</v>
      </c>
      <c r="G1617">
        <v>591377</v>
      </c>
      <c r="H1617" s="184">
        <v>43880</v>
      </c>
      <c r="I1617" s="184">
        <v>43881</v>
      </c>
      <c r="J1617" t="s">
        <v>322</v>
      </c>
      <c r="K1617">
        <v>60000</v>
      </c>
      <c r="L1617" t="s">
        <v>238</v>
      </c>
    </row>
    <row r="1618" spans="1:12" x14ac:dyDescent="0.4">
      <c r="A1618" t="s">
        <v>169</v>
      </c>
      <c r="B1618" t="s">
        <v>6</v>
      </c>
      <c r="C1618" t="s">
        <v>702</v>
      </c>
      <c r="D1618" t="s">
        <v>703</v>
      </c>
      <c r="E1618">
        <v>10066870</v>
      </c>
      <c r="F1618" t="s">
        <v>727</v>
      </c>
      <c r="G1618">
        <v>591377</v>
      </c>
      <c r="H1618" s="184">
        <v>43880</v>
      </c>
      <c r="I1618" s="184">
        <v>43881</v>
      </c>
      <c r="J1618" t="s">
        <v>322</v>
      </c>
      <c r="K1618">
        <v>60000</v>
      </c>
      <c r="L1618" t="s">
        <v>231</v>
      </c>
    </row>
    <row r="1619" spans="1:12" x14ac:dyDescent="0.4">
      <c r="A1619" t="s">
        <v>169</v>
      </c>
      <c r="B1619" t="s">
        <v>6</v>
      </c>
      <c r="C1619" t="s">
        <v>702</v>
      </c>
      <c r="D1619" t="s">
        <v>703</v>
      </c>
      <c r="E1619">
        <v>10066870</v>
      </c>
      <c r="F1619" t="s">
        <v>727</v>
      </c>
      <c r="G1619">
        <v>591377</v>
      </c>
      <c r="H1619" s="184">
        <v>43880</v>
      </c>
      <c r="I1619" s="184">
        <v>43881</v>
      </c>
      <c r="J1619" t="s">
        <v>322</v>
      </c>
      <c r="K1619">
        <v>60000</v>
      </c>
      <c r="L1619" t="s">
        <v>232</v>
      </c>
    </row>
    <row r="1620" spans="1:12" x14ac:dyDescent="0.4">
      <c r="A1620" t="s">
        <v>169</v>
      </c>
      <c r="B1620" t="s">
        <v>6</v>
      </c>
      <c r="C1620" t="s">
        <v>702</v>
      </c>
      <c r="D1620" t="s">
        <v>703</v>
      </c>
      <c r="E1620">
        <v>10066870</v>
      </c>
      <c r="F1620" t="s">
        <v>727</v>
      </c>
      <c r="G1620">
        <v>591377</v>
      </c>
      <c r="H1620" s="184">
        <v>43880</v>
      </c>
      <c r="I1620" s="184">
        <v>43881</v>
      </c>
      <c r="J1620" t="s">
        <v>322</v>
      </c>
      <c r="K1620">
        <v>60000</v>
      </c>
      <c r="L1620" t="s">
        <v>233</v>
      </c>
    </row>
    <row r="1621" spans="1:12" x14ac:dyDescent="0.4">
      <c r="A1621" t="s">
        <v>169</v>
      </c>
      <c r="B1621" t="s">
        <v>6</v>
      </c>
      <c r="C1621" t="s">
        <v>702</v>
      </c>
      <c r="D1621" t="s">
        <v>703</v>
      </c>
      <c r="E1621">
        <v>10066870</v>
      </c>
      <c r="F1621" t="s">
        <v>727</v>
      </c>
      <c r="G1621">
        <v>591377</v>
      </c>
      <c r="H1621" s="184">
        <v>43880</v>
      </c>
      <c r="I1621" s="184">
        <v>43881</v>
      </c>
      <c r="J1621" t="s">
        <v>322</v>
      </c>
      <c r="K1621">
        <v>60000</v>
      </c>
      <c r="L1621" t="s">
        <v>234</v>
      </c>
    </row>
    <row r="1622" spans="1:12" x14ac:dyDescent="0.4">
      <c r="A1622" t="s">
        <v>169</v>
      </c>
      <c r="B1622" t="s">
        <v>6</v>
      </c>
      <c r="C1622" t="s">
        <v>702</v>
      </c>
      <c r="D1622" t="s">
        <v>703</v>
      </c>
      <c r="E1622">
        <v>10074504</v>
      </c>
      <c r="F1622" t="s">
        <v>728</v>
      </c>
      <c r="G1622">
        <v>592769</v>
      </c>
      <c r="H1622" s="184">
        <v>43970</v>
      </c>
      <c r="I1622" s="184">
        <v>43980</v>
      </c>
      <c r="J1622" t="s">
        <v>729</v>
      </c>
      <c r="K1622">
        <v>60000</v>
      </c>
      <c r="L1622" t="s">
        <v>376</v>
      </c>
    </row>
    <row r="1623" spans="1:12" x14ac:dyDescent="0.4">
      <c r="A1623" t="s">
        <v>169</v>
      </c>
      <c r="B1623" t="s">
        <v>6</v>
      </c>
      <c r="C1623" t="s">
        <v>702</v>
      </c>
      <c r="D1623" t="s">
        <v>703</v>
      </c>
      <c r="E1623">
        <v>10074504</v>
      </c>
      <c r="F1623" t="s">
        <v>728</v>
      </c>
      <c r="G1623">
        <v>592769</v>
      </c>
      <c r="H1623" s="184">
        <v>43970</v>
      </c>
      <c r="I1623" s="184">
        <v>43980</v>
      </c>
      <c r="J1623" t="s">
        <v>729</v>
      </c>
      <c r="K1623">
        <v>60000</v>
      </c>
      <c r="L1623" t="s">
        <v>311</v>
      </c>
    </row>
    <row r="1624" spans="1:12" x14ac:dyDescent="0.4">
      <c r="A1624" t="s">
        <v>169</v>
      </c>
      <c r="B1624" t="s">
        <v>6</v>
      </c>
      <c r="C1624" t="s">
        <v>702</v>
      </c>
      <c r="D1624" t="s">
        <v>703</v>
      </c>
      <c r="E1624">
        <v>10074504</v>
      </c>
      <c r="F1624" t="s">
        <v>728</v>
      </c>
      <c r="G1624">
        <v>592769</v>
      </c>
      <c r="H1624" s="184">
        <v>43970</v>
      </c>
      <c r="I1624" s="184">
        <v>43980</v>
      </c>
      <c r="J1624" t="s">
        <v>729</v>
      </c>
      <c r="K1624">
        <v>60000</v>
      </c>
      <c r="L1624" t="s">
        <v>259</v>
      </c>
    </row>
    <row r="1625" spans="1:12" x14ac:dyDescent="0.4">
      <c r="A1625" t="s">
        <v>169</v>
      </c>
      <c r="B1625" t="s">
        <v>6</v>
      </c>
      <c r="C1625" t="s">
        <v>702</v>
      </c>
      <c r="D1625" t="s">
        <v>703</v>
      </c>
      <c r="E1625">
        <v>10074504</v>
      </c>
      <c r="F1625" t="s">
        <v>728</v>
      </c>
      <c r="G1625">
        <v>592769</v>
      </c>
      <c r="H1625" s="184">
        <v>43970</v>
      </c>
      <c r="I1625" s="184">
        <v>43980</v>
      </c>
      <c r="J1625" t="s">
        <v>729</v>
      </c>
      <c r="K1625">
        <v>60000</v>
      </c>
      <c r="L1625" t="s">
        <v>260</v>
      </c>
    </row>
    <row r="1626" spans="1:12" x14ac:dyDescent="0.4">
      <c r="A1626" t="s">
        <v>169</v>
      </c>
      <c r="B1626" t="s">
        <v>6</v>
      </c>
      <c r="C1626" t="s">
        <v>702</v>
      </c>
      <c r="D1626" t="s">
        <v>703</v>
      </c>
      <c r="E1626">
        <v>10074504</v>
      </c>
      <c r="F1626" t="s">
        <v>728</v>
      </c>
      <c r="G1626">
        <v>592769</v>
      </c>
      <c r="H1626" s="184">
        <v>43970</v>
      </c>
      <c r="I1626" s="184">
        <v>43980</v>
      </c>
      <c r="J1626" t="s">
        <v>729</v>
      </c>
      <c r="K1626">
        <v>60000</v>
      </c>
      <c r="L1626" t="s">
        <v>261</v>
      </c>
    </row>
    <row r="1627" spans="1:12" x14ac:dyDescent="0.4">
      <c r="A1627" t="s">
        <v>169</v>
      </c>
      <c r="B1627" t="s">
        <v>6</v>
      </c>
      <c r="C1627" t="s">
        <v>702</v>
      </c>
      <c r="D1627" t="s">
        <v>703</v>
      </c>
      <c r="E1627">
        <v>10074504</v>
      </c>
      <c r="F1627" t="s">
        <v>728</v>
      </c>
      <c r="G1627">
        <v>592769</v>
      </c>
      <c r="H1627" s="184">
        <v>43970</v>
      </c>
      <c r="I1627" s="184">
        <v>43980</v>
      </c>
      <c r="J1627" t="s">
        <v>729</v>
      </c>
      <c r="K1627">
        <v>60000</v>
      </c>
      <c r="L1627" t="s">
        <v>262</v>
      </c>
    </row>
    <row r="1628" spans="1:12" x14ac:dyDescent="0.4">
      <c r="A1628" t="s">
        <v>169</v>
      </c>
      <c r="B1628" t="s">
        <v>6</v>
      </c>
      <c r="C1628" t="s">
        <v>702</v>
      </c>
      <c r="D1628" t="s">
        <v>703</v>
      </c>
      <c r="E1628">
        <v>10079752</v>
      </c>
      <c r="F1628" t="s">
        <v>730</v>
      </c>
      <c r="G1628">
        <v>594407</v>
      </c>
      <c r="H1628" s="184">
        <v>44127</v>
      </c>
      <c r="I1628" s="184">
        <v>44133</v>
      </c>
      <c r="J1628" t="s">
        <v>731</v>
      </c>
      <c r="K1628">
        <v>60000</v>
      </c>
      <c r="L1628" t="s">
        <v>250</v>
      </c>
    </row>
    <row r="1629" spans="1:12" x14ac:dyDescent="0.4">
      <c r="A1629" t="s">
        <v>169</v>
      </c>
      <c r="B1629" t="s">
        <v>6</v>
      </c>
      <c r="C1629" t="s">
        <v>702</v>
      </c>
      <c r="D1629" t="s">
        <v>703</v>
      </c>
      <c r="E1629">
        <v>10079752</v>
      </c>
      <c r="F1629" t="s">
        <v>730</v>
      </c>
      <c r="G1629">
        <v>594407</v>
      </c>
      <c r="H1629" s="184">
        <v>44127</v>
      </c>
      <c r="I1629" s="184">
        <v>44133</v>
      </c>
      <c r="J1629" t="s">
        <v>731</v>
      </c>
      <c r="K1629">
        <v>60000</v>
      </c>
      <c r="L1629" t="s">
        <v>251</v>
      </c>
    </row>
    <row r="1630" spans="1:12" x14ac:dyDescent="0.4">
      <c r="A1630" t="s">
        <v>169</v>
      </c>
      <c r="B1630" t="s">
        <v>6</v>
      </c>
      <c r="C1630" t="s">
        <v>702</v>
      </c>
      <c r="D1630" t="s">
        <v>703</v>
      </c>
      <c r="E1630">
        <v>10079752</v>
      </c>
      <c r="F1630" t="s">
        <v>730</v>
      </c>
      <c r="G1630">
        <v>594407</v>
      </c>
      <c r="H1630" s="184">
        <v>44127</v>
      </c>
      <c r="I1630" s="184">
        <v>44133</v>
      </c>
      <c r="J1630" t="s">
        <v>731</v>
      </c>
      <c r="K1630">
        <v>60000</v>
      </c>
      <c r="L1630" t="s">
        <v>252</v>
      </c>
    </row>
    <row r="1631" spans="1:12" x14ac:dyDescent="0.4">
      <c r="A1631" t="s">
        <v>169</v>
      </c>
      <c r="B1631" t="s">
        <v>6</v>
      </c>
      <c r="C1631" t="s">
        <v>702</v>
      </c>
      <c r="D1631" t="s">
        <v>703</v>
      </c>
      <c r="E1631">
        <v>10079752</v>
      </c>
      <c r="F1631" t="s">
        <v>730</v>
      </c>
      <c r="G1631">
        <v>594407</v>
      </c>
      <c r="H1631" s="184">
        <v>44127</v>
      </c>
      <c r="I1631" s="184">
        <v>44133</v>
      </c>
      <c r="J1631" t="s">
        <v>731</v>
      </c>
      <c r="K1631">
        <v>60000</v>
      </c>
      <c r="L1631" t="s">
        <v>253</v>
      </c>
    </row>
    <row r="1632" spans="1:12" x14ac:dyDescent="0.4">
      <c r="A1632" t="s">
        <v>169</v>
      </c>
      <c r="B1632" t="s">
        <v>6</v>
      </c>
      <c r="C1632" t="s">
        <v>702</v>
      </c>
      <c r="D1632" t="s">
        <v>703</v>
      </c>
      <c r="E1632">
        <v>10079752</v>
      </c>
      <c r="F1632" t="s">
        <v>730</v>
      </c>
      <c r="G1632">
        <v>594407</v>
      </c>
      <c r="H1632" s="184">
        <v>44127</v>
      </c>
      <c r="I1632" s="184">
        <v>44133</v>
      </c>
      <c r="J1632" t="s">
        <v>731</v>
      </c>
      <c r="K1632">
        <v>60000</v>
      </c>
      <c r="L1632" t="s">
        <v>254</v>
      </c>
    </row>
    <row r="1633" spans="1:12" x14ac:dyDescent="0.4">
      <c r="A1633" t="s">
        <v>169</v>
      </c>
      <c r="B1633" t="s">
        <v>6</v>
      </c>
      <c r="C1633" t="s">
        <v>702</v>
      </c>
      <c r="D1633" t="s">
        <v>703</v>
      </c>
      <c r="E1633">
        <v>10079752</v>
      </c>
      <c r="F1633" t="s">
        <v>730</v>
      </c>
      <c r="G1633">
        <v>594407</v>
      </c>
      <c r="H1633" s="184">
        <v>44127</v>
      </c>
      <c r="I1633" s="184">
        <v>44133</v>
      </c>
      <c r="J1633" t="s">
        <v>731</v>
      </c>
      <c r="K1633">
        <v>60000</v>
      </c>
      <c r="L1633" t="s">
        <v>255</v>
      </c>
    </row>
    <row r="1634" spans="1:12" x14ac:dyDescent="0.4">
      <c r="A1634" t="s">
        <v>169</v>
      </c>
      <c r="B1634" t="s">
        <v>6</v>
      </c>
      <c r="C1634" t="s">
        <v>702</v>
      </c>
      <c r="D1634" t="s">
        <v>703</v>
      </c>
      <c r="E1634">
        <v>10085164</v>
      </c>
      <c r="F1634" t="s">
        <v>732</v>
      </c>
      <c r="G1634">
        <v>594013</v>
      </c>
      <c r="H1634" s="184">
        <v>44043</v>
      </c>
      <c r="I1634" s="184">
        <v>44043</v>
      </c>
      <c r="J1634" t="s">
        <v>219</v>
      </c>
      <c r="K1634">
        <v>60000</v>
      </c>
      <c r="L1634" t="s">
        <v>220</v>
      </c>
    </row>
    <row r="1635" spans="1:12" x14ac:dyDescent="0.4">
      <c r="A1635" t="s">
        <v>169</v>
      </c>
      <c r="B1635" t="s">
        <v>6</v>
      </c>
      <c r="C1635" t="s">
        <v>702</v>
      </c>
      <c r="D1635" t="s">
        <v>703</v>
      </c>
      <c r="E1635">
        <v>10085164</v>
      </c>
      <c r="F1635" t="s">
        <v>732</v>
      </c>
      <c r="G1635">
        <v>594013</v>
      </c>
      <c r="H1635" s="184">
        <v>44043</v>
      </c>
      <c r="I1635" s="184">
        <v>44043</v>
      </c>
      <c r="J1635" t="s">
        <v>219</v>
      </c>
      <c r="K1635">
        <v>60000</v>
      </c>
      <c r="L1635" t="s">
        <v>221</v>
      </c>
    </row>
    <row r="1636" spans="1:12" x14ac:dyDescent="0.4">
      <c r="A1636" t="s">
        <v>169</v>
      </c>
      <c r="B1636" t="s">
        <v>6</v>
      </c>
      <c r="C1636" t="s">
        <v>702</v>
      </c>
      <c r="D1636" t="s">
        <v>703</v>
      </c>
      <c r="E1636">
        <v>10085164</v>
      </c>
      <c r="F1636" t="s">
        <v>732</v>
      </c>
      <c r="G1636">
        <v>594013</v>
      </c>
      <c r="H1636" s="184">
        <v>44043</v>
      </c>
      <c r="I1636" s="184">
        <v>44043</v>
      </c>
      <c r="J1636" t="s">
        <v>219</v>
      </c>
      <c r="K1636">
        <v>60000</v>
      </c>
      <c r="L1636" t="s">
        <v>222</v>
      </c>
    </row>
    <row r="1637" spans="1:12" x14ac:dyDescent="0.4">
      <c r="A1637" t="s">
        <v>169</v>
      </c>
      <c r="B1637" t="s">
        <v>6</v>
      </c>
      <c r="C1637" t="s">
        <v>702</v>
      </c>
      <c r="D1637" t="s">
        <v>703</v>
      </c>
      <c r="E1637">
        <v>10085164</v>
      </c>
      <c r="F1637" t="s">
        <v>732</v>
      </c>
      <c r="G1637">
        <v>594013</v>
      </c>
      <c r="H1637" s="184">
        <v>44043</v>
      </c>
      <c r="I1637" s="184">
        <v>44043</v>
      </c>
      <c r="J1637" t="s">
        <v>219</v>
      </c>
      <c r="K1637">
        <v>60000</v>
      </c>
      <c r="L1637" t="s">
        <v>223</v>
      </c>
    </row>
    <row r="1638" spans="1:12" x14ac:dyDescent="0.4">
      <c r="A1638" t="s">
        <v>169</v>
      </c>
      <c r="B1638" t="s">
        <v>6</v>
      </c>
      <c r="C1638" t="s">
        <v>702</v>
      </c>
      <c r="D1638" t="s">
        <v>703</v>
      </c>
      <c r="E1638">
        <v>10085164</v>
      </c>
      <c r="F1638" t="s">
        <v>732</v>
      </c>
      <c r="G1638">
        <v>594013</v>
      </c>
      <c r="H1638" s="184">
        <v>44043</v>
      </c>
      <c r="I1638" s="184">
        <v>44043</v>
      </c>
      <c r="J1638" t="s">
        <v>219</v>
      </c>
      <c r="K1638">
        <v>60000</v>
      </c>
      <c r="L1638" t="s">
        <v>224</v>
      </c>
    </row>
    <row r="1639" spans="1:12" x14ac:dyDescent="0.4">
      <c r="A1639" t="s">
        <v>169</v>
      </c>
      <c r="B1639" t="s">
        <v>6</v>
      </c>
      <c r="C1639" t="s">
        <v>702</v>
      </c>
      <c r="D1639" t="s">
        <v>703</v>
      </c>
      <c r="E1639">
        <v>10085164</v>
      </c>
      <c r="F1639" t="s">
        <v>732</v>
      </c>
      <c r="G1639">
        <v>594013</v>
      </c>
      <c r="H1639" s="184">
        <v>44043</v>
      </c>
      <c r="I1639" s="184">
        <v>44043</v>
      </c>
      <c r="J1639" t="s">
        <v>219</v>
      </c>
      <c r="K1639">
        <v>60000</v>
      </c>
      <c r="L1639" t="s">
        <v>225</v>
      </c>
    </row>
    <row r="1640" spans="1:12" x14ac:dyDescent="0.4">
      <c r="A1640" t="s">
        <v>169</v>
      </c>
      <c r="B1640" t="s">
        <v>6</v>
      </c>
      <c r="C1640" t="s">
        <v>702</v>
      </c>
      <c r="D1640" t="s">
        <v>703</v>
      </c>
      <c r="E1640">
        <v>10086507</v>
      </c>
      <c r="F1640" t="s">
        <v>733</v>
      </c>
      <c r="G1640">
        <v>595643</v>
      </c>
      <c r="H1640" s="184">
        <v>44189</v>
      </c>
      <c r="I1640" s="184">
        <v>44190</v>
      </c>
      <c r="J1640" t="s">
        <v>734</v>
      </c>
      <c r="K1640">
        <v>60000</v>
      </c>
      <c r="L1640" t="s">
        <v>186</v>
      </c>
    </row>
    <row r="1641" spans="1:12" x14ac:dyDescent="0.4">
      <c r="A1641" t="s">
        <v>169</v>
      </c>
      <c r="B1641" t="s">
        <v>6</v>
      </c>
      <c r="C1641" t="s">
        <v>702</v>
      </c>
      <c r="D1641" t="s">
        <v>703</v>
      </c>
      <c r="E1641">
        <v>10086507</v>
      </c>
      <c r="F1641" t="s">
        <v>733</v>
      </c>
      <c r="G1641">
        <v>595643</v>
      </c>
      <c r="H1641" s="184">
        <v>44189</v>
      </c>
      <c r="I1641" s="184">
        <v>44190</v>
      </c>
      <c r="J1641" t="s">
        <v>734</v>
      </c>
      <c r="K1641">
        <v>60000</v>
      </c>
      <c r="L1641" t="s">
        <v>197</v>
      </c>
    </row>
    <row r="1642" spans="1:12" x14ac:dyDescent="0.4">
      <c r="A1642" t="s">
        <v>169</v>
      </c>
      <c r="B1642" t="s">
        <v>6</v>
      </c>
      <c r="C1642" t="s">
        <v>702</v>
      </c>
      <c r="D1642" t="s">
        <v>703</v>
      </c>
      <c r="E1642">
        <v>10086507</v>
      </c>
      <c r="F1642" t="s">
        <v>733</v>
      </c>
      <c r="G1642">
        <v>595643</v>
      </c>
      <c r="H1642" s="184">
        <v>44189</v>
      </c>
      <c r="I1642" s="184">
        <v>44190</v>
      </c>
      <c r="J1642" t="s">
        <v>734</v>
      </c>
      <c r="K1642">
        <v>60000</v>
      </c>
      <c r="L1642" t="s">
        <v>198</v>
      </c>
    </row>
    <row r="1643" spans="1:12" x14ac:dyDescent="0.4">
      <c r="A1643" t="s">
        <v>169</v>
      </c>
      <c r="B1643" t="s">
        <v>6</v>
      </c>
      <c r="C1643" t="s">
        <v>702</v>
      </c>
      <c r="D1643" t="s">
        <v>703</v>
      </c>
      <c r="E1643">
        <v>10086507</v>
      </c>
      <c r="F1643" t="s">
        <v>733</v>
      </c>
      <c r="G1643">
        <v>595643</v>
      </c>
      <c r="H1643" s="184">
        <v>44189</v>
      </c>
      <c r="I1643" s="184">
        <v>44190</v>
      </c>
      <c r="J1643" t="s">
        <v>734</v>
      </c>
      <c r="K1643">
        <v>60000</v>
      </c>
      <c r="L1643" t="s">
        <v>199</v>
      </c>
    </row>
    <row r="1644" spans="1:12" x14ac:dyDescent="0.4">
      <c r="A1644" t="s">
        <v>169</v>
      </c>
      <c r="B1644" t="s">
        <v>6</v>
      </c>
      <c r="C1644" t="s">
        <v>702</v>
      </c>
      <c r="D1644" t="s">
        <v>703</v>
      </c>
      <c r="E1644">
        <v>10086507</v>
      </c>
      <c r="F1644" t="s">
        <v>733</v>
      </c>
      <c r="G1644">
        <v>595643</v>
      </c>
      <c r="H1644" s="184">
        <v>44189</v>
      </c>
      <c r="I1644" s="184">
        <v>44190</v>
      </c>
      <c r="J1644" t="s">
        <v>734</v>
      </c>
      <c r="K1644">
        <v>60000</v>
      </c>
      <c r="L1644" t="s">
        <v>200</v>
      </c>
    </row>
    <row r="1645" spans="1:12" x14ac:dyDescent="0.4">
      <c r="A1645" t="s">
        <v>169</v>
      </c>
      <c r="B1645" t="s">
        <v>6</v>
      </c>
      <c r="C1645" t="s">
        <v>702</v>
      </c>
      <c r="D1645" t="s">
        <v>703</v>
      </c>
      <c r="E1645">
        <v>10086507</v>
      </c>
      <c r="F1645" t="s">
        <v>733</v>
      </c>
      <c r="G1645">
        <v>595643</v>
      </c>
      <c r="H1645" s="184">
        <v>44189</v>
      </c>
      <c r="I1645" s="184">
        <v>44190</v>
      </c>
      <c r="J1645" t="s">
        <v>734</v>
      </c>
      <c r="K1645">
        <v>60000</v>
      </c>
      <c r="L1645" t="s">
        <v>302</v>
      </c>
    </row>
    <row r="1646" spans="1:12" x14ac:dyDescent="0.4">
      <c r="A1646" t="s">
        <v>169</v>
      </c>
      <c r="B1646" t="s">
        <v>6</v>
      </c>
      <c r="C1646" t="s">
        <v>702</v>
      </c>
      <c r="D1646" t="s">
        <v>703</v>
      </c>
      <c r="E1646">
        <v>10088501</v>
      </c>
      <c r="F1646" t="s">
        <v>735</v>
      </c>
      <c r="G1646">
        <v>596929</v>
      </c>
      <c r="H1646" s="184">
        <v>44209</v>
      </c>
      <c r="I1646" s="184">
        <v>44221</v>
      </c>
      <c r="J1646" t="s">
        <v>471</v>
      </c>
      <c r="K1646">
        <v>60000</v>
      </c>
      <c r="L1646" t="s">
        <v>238</v>
      </c>
    </row>
    <row r="1647" spans="1:12" x14ac:dyDescent="0.4">
      <c r="A1647" t="s">
        <v>169</v>
      </c>
      <c r="B1647" t="s">
        <v>6</v>
      </c>
      <c r="C1647" t="s">
        <v>702</v>
      </c>
      <c r="D1647" t="s">
        <v>703</v>
      </c>
      <c r="E1647">
        <v>10088501</v>
      </c>
      <c r="F1647" t="s">
        <v>735</v>
      </c>
      <c r="G1647">
        <v>596929</v>
      </c>
      <c r="H1647" s="184">
        <v>44209</v>
      </c>
      <c r="I1647" s="184">
        <v>44221</v>
      </c>
      <c r="J1647" t="s">
        <v>471</v>
      </c>
      <c r="K1647">
        <v>60000</v>
      </c>
      <c r="L1647" t="s">
        <v>187</v>
      </c>
    </row>
    <row r="1648" spans="1:12" x14ac:dyDescent="0.4">
      <c r="A1648" t="s">
        <v>169</v>
      </c>
      <c r="B1648" t="s">
        <v>6</v>
      </c>
      <c r="C1648" t="s">
        <v>702</v>
      </c>
      <c r="D1648" t="s">
        <v>703</v>
      </c>
      <c r="E1648">
        <v>10088501</v>
      </c>
      <c r="F1648" t="s">
        <v>735</v>
      </c>
      <c r="G1648">
        <v>596929</v>
      </c>
      <c r="H1648" s="184">
        <v>44209</v>
      </c>
      <c r="I1648" s="184">
        <v>44221</v>
      </c>
      <c r="J1648" t="s">
        <v>471</v>
      </c>
      <c r="K1648">
        <v>60000</v>
      </c>
      <c r="L1648" t="s">
        <v>188</v>
      </c>
    </row>
    <row r="1649" spans="1:12" x14ac:dyDescent="0.4">
      <c r="A1649" t="s">
        <v>169</v>
      </c>
      <c r="B1649" t="s">
        <v>6</v>
      </c>
      <c r="C1649" t="s">
        <v>702</v>
      </c>
      <c r="D1649" t="s">
        <v>703</v>
      </c>
      <c r="E1649">
        <v>10088501</v>
      </c>
      <c r="F1649" t="s">
        <v>735</v>
      </c>
      <c r="G1649">
        <v>596929</v>
      </c>
      <c r="H1649" s="184">
        <v>44209</v>
      </c>
      <c r="I1649" s="184">
        <v>44221</v>
      </c>
      <c r="J1649" t="s">
        <v>471</v>
      </c>
      <c r="K1649">
        <v>60000</v>
      </c>
      <c r="L1649" t="s">
        <v>189</v>
      </c>
    </row>
    <row r="1650" spans="1:12" x14ac:dyDescent="0.4">
      <c r="A1650" t="s">
        <v>169</v>
      </c>
      <c r="B1650" t="s">
        <v>6</v>
      </c>
      <c r="C1650" t="s">
        <v>702</v>
      </c>
      <c r="D1650" t="s">
        <v>703</v>
      </c>
      <c r="E1650">
        <v>10088501</v>
      </c>
      <c r="F1650" t="s">
        <v>735</v>
      </c>
      <c r="G1650">
        <v>596929</v>
      </c>
      <c r="H1650" s="184">
        <v>44209</v>
      </c>
      <c r="I1650" s="184">
        <v>44221</v>
      </c>
      <c r="J1650" t="s">
        <v>471</v>
      </c>
      <c r="K1650">
        <v>60000</v>
      </c>
      <c r="L1650" t="s">
        <v>190</v>
      </c>
    </row>
    <row r="1651" spans="1:12" x14ac:dyDescent="0.4">
      <c r="A1651" t="s">
        <v>169</v>
      </c>
      <c r="B1651" t="s">
        <v>6</v>
      </c>
      <c r="C1651" t="s">
        <v>702</v>
      </c>
      <c r="D1651" t="s">
        <v>703</v>
      </c>
      <c r="E1651">
        <v>10088501</v>
      </c>
      <c r="F1651" t="s">
        <v>735</v>
      </c>
      <c r="G1651">
        <v>596929</v>
      </c>
      <c r="H1651" s="184">
        <v>44209</v>
      </c>
      <c r="I1651" s="184">
        <v>44221</v>
      </c>
      <c r="J1651" t="s">
        <v>471</v>
      </c>
      <c r="K1651">
        <v>60000</v>
      </c>
      <c r="L1651" t="s">
        <v>239</v>
      </c>
    </row>
    <row r="1652" spans="1:12" x14ac:dyDescent="0.4">
      <c r="A1652" t="s">
        <v>169</v>
      </c>
      <c r="B1652" t="s">
        <v>6</v>
      </c>
      <c r="C1652" t="s">
        <v>702</v>
      </c>
      <c r="D1652" t="s">
        <v>703</v>
      </c>
      <c r="E1652">
        <v>10091893</v>
      </c>
      <c r="F1652" t="s">
        <v>736</v>
      </c>
      <c r="G1652">
        <v>591358</v>
      </c>
      <c r="H1652" s="184">
        <v>43875</v>
      </c>
      <c r="I1652" s="184">
        <v>43888</v>
      </c>
      <c r="J1652" t="s">
        <v>322</v>
      </c>
      <c r="K1652">
        <v>60000</v>
      </c>
      <c r="L1652" t="s">
        <v>275</v>
      </c>
    </row>
    <row r="1653" spans="1:12" x14ac:dyDescent="0.4">
      <c r="A1653" t="s">
        <v>169</v>
      </c>
      <c r="B1653" t="s">
        <v>6</v>
      </c>
      <c r="C1653" t="s">
        <v>702</v>
      </c>
      <c r="D1653" t="s">
        <v>703</v>
      </c>
      <c r="E1653">
        <v>10091893</v>
      </c>
      <c r="F1653" t="s">
        <v>736</v>
      </c>
      <c r="G1653">
        <v>591358</v>
      </c>
      <c r="H1653" s="184">
        <v>43875</v>
      </c>
      <c r="I1653" s="184">
        <v>43888</v>
      </c>
      <c r="J1653" t="s">
        <v>322</v>
      </c>
      <c r="K1653">
        <v>60000</v>
      </c>
      <c r="L1653" t="s">
        <v>238</v>
      </c>
    </row>
    <row r="1654" spans="1:12" x14ac:dyDescent="0.4">
      <c r="A1654" t="s">
        <v>169</v>
      </c>
      <c r="B1654" t="s">
        <v>6</v>
      </c>
      <c r="C1654" t="s">
        <v>702</v>
      </c>
      <c r="D1654" t="s">
        <v>703</v>
      </c>
      <c r="E1654">
        <v>10091893</v>
      </c>
      <c r="F1654" t="s">
        <v>736</v>
      </c>
      <c r="G1654">
        <v>591358</v>
      </c>
      <c r="H1654" s="184">
        <v>43875</v>
      </c>
      <c r="I1654" s="184">
        <v>43888</v>
      </c>
      <c r="J1654" t="s">
        <v>322</v>
      </c>
      <c r="K1654">
        <v>60000</v>
      </c>
      <c r="L1654" t="s">
        <v>231</v>
      </c>
    </row>
    <row r="1655" spans="1:12" x14ac:dyDescent="0.4">
      <c r="A1655" t="s">
        <v>169</v>
      </c>
      <c r="B1655" t="s">
        <v>6</v>
      </c>
      <c r="C1655" t="s">
        <v>702</v>
      </c>
      <c r="D1655" t="s">
        <v>703</v>
      </c>
      <c r="E1655">
        <v>10091893</v>
      </c>
      <c r="F1655" t="s">
        <v>736</v>
      </c>
      <c r="G1655">
        <v>591358</v>
      </c>
      <c r="H1655" s="184">
        <v>43875</v>
      </c>
      <c r="I1655" s="184">
        <v>43888</v>
      </c>
      <c r="J1655" t="s">
        <v>322</v>
      </c>
      <c r="K1655">
        <v>60000</v>
      </c>
      <c r="L1655" t="s">
        <v>232</v>
      </c>
    </row>
    <row r="1656" spans="1:12" x14ac:dyDescent="0.4">
      <c r="A1656" t="s">
        <v>169</v>
      </c>
      <c r="B1656" t="s">
        <v>6</v>
      </c>
      <c r="C1656" t="s">
        <v>702</v>
      </c>
      <c r="D1656" t="s">
        <v>703</v>
      </c>
      <c r="E1656">
        <v>10091893</v>
      </c>
      <c r="F1656" t="s">
        <v>736</v>
      </c>
      <c r="G1656">
        <v>591358</v>
      </c>
      <c r="H1656" s="184">
        <v>43875</v>
      </c>
      <c r="I1656" s="184">
        <v>43888</v>
      </c>
      <c r="J1656" t="s">
        <v>322</v>
      </c>
      <c r="K1656">
        <v>60000</v>
      </c>
      <c r="L1656" t="s">
        <v>233</v>
      </c>
    </row>
    <row r="1657" spans="1:12" x14ac:dyDescent="0.4">
      <c r="A1657" t="s">
        <v>169</v>
      </c>
      <c r="B1657" t="s">
        <v>6</v>
      </c>
      <c r="C1657" t="s">
        <v>702</v>
      </c>
      <c r="D1657" t="s">
        <v>703</v>
      </c>
      <c r="E1657">
        <v>10091893</v>
      </c>
      <c r="F1657" t="s">
        <v>736</v>
      </c>
      <c r="G1657">
        <v>591358</v>
      </c>
      <c r="H1657" s="184">
        <v>43875</v>
      </c>
      <c r="I1657" s="184">
        <v>43888</v>
      </c>
      <c r="J1657" t="s">
        <v>322</v>
      </c>
      <c r="K1657">
        <v>60000</v>
      </c>
      <c r="L1657" t="s">
        <v>234</v>
      </c>
    </row>
    <row r="1658" spans="1:12" x14ac:dyDescent="0.4">
      <c r="A1658" t="s">
        <v>169</v>
      </c>
      <c r="B1658" t="s">
        <v>6</v>
      </c>
      <c r="C1658" t="s">
        <v>702</v>
      </c>
      <c r="D1658" t="s">
        <v>703</v>
      </c>
      <c r="E1658">
        <v>20010843</v>
      </c>
      <c r="F1658" t="s">
        <v>737</v>
      </c>
      <c r="G1658">
        <v>597660</v>
      </c>
      <c r="H1658" s="184">
        <v>44253</v>
      </c>
      <c r="I1658" s="184">
        <v>44255</v>
      </c>
      <c r="J1658" t="s">
        <v>738</v>
      </c>
      <c r="K1658">
        <v>60000</v>
      </c>
      <c r="L1658" t="s">
        <v>230</v>
      </c>
    </row>
    <row r="1659" spans="1:12" x14ac:dyDescent="0.4">
      <c r="A1659" t="s">
        <v>169</v>
      </c>
      <c r="B1659" t="s">
        <v>6</v>
      </c>
      <c r="C1659" t="s">
        <v>702</v>
      </c>
      <c r="D1659" t="s">
        <v>703</v>
      </c>
      <c r="E1659">
        <v>20010843</v>
      </c>
      <c r="F1659" t="s">
        <v>737</v>
      </c>
      <c r="G1659">
        <v>597660</v>
      </c>
      <c r="H1659" s="184">
        <v>44253</v>
      </c>
      <c r="I1659" s="184">
        <v>44255</v>
      </c>
      <c r="J1659" t="s">
        <v>738</v>
      </c>
      <c r="K1659">
        <v>60000</v>
      </c>
      <c r="L1659" t="s">
        <v>231</v>
      </c>
    </row>
    <row r="1660" spans="1:12" x14ac:dyDescent="0.4">
      <c r="A1660" t="s">
        <v>169</v>
      </c>
      <c r="B1660" t="s">
        <v>6</v>
      </c>
      <c r="C1660" t="s">
        <v>702</v>
      </c>
      <c r="D1660" t="s">
        <v>703</v>
      </c>
      <c r="E1660">
        <v>20010843</v>
      </c>
      <c r="F1660" t="s">
        <v>737</v>
      </c>
      <c r="G1660">
        <v>597660</v>
      </c>
      <c r="H1660" s="184">
        <v>44253</v>
      </c>
      <c r="I1660" s="184">
        <v>44255</v>
      </c>
      <c r="J1660" t="s">
        <v>738</v>
      </c>
      <c r="K1660">
        <v>60000</v>
      </c>
      <c r="L1660" t="s">
        <v>232</v>
      </c>
    </row>
    <row r="1661" spans="1:12" x14ac:dyDescent="0.4">
      <c r="A1661" t="s">
        <v>169</v>
      </c>
      <c r="B1661" t="s">
        <v>6</v>
      </c>
      <c r="C1661" t="s">
        <v>702</v>
      </c>
      <c r="D1661" t="s">
        <v>703</v>
      </c>
      <c r="E1661">
        <v>20010843</v>
      </c>
      <c r="F1661" t="s">
        <v>737</v>
      </c>
      <c r="G1661">
        <v>597660</v>
      </c>
      <c r="H1661" s="184">
        <v>44253</v>
      </c>
      <c r="I1661" s="184">
        <v>44255</v>
      </c>
      <c r="J1661" t="s">
        <v>738</v>
      </c>
      <c r="K1661">
        <v>60000</v>
      </c>
      <c r="L1661" t="s">
        <v>233</v>
      </c>
    </row>
    <row r="1662" spans="1:12" x14ac:dyDescent="0.4">
      <c r="A1662" t="s">
        <v>169</v>
      </c>
      <c r="B1662" t="s">
        <v>6</v>
      </c>
      <c r="C1662" t="s">
        <v>702</v>
      </c>
      <c r="D1662" t="s">
        <v>703</v>
      </c>
      <c r="E1662">
        <v>20010843</v>
      </c>
      <c r="F1662" t="s">
        <v>737</v>
      </c>
      <c r="G1662">
        <v>597660</v>
      </c>
      <c r="H1662" s="184">
        <v>44253</v>
      </c>
      <c r="I1662" s="184">
        <v>44255</v>
      </c>
      <c r="J1662" t="s">
        <v>738</v>
      </c>
      <c r="K1662">
        <v>60000</v>
      </c>
      <c r="L1662" t="s">
        <v>234</v>
      </c>
    </row>
    <row r="1663" spans="1:12" x14ac:dyDescent="0.4">
      <c r="A1663" t="s">
        <v>169</v>
      </c>
      <c r="B1663" t="s">
        <v>6</v>
      </c>
      <c r="C1663" t="s">
        <v>702</v>
      </c>
      <c r="D1663" t="s">
        <v>703</v>
      </c>
      <c r="E1663">
        <v>20010843</v>
      </c>
      <c r="F1663" t="s">
        <v>737</v>
      </c>
      <c r="G1663">
        <v>597660</v>
      </c>
      <c r="H1663" s="184">
        <v>44253</v>
      </c>
      <c r="I1663" s="184">
        <v>44255</v>
      </c>
      <c r="J1663" t="s">
        <v>738</v>
      </c>
      <c r="K1663">
        <v>60000</v>
      </c>
      <c r="L1663" t="s">
        <v>235</v>
      </c>
    </row>
    <row r="1664" spans="1:12" x14ac:dyDescent="0.4">
      <c r="A1664" t="s">
        <v>169</v>
      </c>
      <c r="B1664" t="s">
        <v>6</v>
      </c>
      <c r="C1664" t="s">
        <v>702</v>
      </c>
      <c r="D1664" t="s">
        <v>703</v>
      </c>
      <c r="E1664">
        <v>20010900</v>
      </c>
      <c r="F1664" t="s">
        <v>739</v>
      </c>
      <c r="G1664">
        <v>594807</v>
      </c>
      <c r="H1664" s="184">
        <v>44103</v>
      </c>
      <c r="I1664" s="184">
        <v>44104</v>
      </c>
      <c r="J1664" t="s">
        <v>740</v>
      </c>
      <c r="K1664">
        <v>60000</v>
      </c>
      <c r="L1664" t="s">
        <v>290</v>
      </c>
    </row>
    <row r="1665" spans="1:12" x14ac:dyDescent="0.4">
      <c r="A1665" t="s">
        <v>169</v>
      </c>
      <c r="B1665" t="s">
        <v>6</v>
      </c>
      <c r="C1665" t="s">
        <v>702</v>
      </c>
      <c r="D1665" t="s">
        <v>703</v>
      </c>
      <c r="E1665">
        <v>20010900</v>
      </c>
      <c r="F1665" t="s">
        <v>739</v>
      </c>
      <c r="G1665">
        <v>594807</v>
      </c>
      <c r="H1665" s="184">
        <v>44103</v>
      </c>
      <c r="I1665" s="184">
        <v>44104</v>
      </c>
      <c r="J1665" t="s">
        <v>740</v>
      </c>
      <c r="K1665">
        <v>60000</v>
      </c>
      <c r="L1665" t="s">
        <v>291</v>
      </c>
    </row>
    <row r="1666" spans="1:12" x14ac:dyDescent="0.4">
      <c r="A1666" t="s">
        <v>169</v>
      </c>
      <c r="B1666" t="s">
        <v>6</v>
      </c>
      <c r="C1666" t="s">
        <v>702</v>
      </c>
      <c r="D1666" t="s">
        <v>703</v>
      </c>
      <c r="E1666">
        <v>20010900</v>
      </c>
      <c r="F1666" t="s">
        <v>739</v>
      </c>
      <c r="G1666">
        <v>594807</v>
      </c>
      <c r="H1666" s="184">
        <v>44103</v>
      </c>
      <c r="I1666" s="184">
        <v>44104</v>
      </c>
      <c r="J1666" t="s">
        <v>740</v>
      </c>
      <c r="K1666">
        <v>60000</v>
      </c>
      <c r="L1666" t="s">
        <v>292</v>
      </c>
    </row>
    <row r="1667" spans="1:12" x14ac:dyDescent="0.4">
      <c r="A1667" t="s">
        <v>169</v>
      </c>
      <c r="B1667" t="s">
        <v>6</v>
      </c>
      <c r="C1667" t="s">
        <v>702</v>
      </c>
      <c r="D1667" t="s">
        <v>703</v>
      </c>
      <c r="E1667">
        <v>20010900</v>
      </c>
      <c r="F1667" t="s">
        <v>739</v>
      </c>
      <c r="G1667">
        <v>594807</v>
      </c>
      <c r="H1667" s="184">
        <v>44103</v>
      </c>
      <c r="I1667" s="184">
        <v>44104</v>
      </c>
      <c r="J1667" t="s">
        <v>740</v>
      </c>
      <c r="K1667">
        <v>60000</v>
      </c>
      <c r="L1667" t="s">
        <v>293</v>
      </c>
    </row>
    <row r="1668" spans="1:12" x14ac:dyDescent="0.4">
      <c r="A1668" t="s">
        <v>169</v>
      </c>
      <c r="B1668" t="s">
        <v>6</v>
      </c>
      <c r="C1668" t="s">
        <v>702</v>
      </c>
      <c r="D1668" t="s">
        <v>703</v>
      </c>
      <c r="E1668">
        <v>20010900</v>
      </c>
      <c r="F1668" t="s">
        <v>739</v>
      </c>
      <c r="G1668">
        <v>594807</v>
      </c>
      <c r="H1668" s="184">
        <v>44103</v>
      </c>
      <c r="I1668" s="184">
        <v>44104</v>
      </c>
      <c r="J1668" t="s">
        <v>740</v>
      </c>
      <c r="K1668">
        <v>60000</v>
      </c>
      <c r="L1668" t="s">
        <v>294</v>
      </c>
    </row>
    <row r="1669" spans="1:12" x14ac:dyDescent="0.4">
      <c r="A1669" t="s">
        <v>169</v>
      </c>
      <c r="B1669" t="s">
        <v>6</v>
      </c>
      <c r="C1669" t="s">
        <v>702</v>
      </c>
      <c r="D1669" t="s">
        <v>703</v>
      </c>
      <c r="E1669">
        <v>20010900</v>
      </c>
      <c r="F1669" t="s">
        <v>739</v>
      </c>
      <c r="G1669">
        <v>594807</v>
      </c>
      <c r="H1669" s="184">
        <v>44103</v>
      </c>
      <c r="I1669" s="184">
        <v>44104</v>
      </c>
      <c r="J1669" t="s">
        <v>740</v>
      </c>
      <c r="K1669">
        <v>60000</v>
      </c>
      <c r="L1669" t="s">
        <v>295</v>
      </c>
    </row>
    <row r="1670" spans="1:12" x14ac:dyDescent="0.4">
      <c r="A1670" t="s">
        <v>169</v>
      </c>
      <c r="B1670" t="s">
        <v>6</v>
      </c>
      <c r="C1670" t="s">
        <v>702</v>
      </c>
      <c r="D1670" t="s">
        <v>703</v>
      </c>
      <c r="E1670">
        <v>20011744</v>
      </c>
      <c r="F1670" t="s">
        <v>741</v>
      </c>
      <c r="G1670">
        <v>597788</v>
      </c>
      <c r="H1670" s="184">
        <v>44252</v>
      </c>
      <c r="I1670" s="184">
        <v>44271</v>
      </c>
      <c r="J1670" t="s">
        <v>742</v>
      </c>
      <c r="K1670">
        <v>60000</v>
      </c>
      <c r="L1670" t="s">
        <v>242</v>
      </c>
    </row>
    <row r="1671" spans="1:12" x14ac:dyDescent="0.4">
      <c r="A1671" t="s">
        <v>169</v>
      </c>
      <c r="B1671" t="s">
        <v>6</v>
      </c>
      <c r="C1671" t="s">
        <v>702</v>
      </c>
      <c r="D1671" t="s">
        <v>703</v>
      </c>
      <c r="E1671">
        <v>20011744</v>
      </c>
      <c r="F1671" t="s">
        <v>741</v>
      </c>
      <c r="G1671">
        <v>597788</v>
      </c>
      <c r="H1671" s="184">
        <v>44252</v>
      </c>
      <c r="I1671" s="184">
        <v>44271</v>
      </c>
      <c r="J1671" t="s">
        <v>742</v>
      </c>
      <c r="K1671">
        <v>60000</v>
      </c>
      <c r="L1671" t="s">
        <v>243</v>
      </c>
    </row>
    <row r="1672" spans="1:12" x14ac:dyDescent="0.4">
      <c r="A1672" t="s">
        <v>169</v>
      </c>
      <c r="B1672" t="s">
        <v>6</v>
      </c>
      <c r="C1672" t="s">
        <v>702</v>
      </c>
      <c r="D1672" t="s">
        <v>703</v>
      </c>
      <c r="E1672">
        <v>20011744</v>
      </c>
      <c r="F1672" t="s">
        <v>741</v>
      </c>
      <c r="G1672">
        <v>597788</v>
      </c>
      <c r="H1672" s="184">
        <v>44252</v>
      </c>
      <c r="I1672" s="184">
        <v>44271</v>
      </c>
      <c r="J1672" t="s">
        <v>742</v>
      </c>
      <c r="K1672">
        <v>60000</v>
      </c>
      <c r="L1672" t="s">
        <v>244</v>
      </c>
    </row>
    <row r="1673" spans="1:12" x14ac:dyDescent="0.4">
      <c r="A1673" t="s">
        <v>169</v>
      </c>
      <c r="B1673" t="s">
        <v>6</v>
      </c>
      <c r="C1673" t="s">
        <v>702</v>
      </c>
      <c r="D1673" t="s">
        <v>703</v>
      </c>
      <c r="E1673">
        <v>20011744</v>
      </c>
      <c r="F1673" t="s">
        <v>741</v>
      </c>
      <c r="G1673">
        <v>597788</v>
      </c>
      <c r="H1673" s="184">
        <v>44252</v>
      </c>
      <c r="I1673" s="184">
        <v>44271</v>
      </c>
      <c r="J1673" t="s">
        <v>742</v>
      </c>
      <c r="K1673">
        <v>60000</v>
      </c>
      <c r="L1673" t="s">
        <v>245</v>
      </c>
    </row>
    <row r="1674" spans="1:12" x14ac:dyDescent="0.4">
      <c r="A1674" t="s">
        <v>169</v>
      </c>
      <c r="B1674" t="s">
        <v>6</v>
      </c>
      <c r="C1674" t="s">
        <v>702</v>
      </c>
      <c r="D1674" t="s">
        <v>703</v>
      </c>
      <c r="E1674">
        <v>20011744</v>
      </c>
      <c r="F1674" t="s">
        <v>741</v>
      </c>
      <c r="G1674">
        <v>597788</v>
      </c>
      <c r="H1674" s="184">
        <v>44252</v>
      </c>
      <c r="I1674" s="184">
        <v>44271</v>
      </c>
      <c r="J1674" t="s">
        <v>742</v>
      </c>
      <c r="K1674">
        <v>60000</v>
      </c>
      <c r="L1674" t="s">
        <v>246</v>
      </c>
    </row>
    <row r="1675" spans="1:12" x14ac:dyDescent="0.4">
      <c r="A1675" t="s">
        <v>169</v>
      </c>
      <c r="B1675" t="s">
        <v>6</v>
      </c>
      <c r="C1675" t="s">
        <v>702</v>
      </c>
      <c r="D1675" t="s">
        <v>703</v>
      </c>
      <c r="E1675">
        <v>20011744</v>
      </c>
      <c r="F1675" t="s">
        <v>741</v>
      </c>
      <c r="G1675">
        <v>597788</v>
      </c>
      <c r="H1675" s="184">
        <v>44252</v>
      </c>
      <c r="I1675" s="184">
        <v>44271</v>
      </c>
      <c r="J1675" t="s">
        <v>742</v>
      </c>
      <c r="K1675">
        <v>60000</v>
      </c>
      <c r="L1675" t="s">
        <v>247</v>
      </c>
    </row>
    <row r="1676" spans="1:12" x14ac:dyDescent="0.4">
      <c r="A1676" t="s">
        <v>169</v>
      </c>
      <c r="B1676" t="s">
        <v>6</v>
      </c>
      <c r="C1676" t="s">
        <v>702</v>
      </c>
      <c r="D1676" t="s">
        <v>703</v>
      </c>
      <c r="E1676">
        <v>20011788</v>
      </c>
      <c r="F1676" t="s">
        <v>743</v>
      </c>
      <c r="G1676">
        <v>596804</v>
      </c>
      <c r="H1676" s="184">
        <v>44182</v>
      </c>
      <c r="I1676" s="184">
        <v>44189</v>
      </c>
      <c r="J1676" t="s">
        <v>576</v>
      </c>
      <c r="K1676">
        <v>60000</v>
      </c>
      <c r="L1676" t="s">
        <v>186</v>
      </c>
    </row>
    <row r="1677" spans="1:12" x14ac:dyDescent="0.4">
      <c r="A1677" t="s">
        <v>169</v>
      </c>
      <c r="B1677" t="s">
        <v>6</v>
      </c>
      <c r="C1677" t="s">
        <v>702</v>
      </c>
      <c r="D1677" t="s">
        <v>703</v>
      </c>
      <c r="E1677">
        <v>20011788</v>
      </c>
      <c r="F1677" t="s">
        <v>743</v>
      </c>
      <c r="G1677">
        <v>596804</v>
      </c>
      <c r="H1677" s="184">
        <v>44182</v>
      </c>
      <c r="I1677" s="184">
        <v>44189</v>
      </c>
      <c r="J1677" t="s">
        <v>576</v>
      </c>
      <c r="K1677">
        <v>60000</v>
      </c>
      <c r="L1677" t="s">
        <v>197</v>
      </c>
    </row>
    <row r="1678" spans="1:12" x14ac:dyDescent="0.4">
      <c r="A1678" t="s">
        <v>169</v>
      </c>
      <c r="B1678" t="s">
        <v>6</v>
      </c>
      <c r="C1678" t="s">
        <v>702</v>
      </c>
      <c r="D1678" t="s">
        <v>703</v>
      </c>
      <c r="E1678">
        <v>20011788</v>
      </c>
      <c r="F1678" t="s">
        <v>743</v>
      </c>
      <c r="G1678">
        <v>596804</v>
      </c>
      <c r="H1678" s="184">
        <v>44182</v>
      </c>
      <c r="I1678" s="184">
        <v>44189</v>
      </c>
      <c r="J1678" t="s">
        <v>576</v>
      </c>
      <c r="K1678">
        <v>60000</v>
      </c>
      <c r="L1678" t="s">
        <v>198</v>
      </c>
    </row>
    <row r="1679" spans="1:12" x14ac:dyDescent="0.4">
      <c r="A1679" t="s">
        <v>169</v>
      </c>
      <c r="B1679" t="s">
        <v>6</v>
      </c>
      <c r="C1679" t="s">
        <v>702</v>
      </c>
      <c r="D1679" t="s">
        <v>703</v>
      </c>
      <c r="E1679">
        <v>20011788</v>
      </c>
      <c r="F1679" t="s">
        <v>743</v>
      </c>
      <c r="G1679">
        <v>596804</v>
      </c>
      <c r="H1679" s="184">
        <v>44182</v>
      </c>
      <c r="I1679" s="184">
        <v>44189</v>
      </c>
      <c r="J1679" t="s">
        <v>576</v>
      </c>
      <c r="K1679">
        <v>60000</v>
      </c>
      <c r="L1679" t="s">
        <v>199</v>
      </c>
    </row>
    <row r="1680" spans="1:12" x14ac:dyDescent="0.4">
      <c r="A1680" t="s">
        <v>169</v>
      </c>
      <c r="B1680" t="s">
        <v>6</v>
      </c>
      <c r="C1680" t="s">
        <v>702</v>
      </c>
      <c r="D1680" t="s">
        <v>703</v>
      </c>
      <c r="E1680">
        <v>20011788</v>
      </c>
      <c r="F1680" t="s">
        <v>743</v>
      </c>
      <c r="G1680">
        <v>596804</v>
      </c>
      <c r="H1680" s="184">
        <v>44182</v>
      </c>
      <c r="I1680" s="184">
        <v>44189</v>
      </c>
      <c r="J1680" t="s">
        <v>576</v>
      </c>
      <c r="K1680">
        <v>60000</v>
      </c>
      <c r="L1680" t="s">
        <v>200</v>
      </c>
    </row>
    <row r="1681" spans="1:12" x14ac:dyDescent="0.4">
      <c r="A1681" t="s">
        <v>169</v>
      </c>
      <c r="B1681" t="s">
        <v>6</v>
      </c>
      <c r="C1681" t="s">
        <v>702</v>
      </c>
      <c r="D1681" t="s">
        <v>703</v>
      </c>
      <c r="E1681">
        <v>20011788</v>
      </c>
      <c r="F1681" t="s">
        <v>743</v>
      </c>
      <c r="G1681">
        <v>596804</v>
      </c>
      <c r="H1681" s="184">
        <v>44182</v>
      </c>
      <c r="I1681" s="184">
        <v>44189</v>
      </c>
      <c r="J1681" t="s">
        <v>576</v>
      </c>
      <c r="K1681">
        <v>60000</v>
      </c>
      <c r="L1681" t="s">
        <v>302</v>
      </c>
    </row>
    <row r="1682" spans="1:12" x14ac:dyDescent="0.4">
      <c r="A1682" t="s">
        <v>169</v>
      </c>
      <c r="B1682" t="s">
        <v>6</v>
      </c>
      <c r="C1682" t="s">
        <v>702</v>
      </c>
      <c r="D1682" t="s">
        <v>703</v>
      </c>
      <c r="E1682">
        <v>20012244</v>
      </c>
      <c r="F1682" t="s">
        <v>744</v>
      </c>
      <c r="G1682">
        <v>595883</v>
      </c>
      <c r="H1682" s="184">
        <v>44145</v>
      </c>
      <c r="I1682" s="184">
        <v>44165</v>
      </c>
      <c r="J1682" t="s">
        <v>745</v>
      </c>
      <c r="K1682">
        <v>60000</v>
      </c>
      <c r="L1682" t="s">
        <v>196</v>
      </c>
    </row>
    <row r="1683" spans="1:12" x14ac:dyDescent="0.4">
      <c r="A1683" t="s">
        <v>169</v>
      </c>
      <c r="B1683" t="s">
        <v>6</v>
      </c>
      <c r="C1683" t="s">
        <v>702</v>
      </c>
      <c r="D1683" t="s">
        <v>703</v>
      </c>
      <c r="E1683">
        <v>20012244</v>
      </c>
      <c r="F1683" t="s">
        <v>744</v>
      </c>
      <c r="G1683">
        <v>595883</v>
      </c>
      <c r="H1683" s="184">
        <v>44145</v>
      </c>
      <c r="I1683" s="184">
        <v>44165</v>
      </c>
      <c r="J1683" t="s">
        <v>745</v>
      </c>
      <c r="K1683">
        <v>60000</v>
      </c>
      <c r="L1683" t="s">
        <v>211</v>
      </c>
    </row>
    <row r="1684" spans="1:12" x14ac:dyDescent="0.4">
      <c r="A1684" t="s">
        <v>169</v>
      </c>
      <c r="B1684" t="s">
        <v>6</v>
      </c>
      <c r="C1684" t="s">
        <v>702</v>
      </c>
      <c r="D1684" t="s">
        <v>703</v>
      </c>
      <c r="E1684">
        <v>20012244</v>
      </c>
      <c r="F1684" t="s">
        <v>744</v>
      </c>
      <c r="G1684">
        <v>595883</v>
      </c>
      <c r="H1684" s="184">
        <v>44145</v>
      </c>
      <c r="I1684" s="184">
        <v>44165</v>
      </c>
      <c r="J1684" t="s">
        <v>745</v>
      </c>
      <c r="K1684">
        <v>60000</v>
      </c>
      <c r="L1684" t="s">
        <v>212</v>
      </c>
    </row>
    <row r="1685" spans="1:12" x14ac:dyDescent="0.4">
      <c r="A1685" t="s">
        <v>169</v>
      </c>
      <c r="B1685" t="s">
        <v>6</v>
      </c>
      <c r="C1685" t="s">
        <v>702</v>
      </c>
      <c r="D1685" t="s">
        <v>703</v>
      </c>
      <c r="E1685">
        <v>20012244</v>
      </c>
      <c r="F1685" t="s">
        <v>744</v>
      </c>
      <c r="G1685">
        <v>595883</v>
      </c>
      <c r="H1685" s="184">
        <v>44145</v>
      </c>
      <c r="I1685" s="184">
        <v>44165</v>
      </c>
      <c r="J1685" t="s">
        <v>745</v>
      </c>
      <c r="K1685">
        <v>60000</v>
      </c>
      <c r="L1685" t="s">
        <v>213</v>
      </c>
    </row>
    <row r="1686" spans="1:12" x14ac:dyDescent="0.4">
      <c r="A1686" t="s">
        <v>169</v>
      </c>
      <c r="B1686" t="s">
        <v>6</v>
      </c>
      <c r="C1686" t="s">
        <v>702</v>
      </c>
      <c r="D1686" t="s">
        <v>703</v>
      </c>
      <c r="E1686">
        <v>20012244</v>
      </c>
      <c r="F1686" t="s">
        <v>744</v>
      </c>
      <c r="G1686">
        <v>595883</v>
      </c>
      <c r="H1686" s="184">
        <v>44145</v>
      </c>
      <c r="I1686" s="184">
        <v>44165</v>
      </c>
      <c r="J1686" t="s">
        <v>745</v>
      </c>
      <c r="K1686">
        <v>60000</v>
      </c>
      <c r="L1686" t="s">
        <v>214</v>
      </c>
    </row>
    <row r="1687" spans="1:12" x14ac:dyDescent="0.4">
      <c r="A1687" t="s">
        <v>169</v>
      </c>
      <c r="B1687" t="s">
        <v>6</v>
      </c>
      <c r="C1687" t="s">
        <v>702</v>
      </c>
      <c r="D1687" t="s">
        <v>703</v>
      </c>
      <c r="E1687">
        <v>20012244</v>
      </c>
      <c r="F1687" t="s">
        <v>744</v>
      </c>
      <c r="G1687">
        <v>595883</v>
      </c>
      <c r="H1687" s="184">
        <v>44145</v>
      </c>
      <c r="I1687" s="184">
        <v>44165</v>
      </c>
      <c r="J1687" t="s">
        <v>745</v>
      </c>
      <c r="K1687">
        <v>60000</v>
      </c>
      <c r="L1687" t="s">
        <v>215</v>
      </c>
    </row>
    <row r="1688" spans="1:12" x14ac:dyDescent="0.4">
      <c r="A1688" t="s">
        <v>169</v>
      </c>
      <c r="B1688" t="s">
        <v>6</v>
      </c>
      <c r="C1688" t="s">
        <v>702</v>
      </c>
      <c r="D1688" t="s">
        <v>703</v>
      </c>
      <c r="E1688">
        <v>20013105</v>
      </c>
      <c r="F1688" t="s">
        <v>746</v>
      </c>
      <c r="G1688">
        <v>591697</v>
      </c>
      <c r="H1688" s="184">
        <v>43892</v>
      </c>
      <c r="I1688" s="184">
        <v>43900</v>
      </c>
      <c r="J1688" t="s">
        <v>747</v>
      </c>
      <c r="K1688">
        <v>60000</v>
      </c>
      <c r="L1688" t="s">
        <v>281</v>
      </c>
    </row>
    <row r="1689" spans="1:12" x14ac:dyDescent="0.4">
      <c r="A1689" t="s">
        <v>169</v>
      </c>
      <c r="B1689" t="s">
        <v>6</v>
      </c>
      <c r="C1689" t="s">
        <v>702</v>
      </c>
      <c r="D1689" t="s">
        <v>703</v>
      </c>
      <c r="E1689">
        <v>20013105</v>
      </c>
      <c r="F1689" t="s">
        <v>746</v>
      </c>
      <c r="G1689">
        <v>591697</v>
      </c>
      <c r="H1689" s="184">
        <v>43892</v>
      </c>
      <c r="I1689" s="184">
        <v>43900</v>
      </c>
      <c r="J1689" t="s">
        <v>747</v>
      </c>
      <c r="K1689">
        <v>60000</v>
      </c>
      <c r="L1689" t="s">
        <v>230</v>
      </c>
    </row>
    <row r="1690" spans="1:12" x14ac:dyDescent="0.4">
      <c r="A1690" t="s">
        <v>169</v>
      </c>
      <c r="B1690" t="s">
        <v>6</v>
      </c>
      <c r="C1690" t="s">
        <v>702</v>
      </c>
      <c r="D1690" t="s">
        <v>703</v>
      </c>
      <c r="E1690">
        <v>20013105</v>
      </c>
      <c r="F1690" t="s">
        <v>746</v>
      </c>
      <c r="G1690">
        <v>591697</v>
      </c>
      <c r="H1690" s="184">
        <v>43892</v>
      </c>
      <c r="I1690" s="184">
        <v>43900</v>
      </c>
      <c r="J1690" t="s">
        <v>747</v>
      </c>
      <c r="K1690">
        <v>60000</v>
      </c>
      <c r="L1690" t="s">
        <v>243</v>
      </c>
    </row>
    <row r="1691" spans="1:12" x14ac:dyDescent="0.4">
      <c r="A1691" t="s">
        <v>169</v>
      </c>
      <c r="B1691" t="s">
        <v>6</v>
      </c>
      <c r="C1691" t="s">
        <v>702</v>
      </c>
      <c r="D1691" t="s">
        <v>703</v>
      </c>
      <c r="E1691">
        <v>20013105</v>
      </c>
      <c r="F1691" t="s">
        <v>746</v>
      </c>
      <c r="G1691">
        <v>591697</v>
      </c>
      <c r="H1691" s="184">
        <v>43892</v>
      </c>
      <c r="I1691" s="184">
        <v>43900</v>
      </c>
      <c r="J1691" t="s">
        <v>747</v>
      </c>
      <c r="K1691">
        <v>60000</v>
      </c>
      <c r="L1691" t="s">
        <v>244</v>
      </c>
    </row>
    <row r="1692" spans="1:12" x14ac:dyDescent="0.4">
      <c r="A1692" t="s">
        <v>169</v>
      </c>
      <c r="B1692" t="s">
        <v>6</v>
      </c>
      <c r="C1692" t="s">
        <v>702</v>
      </c>
      <c r="D1692" t="s">
        <v>703</v>
      </c>
      <c r="E1692">
        <v>20013105</v>
      </c>
      <c r="F1692" t="s">
        <v>746</v>
      </c>
      <c r="G1692">
        <v>591697</v>
      </c>
      <c r="H1692" s="184">
        <v>43892</v>
      </c>
      <c r="I1692" s="184">
        <v>43900</v>
      </c>
      <c r="J1692" t="s">
        <v>747</v>
      </c>
      <c r="K1692">
        <v>60000</v>
      </c>
      <c r="L1692" t="s">
        <v>245</v>
      </c>
    </row>
    <row r="1693" spans="1:12" x14ac:dyDescent="0.4">
      <c r="A1693" t="s">
        <v>169</v>
      </c>
      <c r="B1693" t="s">
        <v>6</v>
      </c>
      <c r="C1693" t="s">
        <v>702</v>
      </c>
      <c r="D1693" t="s">
        <v>703</v>
      </c>
      <c r="E1693">
        <v>20013105</v>
      </c>
      <c r="F1693" t="s">
        <v>746</v>
      </c>
      <c r="G1693">
        <v>591697</v>
      </c>
      <c r="H1693" s="184">
        <v>43892</v>
      </c>
      <c r="I1693" s="184">
        <v>43900</v>
      </c>
      <c r="J1693" t="s">
        <v>747</v>
      </c>
      <c r="K1693">
        <v>60000</v>
      </c>
      <c r="L1693" t="s">
        <v>246</v>
      </c>
    </row>
    <row r="1694" spans="1:12" x14ac:dyDescent="0.4">
      <c r="A1694" t="s">
        <v>169</v>
      </c>
      <c r="B1694" t="s">
        <v>6</v>
      </c>
      <c r="C1694" t="s">
        <v>702</v>
      </c>
      <c r="D1694" t="s">
        <v>703</v>
      </c>
      <c r="E1694">
        <v>20013704</v>
      </c>
      <c r="F1694" t="s">
        <v>748</v>
      </c>
      <c r="G1694">
        <v>593236</v>
      </c>
      <c r="H1694" s="184">
        <v>43970</v>
      </c>
      <c r="I1694" s="184">
        <v>43973</v>
      </c>
      <c r="J1694" t="s">
        <v>729</v>
      </c>
      <c r="K1694">
        <v>60000</v>
      </c>
      <c r="L1694" t="s">
        <v>376</v>
      </c>
    </row>
    <row r="1695" spans="1:12" x14ac:dyDescent="0.4">
      <c r="A1695" t="s">
        <v>169</v>
      </c>
      <c r="B1695" t="s">
        <v>6</v>
      </c>
      <c r="C1695" t="s">
        <v>702</v>
      </c>
      <c r="D1695" t="s">
        <v>703</v>
      </c>
      <c r="E1695">
        <v>20013704</v>
      </c>
      <c r="F1695" t="s">
        <v>748</v>
      </c>
      <c r="G1695">
        <v>593236</v>
      </c>
      <c r="H1695" s="184">
        <v>43970</v>
      </c>
      <c r="I1695" s="184">
        <v>43973</v>
      </c>
      <c r="J1695" t="s">
        <v>729</v>
      </c>
      <c r="K1695">
        <v>60000</v>
      </c>
      <c r="L1695" t="s">
        <v>311</v>
      </c>
    </row>
    <row r="1696" spans="1:12" x14ac:dyDescent="0.4">
      <c r="A1696" t="s">
        <v>169</v>
      </c>
      <c r="B1696" t="s">
        <v>6</v>
      </c>
      <c r="C1696" t="s">
        <v>702</v>
      </c>
      <c r="D1696" t="s">
        <v>703</v>
      </c>
      <c r="E1696">
        <v>20013704</v>
      </c>
      <c r="F1696" t="s">
        <v>748</v>
      </c>
      <c r="G1696">
        <v>593236</v>
      </c>
      <c r="H1696" s="184">
        <v>43970</v>
      </c>
      <c r="I1696" s="184">
        <v>43973</v>
      </c>
      <c r="J1696" t="s">
        <v>729</v>
      </c>
      <c r="K1696">
        <v>60000</v>
      </c>
      <c r="L1696" t="s">
        <v>259</v>
      </c>
    </row>
    <row r="1697" spans="1:12" x14ac:dyDescent="0.4">
      <c r="A1697" t="s">
        <v>169</v>
      </c>
      <c r="B1697" t="s">
        <v>6</v>
      </c>
      <c r="C1697" t="s">
        <v>702</v>
      </c>
      <c r="D1697" t="s">
        <v>703</v>
      </c>
      <c r="E1697">
        <v>20013704</v>
      </c>
      <c r="F1697" t="s">
        <v>748</v>
      </c>
      <c r="G1697">
        <v>593236</v>
      </c>
      <c r="H1697" s="184">
        <v>43970</v>
      </c>
      <c r="I1697" s="184">
        <v>43973</v>
      </c>
      <c r="J1697" t="s">
        <v>729</v>
      </c>
      <c r="K1697">
        <v>60000</v>
      </c>
      <c r="L1697" t="s">
        <v>260</v>
      </c>
    </row>
    <row r="1698" spans="1:12" x14ac:dyDescent="0.4">
      <c r="A1698" t="s">
        <v>169</v>
      </c>
      <c r="B1698" t="s">
        <v>6</v>
      </c>
      <c r="C1698" t="s">
        <v>702</v>
      </c>
      <c r="D1698" t="s">
        <v>703</v>
      </c>
      <c r="E1698">
        <v>20013704</v>
      </c>
      <c r="F1698" t="s">
        <v>748</v>
      </c>
      <c r="G1698">
        <v>593236</v>
      </c>
      <c r="H1698" s="184">
        <v>43970</v>
      </c>
      <c r="I1698" s="184">
        <v>43973</v>
      </c>
      <c r="J1698" t="s">
        <v>729</v>
      </c>
      <c r="K1698">
        <v>60000</v>
      </c>
      <c r="L1698" t="s">
        <v>261</v>
      </c>
    </row>
    <row r="1699" spans="1:12" x14ac:dyDescent="0.4">
      <c r="A1699" t="s">
        <v>169</v>
      </c>
      <c r="B1699" t="s">
        <v>6</v>
      </c>
      <c r="C1699" t="s">
        <v>702</v>
      </c>
      <c r="D1699" t="s">
        <v>703</v>
      </c>
      <c r="E1699">
        <v>20013704</v>
      </c>
      <c r="F1699" t="s">
        <v>748</v>
      </c>
      <c r="G1699">
        <v>593236</v>
      </c>
      <c r="H1699" s="184">
        <v>43970</v>
      </c>
      <c r="I1699" s="184">
        <v>43973</v>
      </c>
      <c r="J1699" t="s">
        <v>729</v>
      </c>
      <c r="K1699">
        <v>60000</v>
      </c>
      <c r="L1699" t="s">
        <v>262</v>
      </c>
    </row>
    <row r="1700" spans="1:12" x14ac:dyDescent="0.4">
      <c r="A1700" t="s">
        <v>169</v>
      </c>
      <c r="B1700" t="s">
        <v>6</v>
      </c>
      <c r="C1700" t="s">
        <v>702</v>
      </c>
      <c r="D1700" t="s">
        <v>703</v>
      </c>
      <c r="E1700">
        <v>20013729</v>
      </c>
      <c r="F1700" t="s">
        <v>749</v>
      </c>
      <c r="G1700">
        <v>598955</v>
      </c>
      <c r="H1700" s="184"/>
      <c r="I1700" s="184"/>
      <c r="J1700" t="s">
        <v>679</v>
      </c>
      <c r="K1700">
        <v>60000</v>
      </c>
      <c r="L1700" t="s">
        <v>258</v>
      </c>
    </row>
    <row r="1701" spans="1:12" x14ac:dyDescent="0.4">
      <c r="A1701" t="s">
        <v>169</v>
      </c>
      <c r="B1701" t="s">
        <v>6</v>
      </c>
      <c r="C1701" t="s">
        <v>702</v>
      </c>
      <c r="D1701" t="s">
        <v>703</v>
      </c>
      <c r="E1701">
        <v>20013729</v>
      </c>
      <c r="F1701" t="s">
        <v>749</v>
      </c>
      <c r="G1701">
        <v>598955</v>
      </c>
      <c r="H1701" s="184"/>
      <c r="I1701" s="184"/>
      <c r="J1701" t="s">
        <v>679</v>
      </c>
      <c r="K1701">
        <v>60000</v>
      </c>
      <c r="L1701" t="s">
        <v>259</v>
      </c>
    </row>
    <row r="1702" spans="1:12" x14ac:dyDescent="0.4">
      <c r="A1702" t="s">
        <v>169</v>
      </c>
      <c r="B1702" t="s">
        <v>6</v>
      </c>
      <c r="C1702" t="s">
        <v>702</v>
      </c>
      <c r="D1702" t="s">
        <v>703</v>
      </c>
      <c r="E1702">
        <v>20013729</v>
      </c>
      <c r="F1702" t="s">
        <v>749</v>
      </c>
      <c r="G1702">
        <v>598955</v>
      </c>
      <c r="H1702" s="184"/>
      <c r="I1702" s="184"/>
      <c r="J1702" t="s">
        <v>679</v>
      </c>
      <c r="K1702">
        <v>60000</v>
      </c>
      <c r="L1702" t="s">
        <v>260</v>
      </c>
    </row>
    <row r="1703" spans="1:12" x14ac:dyDescent="0.4">
      <c r="A1703" t="s">
        <v>169</v>
      </c>
      <c r="B1703" t="s">
        <v>6</v>
      </c>
      <c r="C1703" t="s">
        <v>702</v>
      </c>
      <c r="D1703" t="s">
        <v>703</v>
      </c>
      <c r="E1703">
        <v>20013729</v>
      </c>
      <c r="F1703" t="s">
        <v>749</v>
      </c>
      <c r="G1703">
        <v>598955</v>
      </c>
      <c r="H1703" s="184"/>
      <c r="I1703" s="184"/>
      <c r="J1703" t="s">
        <v>679</v>
      </c>
      <c r="K1703">
        <v>60000</v>
      </c>
      <c r="L1703" t="s">
        <v>261</v>
      </c>
    </row>
    <row r="1704" spans="1:12" x14ac:dyDescent="0.4">
      <c r="A1704" t="s">
        <v>169</v>
      </c>
      <c r="B1704" t="s">
        <v>6</v>
      </c>
      <c r="C1704" t="s">
        <v>702</v>
      </c>
      <c r="D1704" t="s">
        <v>703</v>
      </c>
      <c r="E1704">
        <v>20013729</v>
      </c>
      <c r="F1704" t="s">
        <v>749</v>
      </c>
      <c r="G1704">
        <v>598955</v>
      </c>
      <c r="H1704" s="184"/>
      <c r="I1704" s="184"/>
      <c r="J1704" t="s">
        <v>679</v>
      </c>
      <c r="K1704">
        <v>60000</v>
      </c>
      <c r="L1704" t="s">
        <v>262</v>
      </c>
    </row>
    <row r="1705" spans="1:12" x14ac:dyDescent="0.4">
      <c r="A1705" t="s">
        <v>169</v>
      </c>
      <c r="B1705" t="s">
        <v>6</v>
      </c>
      <c r="C1705" t="s">
        <v>702</v>
      </c>
      <c r="D1705" t="s">
        <v>703</v>
      </c>
      <c r="E1705">
        <v>20013729</v>
      </c>
      <c r="F1705" t="s">
        <v>749</v>
      </c>
      <c r="G1705">
        <v>598955</v>
      </c>
      <c r="H1705" s="184"/>
      <c r="I1705" s="184"/>
      <c r="J1705" t="s">
        <v>679</v>
      </c>
      <c r="K1705">
        <v>60000</v>
      </c>
      <c r="L1705" t="s">
        <v>263</v>
      </c>
    </row>
    <row r="1706" spans="1:12" x14ac:dyDescent="0.4">
      <c r="A1706" t="s">
        <v>169</v>
      </c>
      <c r="B1706" t="s">
        <v>6</v>
      </c>
      <c r="C1706" t="s">
        <v>702</v>
      </c>
      <c r="D1706" t="s">
        <v>703</v>
      </c>
      <c r="E1706">
        <v>20013794</v>
      </c>
      <c r="F1706" t="s">
        <v>750</v>
      </c>
      <c r="G1706">
        <v>598068</v>
      </c>
      <c r="H1706" s="184">
        <v>44271</v>
      </c>
      <c r="I1706" s="184">
        <v>44272</v>
      </c>
      <c r="J1706" t="s">
        <v>751</v>
      </c>
      <c r="K1706">
        <v>60000</v>
      </c>
      <c r="L1706" t="s">
        <v>242</v>
      </c>
    </row>
    <row r="1707" spans="1:12" x14ac:dyDescent="0.4">
      <c r="A1707" t="s">
        <v>169</v>
      </c>
      <c r="B1707" t="s">
        <v>6</v>
      </c>
      <c r="C1707" t="s">
        <v>702</v>
      </c>
      <c r="D1707" t="s">
        <v>703</v>
      </c>
      <c r="E1707">
        <v>20013794</v>
      </c>
      <c r="F1707" t="s">
        <v>750</v>
      </c>
      <c r="G1707">
        <v>598068</v>
      </c>
      <c r="H1707" s="184">
        <v>44271</v>
      </c>
      <c r="I1707" s="184">
        <v>44272</v>
      </c>
      <c r="J1707" t="s">
        <v>751</v>
      </c>
      <c r="K1707">
        <v>60000</v>
      </c>
      <c r="L1707" t="s">
        <v>243</v>
      </c>
    </row>
    <row r="1708" spans="1:12" x14ac:dyDescent="0.4">
      <c r="A1708" t="s">
        <v>169</v>
      </c>
      <c r="B1708" t="s">
        <v>6</v>
      </c>
      <c r="C1708" t="s">
        <v>702</v>
      </c>
      <c r="D1708" t="s">
        <v>703</v>
      </c>
      <c r="E1708">
        <v>20013794</v>
      </c>
      <c r="F1708" t="s">
        <v>750</v>
      </c>
      <c r="G1708">
        <v>598068</v>
      </c>
      <c r="H1708" s="184">
        <v>44271</v>
      </c>
      <c r="I1708" s="184">
        <v>44272</v>
      </c>
      <c r="J1708" t="s">
        <v>751</v>
      </c>
      <c r="K1708">
        <v>60000</v>
      </c>
      <c r="L1708" t="s">
        <v>244</v>
      </c>
    </row>
    <row r="1709" spans="1:12" x14ac:dyDescent="0.4">
      <c r="A1709" t="s">
        <v>169</v>
      </c>
      <c r="B1709" t="s">
        <v>6</v>
      </c>
      <c r="C1709" t="s">
        <v>702</v>
      </c>
      <c r="D1709" t="s">
        <v>703</v>
      </c>
      <c r="E1709">
        <v>20013794</v>
      </c>
      <c r="F1709" t="s">
        <v>750</v>
      </c>
      <c r="G1709">
        <v>598068</v>
      </c>
      <c r="H1709" s="184">
        <v>44271</v>
      </c>
      <c r="I1709" s="184">
        <v>44272</v>
      </c>
      <c r="J1709" t="s">
        <v>751</v>
      </c>
      <c r="K1709">
        <v>60000</v>
      </c>
      <c r="L1709" t="s">
        <v>245</v>
      </c>
    </row>
    <row r="1710" spans="1:12" x14ac:dyDescent="0.4">
      <c r="A1710" t="s">
        <v>169</v>
      </c>
      <c r="B1710" t="s">
        <v>6</v>
      </c>
      <c r="C1710" t="s">
        <v>702</v>
      </c>
      <c r="D1710" t="s">
        <v>703</v>
      </c>
      <c r="E1710">
        <v>20013794</v>
      </c>
      <c r="F1710" t="s">
        <v>750</v>
      </c>
      <c r="G1710">
        <v>598068</v>
      </c>
      <c r="H1710" s="184">
        <v>44271</v>
      </c>
      <c r="I1710" s="184">
        <v>44272</v>
      </c>
      <c r="J1710" t="s">
        <v>751</v>
      </c>
      <c r="K1710">
        <v>60000</v>
      </c>
      <c r="L1710" t="s">
        <v>246</v>
      </c>
    </row>
    <row r="1711" spans="1:12" x14ac:dyDescent="0.4">
      <c r="A1711" t="s">
        <v>169</v>
      </c>
      <c r="B1711" t="s">
        <v>6</v>
      </c>
      <c r="C1711" t="s">
        <v>702</v>
      </c>
      <c r="D1711" t="s">
        <v>703</v>
      </c>
      <c r="E1711">
        <v>20013794</v>
      </c>
      <c r="F1711" t="s">
        <v>750</v>
      </c>
      <c r="G1711">
        <v>598068</v>
      </c>
      <c r="H1711" s="184">
        <v>44271</v>
      </c>
      <c r="I1711" s="184">
        <v>44272</v>
      </c>
      <c r="J1711" t="s">
        <v>751</v>
      </c>
      <c r="K1711">
        <v>60000</v>
      </c>
      <c r="L1711" t="s">
        <v>247</v>
      </c>
    </row>
    <row r="1712" spans="1:12" x14ac:dyDescent="0.4">
      <c r="A1712" t="s">
        <v>169</v>
      </c>
      <c r="B1712" t="s">
        <v>6</v>
      </c>
      <c r="C1712" t="s">
        <v>702</v>
      </c>
      <c r="D1712" t="s">
        <v>703</v>
      </c>
      <c r="E1712">
        <v>20014209</v>
      </c>
      <c r="F1712" t="s">
        <v>752</v>
      </c>
      <c r="G1712">
        <v>594239</v>
      </c>
      <c r="H1712" s="184">
        <v>44071</v>
      </c>
      <c r="I1712" s="184">
        <v>44074</v>
      </c>
      <c r="J1712" t="s">
        <v>202</v>
      </c>
      <c r="K1712">
        <v>60000</v>
      </c>
      <c r="L1712" t="s">
        <v>203</v>
      </c>
    </row>
    <row r="1713" spans="1:12" x14ac:dyDescent="0.4">
      <c r="A1713" t="s">
        <v>169</v>
      </c>
      <c r="B1713" t="s">
        <v>6</v>
      </c>
      <c r="C1713" t="s">
        <v>702</v>
      </c>
      <c r="D1713" t="s">
        <v>703</v>
      </c>
      <c r="E1713">
        <v>20014209</v>
      </c>
      <c r="F1713" t="s">
        <v>752</v>
      </c>
      <c r="G1713">
        <v>594239</v>
      </c>
      <c r="H1713" s="184">
        <v>44071</v>
      </c>
      <c r="I1713" s="184">
        <v>44074</v>
      </c>
      <c r="J1713" t="s">
        <v>202</v>
      </c>
      <c r="K1713">
        <v>60000</v>
      </c>
      <c r="L1713" t="s">
        <v>204</v>
      </c>
    </row>
    <row r="1714" spans="1:12" x14ac:dyDescent="0.4">
      <c r="A1714" t="s">
        <v>169</v>
      </c>
      <c r="B1714" t="s">
        <v>6</v>
      </c>
      <c r="C1714" t="s">
        <v>702</v>
      </c>
      <c r="D1714" t="s">
        <v>703</v>
      </c>
      <c r="E1714">
        <v>20014209</v>
      </c>
      <c r="F1714" t="s">
        <v>752</v>
      </c>
      <c r="G1714">
        <v>594239</v>
      </c>
      <c r="H1714" s="184">
        <v>44071</v>
      </c>
      <c r="I1714" s="184">
        <v>44074</v>
      </c>
      <c r="J1714" t="s">
        <v>202</v>
      </c>
      <c r="K1714">
        <v>60000</v>
      </c>
      <c r="L1714" t="s">
        <v>205</v>
      </c>
    </row>
    <row r="1715" spans="1:12" x14ac:dyDescent="0.4">
      <c r="A1715" t="s">
        <v>169</v>
      </c>
      <c r="B1715" t="s">
        <v>6</v>
      </c>
      <c r="C1715" t="s">
        <v>702</v>
      </c>
      <c r="D1715" t="s">
        <v>703</v>
      </c>
      <c r="E1715">
        <v>20014209</v>
      </c>
      <c r="F1715" t="s">
        <v>752</v>
      </c>
      <c r="G1715">
        <v>594239</v>
      </c>
      <c r="H1715" s="184">
        <v>44071</v>
      </c>
      <c r="I1715" s="184">
        <v>44074</v>
      </c>
      <c r="J1715" t="s">
        <v>202</v>
      </c>
      <c r="K1715">
        <v>60000</v>
      </c>
      <c r="L1715" t="s">
        <v>206</v>
      </c>
    </row>
    <row r="1716" spans="1:12" x14ac:dyDescent="0.4">
      <c r="A1716" t="s">
        <v>169</v>
      </c>
      <c r="B1716" t="s">
        <v>6</v>
      </c>
      <c r="C1716" t="s">
        <v>702</v>
      </c>
      <c r="D1716" t="s">
        <v>703</v>
      </c>
      <c r="E1716">
        <v>20014209</v>
      </c>
      <c r="F1716" t="s">
        <v>752</v>
      </c>
      <c r="G1716">
        <v>594239</v>
      </c>
      <c r="H1716" s="184">
        <v>44071</v>
      </c>
      <c r="I1716" s="184">
        <v>44074</v>
      </c>
      <c r="J1716" t="s">
        <v>202</v>
      </c>
      <c r="K1716">
        <v>60000</v>
      </c>
      <c r="L1716" t="s">
        <v>207</v>
      </c>
    </row>
    <row r="1717" spans="1:12" x14ac:dyDescent="0.4">
      <c r="A1717" t="s">
        <v>169</v>
      </c>
      <c r="B1717" t="s">
        <v>6</v>
      </c>
      <c r="C1717" t="s">
        <v>702</v>
      </c>
      <c r="D1717" t="s">
        <v>703</v>
      </c>
      <c r="E1717">
        <v>20014209</v>
      </c>
      <c r="F1717" t="s">
        <v>752</v>
      </c>
      <c r="G1717">
        <v>594239</v>
      </c>
      <c r="H1717" s="184">
        <v>44071</v>
      </c>
      <c r="I1717" s="184">
        <v>44074</v>
      </c>
      <c r="J1717" t="s">
        <v>202</v>
      </c>
      <c r="K1717">
        <v>60000</v>
      </c>
      <c r="L1717" t="s">
        <v>208</v>
      </c>
    </row>
    <row r="1718" spans="1:12" x14ac:dyDescent="0.4">
      <c r="A1718" t="s">
        <v>169</v>
      </c>
      <c r="B1718" t="s">
        <v>6</v>
      </c>
      <c r="C1718" t="s">
        <v>702</v>
      </c>
      <c r="D1718" t="s">
        <v>703</v>
      </c>
      <c r="E1718">
        <v>20014360</v>
      </c>
      <c r="F1718" t="s">
        <v>753</v>
      </c>
      <c r="G1718">
        <v>594069</v>
      </c>
      <c r="H1718" s="184">
        <v>44028</v>
      </c>
      <c r="I1718" s="184">
        <v>44032</v>
      </c>
      <c r="J1718" t="s">
        <v>754</v>
      </c>
      <c r="K1718">
        <v>60000</v>
      </c>
      <c r="L1718" t="s">
        <v>220</v>
      </c>
    </row>
    <row r="1719" spans="1:12" x14ac:dyDescent="0.4">
      <c r="A1719" t="s">
        <v>169</v>
      </c>
      <c r="B1719" t="s">
        <v>6</v>
      </c>
      <c r="C1719" t="s">
        <v>702</v>
      </c>
      <c r="D1719" t="s">
        <v>703</v>
      </c>
      <c r="E1719">
        <v>20014360</v>
      </c>
      <c r="F1719" t="s">
        <v>753</v>
      </c>
      <c r="G1719">
        <v>594069</v>
      </c>
      <c r="H1719" s="184">
        <v>44028</v>
      </c>
      <c r="I1719" s="184">
        <v>44032</v>
      </c>
      <c r="J1719" t="s">
        <v>754</v>
      </c>
      <c r="K1719">
        <v>60000</v>
      </c>
      <c r="L1719" t="s">
        <v>221</v>
      </c>
    </row>
    <row r="1720" spans="1:12" x14ac:dyDescent="0.4">
      <c r="A1720" t="s">
        <v>169</v>
      </c>
      <c r="B1720" t="s">
        <v>6</v>
      </c>
      <c r="C1720" t="s">
        <v>702</v>
      </c>
      <c r="D1720" t="s">
        <v>703</v>
      </c>
      <c r="E1720">
        <v>20014360</v>
      </c>
      <c r="F1720" t="s">
        <v>753</v>
      </c>
      <c r="G1720">
        <v>594069</v>
      </c>
      <c r="H1720" s="184">
        <v>44028</v>
      </c>
      <c r="I1720" s="184">
        <v>44032</v>
      </c>
      <c r="J1720" t="s">
        <v>754</v>
      </c>
      <c r="K1720">
        <v>60000</v>
      </c>
      <c r="L1720" t="s">
        <v>222</v>
      </c>
    </row>
    <row r="1721" spans="1:12" x14ac:dyDescent="0.4">
      <c r="A1721" t="s">
        <v>169</v>
      </c>
      <c r="B1721" t="s">
        <v>6</v>
      </c>
      <c r="C1721" t="s">
        <v>702</v>
      </c>
      <c r="D1721" t="s">
        <v>703</v>
      </c>
      <c r="E1721">
        <v>20014360</v>
      </c>
      <c r="F1721" t="s">
        <v>753</v>
      </c>
      <c r="G1721">
        <v>594069</v>
      </c>
      <c r="H1721" s="184">
        <v>44028</v>
      </c>
      <c r="I1721" s="184">
        <v>44032</v>
      </c>
      <c r="J1721" t="s">
        <v>754</v>
      </c>
      <c r="K1721">
        <v>60000</v>
      </c>
      <c r="L1721" t="s">
        <v>223</v>
      </c>
    </row>
    <row r="1722" spans="1:12" x14ac:dyDescent="0.4">
      <c r="A1722" t="s">
        <v>169</v>
      </c>
      <c r="B1722" t="s">
        <v>6</v>
      </c>
      <c r="C1722" t="s">
        <v>702</v>
      </c>
      <c r="D1722" t="s">
        <v>703</v>
      </c>
      <c r="E1722">
        <v>20014360</v>
      </c>
      <c r="F1722" t="s">
        <v>753</v>
      </c>
      <c r="G1722">
        <v>594069</v>
      </c>
      <c r="H1722" s="184">
        <v>44028</v>
      </c>
      <c r="I1722" s="184">
        <v>44032</v>
      </c>
      <c r="J1722" t="s">
        <v>754</v>
      </c>
      <c r="K1722">
        <v>60000</v>
      </c>
      <c r="L1722" t="s">
        <v>224</v>
      </c>
    </row>
    <row r="1723" spans="1:12" x14ac:dyDescent="0.4">
      <c r="A1723" t="s">
        <v>169</v>
      </c>
      <c r="B1723" t="s">
        <v>6</v>
      </c>
      <c r="C1723" t="s">
        <v>702</v>
      </c>
      <c r="D1723" t="s">
        <v>703</v>
      </c>
      <c r="E1723">
        <v>20014360</v>
      </c>
      <c r="F1723" t="s">
        <v>753</v>
      </c>
      <c r="G1723">
        <v>594069</v>
      </c>
      <c r="H1723" s="184">
        <v>44028</v>
      </c>
      <c r="I1723" s="184">
        <v>44032</v>
      </c>
      <c r="J1723" t="s">
        <v>754</v>
      </c>
      <c r="K1723">
        <v>60000</v>
      </c>
      <c r="L1723" t="s">
        <v>225</v>
      </c>
    </row>
    <row r="1724" spans="1:12" x14ac:dyDescent="0.4">
      <c r="A1724" t="s">
        <v>169</v>
      </c>
      <c r="B1724" t="s">
        <v>6</v>
      </c>
      <c r="C1724" t="s">
        <v>702</v>
      </c>
      <c r="D1724" t="s">
        <v>703</v>
      </c>
      <c r="E1724">
        <v>20014537</v>
      </c>
      <c r="F1724" t="s">
        <v>755</v>
      </c>
      <c r="G1724">
        <v>593745</v>
      </c>
      <c r="H1724" s="184">
        <v>44008</v>
      </c>
      <c r="I1724" s="184">
        <v>44012</v>
      </c>
      <c r="J1724" t="s">
        <v>756</v>
      </c>
      <c r="K1724">
        <v>60000</v>
      </c>
      <c r="L1724" t="s">
        <v>353</v>
      </c>
    </row>
    <row r="1725" spans="1:12" x14ac:dyDescent="0.4">
      <c r="A1725" t="s">
        <v>169</v>
      </c>
      <c r="B1725" t="s">
        <v>6</v>
      </c>
      <c r="C1725" t="s">
        <v>702</v>
      </c>
      <c r="D1725" t="s">
        <v>703</v>
      </c>
      <c r="E1725">
        <v>20014537</v>
      </c>
      <c r="F1725" t="s">
        <v>755</v>
      </c>
      <c r="G1725">
        <v>593745</v>
      </c>
      <c r="H1725" s="184">
        <v>44008</v>
      </c>
      <c r="I1725" s="184">
        <v>44012</v>
      </c>
      <c r="J1725" t="s">
        <v>756</v>
      </c>
      <c r="K1725">
        <v>60000</v>
      </c>
      <c r="L1725" t="s">
        <v>258</v>
      </c>
    </row>
    <row r="1726" spans="1:12" x14ac:dyDescent="0.4">
      <c r="A1726" t="s">
        <v>169</v>
      </c>
      <c r="B1726" t="s">
        <v>6</v>
      </c>
      <c r="C1726" t="s">
        <v>702</v>
      </c>
      <c r="D1726" t="s">
        <v>703</v>
      </c>
      <c r="E1726">
        <v>20014537</v>
      </c>
      <c r="F1726" t="s">
        <v>755</v>
      </c>
      <c r="G1726">
        <v>593745</v>
      </c>
      <c r="H1726" s="184">
        <v>44008</v>
      </c>
      <c r="I1726" s="184">
        <v>44012</v>
      </c>
      <c r="J1726" t="s">
        <v>756</v>
      </c>
      <c r="K1726">
        <v>60000</v>
      </c>
      <c r="L1726" t="s">
        <v>327</v>
      </c>
    </row>
    <row r="1727" spans="1:12" x14ac:dyDescent="0.4">
      <c r="A1727" t="s">
        <v>169</v>
      </c>
      <c r="B1727" t="s">
        <v>6</v>
      </c>
      <c r="C1727" t="s">
        <v>702</v>
      </c>
      <c r="D1727" t="s">
        <v>703</v>
      </c>
      <c r="E1727">
        <v>20014537</v>
      </c>
      <c r="F1727" t="s">
        <v>755</v>
      </c>
      <c r="G1727">
        <v>593745</v>
      </c>
      <c r="H1727" s="184">
        <v>44008</v>
      </c>
      <c r="I1727" s="184">
        <v>44012</v>
      </c>
      <c r="J1727" t="s">
        <v>756</v>
      </c>
      <c r="K1727">
        <v>60000</v>
      </c>
      <c r="L1727" t="s">
        <v>328</v>
      </c>
    </row>
    <row r="1728" spans="1:12" x14ac:dyDescent="0.4">
      <c r="A1728" t="s">
        <v>169</v>
      </c>
      <c r="B1728" t="s">
        <v>6</v>
      </c>
      <c r="C1728" t="s">
        <v>702</v>
      </c>
      <c r="D1728" t="s">
        <v>703</v>
      </c>
      <c r="E1728">
        <v>20014537</v>
      </c>
      <c r="F1728" t="s">
        <v>755</v>
      </c>
      <c r="G1728">
        <v>593745</v>
      </c>
      <c r="H1728" s="184">
        <v>44008</v>
      </c>
      <c r="I1728" s="184">
        <v>44012</v>
      </c>
      <c r="J1728" t="s">
        <v>756</v>
      </c>
      <c r="K1728">
        <v>60000</v>
      </c>
      <c r="L1728" t="s">
        <v>329</v>
      </c>
    </row>
    <row r="1729" spans="1:12" x14ac:dyDescent="0.4">
      <c r="A1729" t="s">
        <v>169</v>
      </c>
      <c r="B1729" t="s">
        <v>6</v>
      </c>
      <c r="C1729" t="s">
        <v>702</v>
      </c>
      <c r="D1729" t="s">
        <v>703</v>
      </c>
      <c r="E1729">
        <v>20014537</v>
      </c>
      <c r="F1729" t="s">
        <v>755</v>
      </c>
      <c r="G1729">
        <v>593745</v>
      </c>
      <c r="H1729" s="184">
        <v>44008</v>
      </c>
      <c r="I1729" s="184">
        <v>44012</v>
      </c>
      <c r="J1729" t="s">
        <v>756</v>
      </c>
      <c r="K1729">
        <v>60000</v>
      </c>
      <c r="L1729" t="s">
        <v>330</v>
      </c>
    </row>
    <row r="1730" spans="1:12" x14ac:dyDescent="0.4">
      <c r="A1730" t="s">
        <v>169</v>
      </c>
      <c r="B1730" t="s">
        <v>6</v>
      </c>
      <c r="C1730" t="s">
        <v>702</v>
      </c>
      <c r="D1730" t="s">
        <v>703</v>
      </c>
      <c r="E1730">
        <v>20014545</v>
      </c>
      <c r="F1730" t="s">
        <v>757</v>
      </c>
      <c r="G1730">
        <v>592023</v>
      </c>
      <c r="H1730" s="184">
        <v>43915</v>
      </c>
      <c r="I1730" s="184">
        <v>43921</v>
      </c>
      <c r="J1730" t="s">
        <v>466</v>
      </c>
      <c r="K1730">
        <v>60000</v>
      </c>
      <c r="L1730" t="s">
        <v>281</v>
      </c>
    </row>
    <row r="1731" spans="1:12" x14ac:dyDescent="0.4">
      <c r="A1731" t="s">
        <v>169</v>
      </c>
      <c r="B1731" t="s">
        <v>6</v>
      </c>
      <c r="C1731" t="s">
        <v>702</v>
      </c>
      <c r="D1731" t="s">
        <v>703</v>
      </c>
      <c r="E1731">
        <v>20014545</v>
      </c>
      <c r="F1731" t="s">
        <v>757</v>
      </c>
      <c r="G1731">
        <v>592023</v>
      </c>
      <c r="H1731" s="184">
        <v>43915</v>
      </c>
      <c r="I1731" s="184">
        <v>43921</v>
      </c>
      <c r="J1731" t="s">
        <v>466</v>
      </c>
      <c r="K1731">
        <v>60000</v>
      </c>
      <c r="L1731" t="s">
        <v>230</v>
      </c>
    </row>
    <row r="1732" spans="1:12" x14ac:dyDescent="0.4">
      <c r="A1732" t="s">
        <v>169</v>
      </c>
      <c r="B1732" t="s">
        <v>6</v>
      </c>
      <c r="C1732" t="s">
        <v>702</v>
      </c>
      <c r="D1732" t="s">
        <v>703</v>
      </c>
      <c r="E1732">
        <v>20014545</v>
      </c>
      <c r="F1732" t="s">
        <v>757</v>
      </c>
      <c r="G1732">
        <v>592023</v>
      </c>
      <c r="H1732" s="184">
        <v>43915</v>
      </c>
      <c r="I1732" s="184">
        <v>43921</v>
      </c>
      <c r="J1732" t="s">
        <v>466</v>
      </c>
      <c r="K1732">
        <v>60000</v>
      </c>
      <c r="L1732" t="s">
        <v>243</v>
      </c>
    </row>
    <row r="1733" spans="1:12" x14ac:dyDescent="0.4">
      <c r="A1733" t="s">
        <v>169</v>
      </c>
      <c r="B1733" t="s">
        <v>6</v>
      </c>
      <c r="C1733" t="s">
        <v>702</v>
      </c>
      <c r="D1733" t="s">
        <v>703</v>
      </c>
      <c r="E1733">
        <v>20014545</v>
      </c>
      <c r="F1733" t="s">
        <v>757</v>
      </c>
      <c r="G1733">
        <v>592023</v>
      </c>
      <c r="H1733" s="184">
        <v>43915</v>
      </c>
      <c r="I1733" s="184">
        <v>43921</v>
      </c>
      <c r="J1733" t="s">
        <v>466</v>
      </c>
      <c r="K1733">
        <v>60000</v>
      </c>
      <c r="L1733" t="s">
        <v>244</v>
      </c>
    </row>
    <row r="1734" spans="1:12" x14ac:dyDescent="0.4">
      <c r="A1734" t="s">
        <v>169</v>
      </c>
      <c r="B1734" t="s">
        <v>6</v>
      </c>
      <c r="C1734" t="s">
        <v>702</v>
      </c>
      <c r="D1734" t="s">
        <v>703</v>
      </c>
      <c r="E1734">
        <v>20014545</v>
      </c>
      <c r="F1734" t="s">
        <v>757</v>
      </c>
      <c r="G1734">
        <v>592023</v>
      </c>
      <c r="H1734" s="184">
        <v>43915</v>
      </c>
      <c r="I1734" s="184">
        <v>43921</v>
      </c>
      <c r="J1734" t="s">
        <v>466</v>
      </c>
      <c r="K1734">
        <v>60000</v>
      </c>
      <c r="L1734" t="s">
        <v>245</v>
      </c>
    </row>
    <row r="1735" spans="1:12" x14ac:dyDescent="0.4">
      <c r="A1735" t="s">
        <v>169</v>
      </c>
      <c r="B1735" t="s">
        <v>6</v>
      </c>
      <c r="C1735" t="s">
        <v>702</v>
      </c>
      <c r="D1735" t="s">
        <v>703</v>
      </c>
      <c r="E1735">
        <v>20014545</v>
      </c>
      <c r="F1735" t="s">
        <v>757</v>
      </c>
      <c r="G1735">
        <v>592023</v>
      </c>
      <c r="H1735" s="184">
        <v>43915</v>
      </c>
      <c r="I1735" s="184">
        <v>43921</v>
      </c>
      <c r="J1735" t="s">
        <v>466</v>
      </c>
      <c r="K1735">
        <v>60000</v>
      </c>
      <c r="L1735" t="s">
        <v>246</v>
      </c>
    </row>
    <row r="1736" spans="1:12" x14ac:dyDescent="0.4">
      <c r="A1736" t="s">
        <v>169</v>
      </c>
      <c r="B1736" t="s">
        <v>6</v>
      </c>
      <c r="C1736" t="s">
        <v>702</v>
      </c>
      <c r="D1736" t="s">
        <v>703</v>
      </c>
      <c r="E1736">
        <v>20015695</v>
      </c>
      <c r="F1736" t="s">
        <v>758</v>
      </c>
      <c r="G1736">
        <v>595885</v>
      </c>
      <c r="H1736" s="184">
        <v>44145</v>
      </c>
      <c r="I1736" s="184">
        <v>44165</v>
      </c>
      <c r="J1736" t="s">
        <v>745</v>
      </c>
      <c r="K1736">
        <v>60000</v>
      </c>
      <c r="L1736" t="s">
        <v>196</v>
      </c>
    </row>
    <row r="1737" spans="1:12" x14ac:dyDescent="0.4">
      <c r="A1737" t="s">
        <v>169</v>
      </c>
      <c r="B1737" t="s">
        <v>6</v>
      </c>
      <c r="C1737" t="s">
        <v>702</v>
      </c>
      <c r="D1737" t="s">
        <v>703</v>
      </c>
      <c r="E1737">
        <v>20015695</v>
      </c>
      <c r="F1737" t="s">
        <v>758</v>
      </c>
      <c r="G1737">
        <v>595885</v>
      </c>
      <c r="H1737" s="184">
        <v>44145</v>
      </c>
      <c r="I1737" s="184">
        <v>44165</v>
      </c>
      <c r="J1737" t="s">
        <v>745</v>
      </c>
      <c r="K1737">
        <v>60000</v>
      </c>
      <c r="L1737" t="s">
        <v>211</v>
      </c>
    </row>
    <row r="1738" spans="1:12" x14ac:dyDescent="0.4">
      <c r="A1738" t="s">
        <v>169</v>
      </c>
      <c r="B1738" t="s">
        <v>6</v>
      </c>
      <c r="C1738" t="s">
        <v>702</v>
      </c>
      <c r="D1738" t="s">
        <v>703</v>
      </c>
      <c r="E1738">
        <v>20015695</v>
      </c>
      <c r="F1738" t="s">
        <v>758</v>
      </c>
      <c r="G1738">
        <v>595885</v>
      </c>
      <c r="H1738" s="184">
        <v>44145</v>
      </c>
      <c r="I1738" s="184">
        <v>44165</v>
      </c>
      <c r="J1738" t="s">
        <v>745</v>
      </c>
      <c r="K1738">
        <v>60000</v>
      </c>
      <c r="L1738" t="s">
        <v>212</v>
      </c>
    </row>
    <row r="1739" spans="1:12" x14ac:dyDescent="0.4">
      <c r="A1739" t="s">
        <v>169</v>
      </c>
      <c r="B1739" t="s">
        <v>6</v>
      </c>
      <c r="C1739" t="s">
        <v>702</v>
      </c>
      <c r="D1739" t="s">
        <v>703</v>
      </c>
      <c r="E1739">
        <v>20015695</v>
      </c>
      <c r="F1739" t="s">
        <v>758</v>
      </c>
      <c r="G1739">
        <v>595885</v>
      </c>
      <c r="H1739" s="184">
        <v>44145</v>
      </c>
      <c r="I1739" s="184">
        <v>44165</v>
      </c>
      <c r="J1739" t="s">
        <v>745</v>
      </c>
      <c r="K1739">
        <v>60000</v>
      </c>
      <c r="L1739" t="s">
        <v>213</v>
      </c>
    </row>
    <row r="1740" spans="1:12" x14ac:dyDescent="0.4">
      <c r="A1740" t="s">
        <v>169</v>
      </c>
      <c r="B1740" t="s">
        <v>6</v>
      </c>
      <c r="C1740" t="s">
        <v>702</v>
      </c>
      <c r="D1740" t="s">
        <v>703</v>
      </c>
      <c r="E1740">
        <v>20015695</v>
      </c>
      <c r="F1740" t="s">
        <v>758</v>
      </c>
      <c r="G1740">
        <v>595885</v>
      </c>
      <c r="H1740" s="184">
        <v>44145</v>
      </c>
      <c r="I1740" s="184">
        <v>44165</v>
      </c>
      <c r="J1740" t="s">
        <v>745</v>
      </c>
      <c r="K1740">
        <v>60000</v>
      </c>
      <c r="L1740" t="s">
        <v>214</v>
      </c>
    </row>
    <row r="1741" spans="1:12" x14ac:dyDescent="0.4">
      <c r="A1741" t="s">
        <v>169</v>
      </c>
      <c r="B1741" t="s">
        <v>6</v>
      </c>
      <c r="C1741" t="s">
        <v>702</v>
      </c>
      <c r="D1741" t="s">
        <v>703</v>
      </c>
      <c r="E1741">
        <v>20015695</v>
      </c>
      <c r="F1741" t="s">
        <v>758</v>
      </c>
      <c r="G1741">
        <v>595885</v>
      </c>
      <c r="H1741" s="184">
        <v>44145</v>
      </c>
      <c r="I1741" s="184">
        <v>44165</v>
      </c>
      <c r="J1741" t="s">
        <v>745</v>
      </c>
      <c r="K1741">
        <v>60000</v>
      </c>
      <c r="L1741" t="s">
        <v>215</v>
      </c>
    </row>
    <row r="1742" spans="1:12" x14ac:dyDescent="0.4">
      <c r="A1742" t="s">
        <v>169</v>
      </c>
      <c r="B1742" t="s">
        <v>6</v>
      </c>
      <c r="C1742" t="s">
        <v>702</v>
      </c>
      <c r="D1742" t="s">
        <v>703</v>
      </c>
      <c r="E1742">
        <v>20016315</v>
      </c>
      <c r="F1742" t="s">
        <v>759</v>
      </c>
      <c r="G1742">
        <v>598318</v>
      </c>
      <c r="H1742" s="184">
        <v>44272</v>
      </c>
      <c r="I1742" s="184">
        <v>44285</v>
      </c>
      <c r="J1742" t="s">
        <v>478</v>
      </c>
      <c r="K1742">
        <v>60000</v>
      </c>
      <c r="L1742" t="s">
        <v>242</v>
      </c>
    </row>
    <row r="1743" spans="1:12" x14ac:dyDescent="0.4">
      <c r="A1743" t="s">
        <v>169</v>
      </c>
      <c r="B1743" t="s">
        <v>6</v>
      </c>
      <c r="C1743" t="s">
        <v>702</v>
      </c>
      <c r="D1743" t="s">
        <v>703</v>
      </c>
      <c r="E1743">
        <v>20016315</v>
      </c>
      <c r="F1743" t="s">
        <v>759</v>
      </c>
      <c r="G1743">
        <v>598318</v>
      </c>
      <c r="H1743" s="184">
        <v>44272</v>
      </c>
      <c r="I1743" s="184">
        <v>44285</v>
      </c>
      <c r="J1743" t="s">
        <v>478</v>
      </c>
      <c r="K1743">
        <v>60000</v>
      </c>
      <c r="L1743" t="s">
        <v>243</v>
      </c>
    </row>
    <row r="1744" spans="1:12" x14ac:dyDescent="0.4">
      <c r="A1744" t="s">
        <v>169</v>
      </c>
      <c r="B1744" t="s">
        <v>6</v>
      </c>
      <c r="C1744" t="s">
        <v>702</v>
      </c>
      <c r="D1744" t="s">
        <v>703</v>
      </c>
      <c r="E1744">
        <v>20016315</v>
      </c>
      <c r="F1744" t="s">
        <v>759</v>
      </c>
      <c r="G1744">
        <v>598318</v>
      </c>
      <c r="H1744" s="184">
        <v>44272</v>
      </c>
      <c r="I1744" s="184">
        <v>44285</v>
      </c>
      <c r="J1744" t="s">
        <v>478</v>
      </c>
      <c r="K1744">
        <v>60000</v>
      </c>
      <c r="L1744" t="s">
        <v>244</v>
      </c>
    </row>
    <row r="1745" spans="1:12" x14ac:dyDescent="0.4">
      <c r="A1745" t="s">
        <v>169</v>
      </c>
      <c r="B1745" t="s">
        <v>6</v>
      </c>
      <c r="C1745" t="s">
        <v>702</v>
      </c>
      <c r="D1745" t="s">
        <v>703</v>
      </c>
      <c r="E1745">
        <v>20016315</v>
      </c>
      <c r="F1745" t="s">
        <v>759</v>
      </c>
      <c r="G1745">
        <v>598318</v>
      </c>
      <c r="H1745" s="184">
        <v>44272</v>
      </c>
      <c r="I1745" s="184">
        <v>44285</v>
      </c>
      <c r="J1745" t="s">
        <v>478</v>
      </c>
      <c r="K1745">
        <v>60000</v>
      </c>
      <c r="L1745" t="s">
        <v>245</v>
      </c>
    </row>
    <row r="1746" spans="1:12" x14ac:dyDescent="0.4">
      <c r="A1746" t="s">
        <v>169</v>
      </c>
      <c r="B1746" t="s">
        <v>6</v>
      </c>
      <c r="C1746" t="s">
        <v>702</v>
      </c>
      <c r="D1746" t="s">
        <v>703</v>
      </c>
      <c r="E1746">
        <v>20016315</v>
      </c>
      <c r="F1746" t="s">
        <v>759</v>
      </c>
      <c r="G1746">
        <v>598318</v>
      </c>
      <c r="H1746" s="184">
        <v>44272</v>
      </c>
      <c r="I1746" s="184">
        <v>44285</v>
      </c>
      <c r="J1746" t="s">
        <v>478</v>
      </c>
      <c r="K1746">
        <v>60000</v>
      </c>
      <c r="L1746" t="s">
        <v>246</v>
      </c>
    </row>
    <row r="1747" spans="1:12" x14ac:dyDescent="0.4">
      <c r="A1747" t="s">
        <v>169</v>
      </c>
      <c r="B1747" t="s">
        <v>6</v>
      </c>
      <c r="C1747" t="s">
        <v>702</v>
      </c>
      <c r="D1747" t="s">
        <v>703</v>
      </c>
      <c r="E1747">
        <v>20016315</v>
      </c>
      <c r="F1747" t="s">
        <v>759</v>
      </c>
      <c r="G1747">
        <v>598318</v>
      </c>
      <c r="H1747" s="184">
        <v>44272</v>
      </c>
      <c r="I1747" s="184">
        <v>44285</v>
      </c>
      <c r="J1747" t="s">
        <v>478</v>
      </c>
      <c r="K1747">
        <v>60000</v>
      </c>
      <c r="L1747" t="s">
        <v>247</v>
      </c>
    </row>
    <row r="1748" spans="1:12" x14ac:dyDescent="0.4">
      <c r="A1748" t="s">
        <v>169</v>
      </c>
      <c r="B1748" t="s">
        <v>6</v>
      </c>
      <c r="C1748" t="s">
        <v>702</v>
      </c>
      <c r="D1748" t="s">
        <v>703</v>
      </c>
      <c r="E1748">
        <v>20016395</v>
      </c>
      <c r="F1748" t="s">
        <v>760</v>
      </c>
      <c r="G1748">
        <v>597529</v>
      </c>
      <c r="H1748" s="184">
        <v>44225</v>
      </c>
      <c r="I1748" s="184">
        <v>44252</v>
      </c>
      <c r="J1748" t="s">
        <v>761</v>
      </c>
      <c r="K1748">
        <v>60000</v>
      </c>
      <c r="L1748" t="s">
        <v>230</v>
      </c>
    </row>
    <row r="1749" spans="1:12" x14ac:dyDescent="0.4">
      <c r="A1749" t="s">
        <v>169</v>
      </c>
      <c r="B1749" t="s">
        <v>6</v>
      </c>
      <c r="C1749" t="s">
        <v>702</v>
      </c>
      <c r="D1749" t="s">
        <v>703</v>
      </c>
      <c r="E1749">
        <v>20016395</v>
      </c>
      <c r="F1749" t="s">
        <v>760</v>
      </c>
      <c r="G1749">
        <v>597529</v>
      </c>
      <c r="H1749" s="184">
        <v>44225</v>
      </c>
      <c r="I1749" s="184">
        <v>44252</v>
      </c>
      <c r="J1749" t="s">
        <v>761</v>
      </c>
      <c r="K1749">
        <v>60000</v>
      </c>
      <c r="L1749" t="s">
        <v>231</v>
      </c>
    </row>
    <row r="1750" spans="1:12" x14ac:dyDescent="0.4">
      <c r="A1750" t="s">
        <v>169</v>
      </c>
      <c r="B1750" t="s">
        <v>6</v>
      </c>
      <c r="C1750" t="s">
        <v>702</v>
      </c>
      <c r="D1750" t="s">
        <v>703</v>
      </c>
      <c r="E1750">
        <v>20016395</v>
      </c>
      <c r="F1750" t="s">
        <v>760</v>
      </c>
      <c r="G1750">
        <v>597529</v>
      </c>
      <c r="H1750" s="184">
        <v>44225</v>
      </c>
      <c r="I1750" s="184">
        <v>44252</v>
      </c>
      <c r="J1750" t="s">
        <v>761</v>
      </c>
      <c r="K1750">
        <v>60000</v>
      </c>
      <c r="L1750" t="s">
        <v>232</v>
      </c>
    </row>
    <row r="1751" spans="1:12" x14ac:dyDescent="0.4">
      <c r="A1751" t="s">
        <v>169</v>
      </c>
      <c r="B1751" t="s">
        <v>6</v>
      </c>
      <c r="C1751" t="s">
        <v>702</v>
      </c>
      <c r="D1751" t="s">
        <v>703</v>
      </c>
      <c r="E1751">
        <v>20016395</v>
      </c>
      <c r="F1751" t="s">
        <v>760</v>
      </c>
      <c r="G1751">
        <v>597529</v>
      </c>
      <c r="H1751" s="184">
        <v>44225</v>
      </c>
      <c r="I1751" s="184">
        <v>44252</v>
      </c>
      <c r="J1751" t="s">
        <v>761</v>
      </c>
      <c r="K1751">
        <v>60000</v>
      </c>
      <c r="L1751" t="s">
        <v>233</v>
      </c>
    </row>
    <row r="1752" spans="1:12" x14ac:dyDescent="0.4">
      <c r="A1752" t="s">
        <v>169</v>
      </c>
      <c r="B1752" t="s">
        <v>6</v>
      </c>
      <c r="C1752" t="s">
        <v>702</v>
      </c>
      <c r="D1752" t="s">
        <v>703</v>
      </c>
      <c r="E1752">
        <v>20016395</v>
      </c>
      <c r="F1752" t="s">
        <v>760</v>
      </c>
      <c r="G1752">
        <v>597529</v>
      </c>
      <c r="H1752" s="184">
        <v>44225</v>
      </c>
      <c r="I1752" s="184">
        <v>44252</v>
      </c>
      <c r="J1752" t="s">
        <v>761</v>
      </c>
      <c r="K1752">
        <v>60000</v>
      </c>
      <c r="L1752" t="s">
        <v>234</v>
      </c>
    </row>
    <row r="1753" spans="1:12" x14ac:dyDescent="0.4">
      <c r="A1753" t="s">
        <v>169</v>
      </c>
      <c r="B1753" t="s">
        <v>6</v>
      </c>
      <c r="C1753" t="s">
        <v>702</v>
      </c>
      <c r="D1753" t="s">
        <v>703</v>
      </c>
      <c r="E1753">
        <v>20016395</v>
      </c>
      <c r="F1753" t="s">
        <v>760</v>
      </c>
      <c r="G1753">
        <v>597529</v>
      </c>
      <c r="H1753" s="184">
        <v>44225</v>
      </c>
      <c r="I1753" s="184">
        <v>44252</v>
      </c>
      <c r="J1753" t="s">
        <v>761</v>
      </c>
      <c r="K1753">
        <v>60000</v>
      </c>
      <c r="L1753" t="s">
        <v>235</v>
      </c>
    </row>
    <row r="1754" spans="1:12" x14ac:dyDescent="0.4">
      <c r="A1754" t="s">
        <v>169</v>
      </c>
      <c r="B1754" t="s">
        <v>6</v>
      </c>
      <c r="C1754" t="s">
        <v>702</v>
      </c>
      <c r="D1754" t="s">
        <v>703</v>
      </c>
      <c r="E1754">
        <v>20017680</v>
      </c>
      <c r="F1754" t="s">
        <v>762</v>
      </c>
      <c r="G1754">
        <v>592964</v>
      </c>
      <c r="H1754" s="184">
        <v>44050</v>
      </c>
      <c r="I1754" s="184">
        <v>44062</v>
      </c>
      <c r="J1754" t="s">
        <v>763</v>
      </c>
      <c r="K1754">
        <v>60000</v>
      </c>
      <c r="L1754" t="s">
        <v>203</v>
      </c>
    </row>
    <row r="1755" spans="1:12" x14ac:dyDescent="0.4">
      <c r="A1755" t="s">
        <v>169</v>
      </c>
      <c r="B1755" t="s">
        <v>6</v>
      </c>
      <c r="C1755" t="s">
        <v>702</v>
      </c>
      <c r="D1755" t="s">
        <v>703</v>
      </c>
      <c r="E1755">
        <v>20017680</v>
      </c>
      <c r="F1755" t="s">
        <v>762</v>
      </c>
      <c r="G1755">
        <v>592964</v>
      </c>
      <c r="H1755" s="184">
        <v>44050</v>
      </c>
      <c r="I1755" s="184">
        <v>44062</v>
      </c>
      <c r="J1755" t="s">
        <v>763</v>
      </c>
      <c r="K1755">
        <v>60000</v>
      </c>
      <c r="L1755" t="s">
        <v>204</v>
      </c>
    </row>
    <row r="1756" spans="1:12" x14ac:dyDescent="0.4">
      <c r="A1756" t="s">
        <v>169</v>
      </c>
      <c r="B1756" t="s">
        <v>6</v>
      </c>
      <c r="C1756" t="s">
        <v>702</v>
      </c>
      <c r="D1756" t="s">
        <v>703</v>
      </c>
      <c r="E1756">
        <v>20017680</v>
      </c>
      <c r="F1756" t="s">
        <v>762</v>
      </c>
      <c r="G1756">
        <v>592964</v>
      </c>
      <c r="H1756" s="184">
        <v>44050</v>
      </c>
      <c r="I1756" s="184">
        <v>44062</v>
      </c>
      <c r="J1756" t="s">
        <v>763</v>
      </c>
      <c r="K1756">
        <v>60000</v>
      </c>
      <c r="L1756" t="s">
        <v>205</v>
      </c>
    </row>
    <row r="1757" spans="1:12" x14ac:dyDescent="0.4">
      <c r="A1757" t="s">
        <v>169</v>
      </c>
      <c r="B1757" t="s">
        <v>6</v>
      </c>
      <c r="C1757" t="s">
        <v>702</v>
      </c>
      <c r="D1757" t="s">
        <v>703</v>
      </c>
      <c r="E1757">
        <v>20017680</v>
      </c>
      <c r="F1757" t="s">
        <v>762</v>
      </c>
      <c r="G1757">
        <v>592964</v>
      </c>
      <c r="H1757" s="184">
        <v>44050</v>
      </c>
      <c r="I1757" s="184">
        <v>44062</v>
      </c>
      <c r="J1757" t="s">
        <v>763</v>
      </c>
      <c r="K1757">
        <v>60000</v>
      </c>
      <c r="L1757" t="s">
        <v>206</v>
      </c>
    </row>
    <row r="1758" spans="1:12" x14ac:dyDescent="0.4">
      <c r="A1758" t="s">
        <v>169</v>
      </c>
      <c r="B1758" t="s">
        <v>6</v>
      </c>
      <c r="C1758" t="s">
        <v>702</v>
      </c>
      <c r="D1758" t="s">
        <v>703</v>
      </c>
      <c r="E1758">
        <v>20017680</v>
      </c>
      <c r="F1758" t="s">
        <v>762</v>
      </c>
      <c r="G1758">
        <v>592964</v>
      </c>
      <c r="H1758" s="184">
        <v>44050</v>
      </c>
      <c r="I1758" s="184">
        <v>44062</v>
      </c>
      <c r="J1758" t="s">
        <v>763</v>
      </c>
      <c r="K1758">
        <v>60000</v>
      </c>
      <c r="L1758" t="s">
        <v>207</v>
      </c>
    </row>
    <row r="1759" spans="1:12" x14ac:dyDescent="0.4">
      <c r="A1759" t="s">
        <v>169</v>
      </c>
      <c r="B1759" t="s">
        <v>6</v>
      </c>
      <c r="C1759" t="s">
        <v>702</v>
      </c>
      <c r="D1759" t="s">
        <v>703</v>
      </c>
      <c r="E1759">
        <v>20017680</v>
      </c>
      <c r="F1759" t="s">
        <v>762</v>
      </c>
      <c r="G1759">
        <v>592964</v>
      </c>
      <c r="H1759" s="184">
        <v>44050</v>
      </c>
      <c r="I1759" s="184">
        <v>44062</v>
      </c>
      <c r="J1759" t="s">
        <v>763</v>
      </c>
      <c r="K1759">
        <v>60000</v>
      </c>
      <c r="L1759" t="s">
        <v>208</v>
      </c>
    </row>
    <row r="1760" spans="1:12" x14ac:dyDescent="0.4">
      <c r="A1760" t="s">
        <v>169</v>
      </c>
      <c r="B1760" t="s">
        <v>6</v>
      </c>
      <c r="C1760" t="s">
        <v>702</v>
      </c>
      <c r="D1760" t="s">
        <v>703</v>
      </c>
      <c r="E1760">
        <v>20017972</v>
      </c>
      <c r="F1760" t="s">
        <v>764</v>
      </c>
      <c r="G1760">
        <v>593908</v>
      </c>
      <c r="H1760" s="184">
        <v>44026</v>
      </c>
      <c r="I1760" s="184">
        <v>44043</v>
      </c>
      <c r="J1760" t="s">
        <v>609</v>
      </c>
      <c r="K1760">
        <v>60000</v>
      </c>
      <c r="L1760" t="s">
        <v>220</v>
      </c>
    </row>
    <row r="1761" spans="1:12" x14ac:dyDescent="0.4">
      <c r="A1761" t="s">
        <v>169</v>
      </c>
      <c r="B1761" t="s">
        <v>6</v>
      </c>
      <c r="C1761" t="s">
        <v>702</v>
      </c>
      <c r="D1761" t="s">
        <v>703</v>
      </c>
      <c r="E1761">
        <v>20017972</v>
      </c>
      <c r="F1761" t="s">
        <v>764</v>
      </c>
      <c r="G1761">
        <v>593908</v>
      </c>
      <c r="H1761" s="184">
        <v>44026</v>
      </c>
      <c r="I1761" s="184">
        <v>44043</v>
      </c>
      <c r="J1761" t="s">
        <v>609</v>
      </c>
      <c r="K1761">
        <v>60000</v>
      </c>
      <c r="L1761" t="s">
        <v>221</v>
      </c>
    </row>
    <row r="1762" spans="1:12" x14ac:dyDescent="0.4">
      <c r="A1762" t="s">
        <v>169</v>
      </c>
      <c r="B1762" t="s">
        <v>6</v>
      </c>
      <c r="C1762" t="s">
        <v>702</v>
      </c>
      <c r="D1762" t="s">
        <v>703</v>
      </c>
      <c r="E1762">
        <v>20017972</v>
      </c>
      <c r="F1762" t="s">
        <v>764</v>
      </c>
      <c r="G1762">
        <v>593908</v>
      </c>
      <c r="H1762" s="184">
        <v>44026</v>
      </c>
      <c r="I1762" s="184">
        <v>44043</v>
      </c>
      <c r="J1762" t="s">
        <v>609</v>
      </c>
      <c r="K1762">
        <v>60000</v>
      </c>
      <c r="L1762" t="s">
        <v>222</v>
      </c>
    </row>
    <row r="1763" spans="1:12" x14ac:dyDescent="0.4">
      <c r="A1763" t="s">
        <v>169</v>
      </c>
      <c r="B1763" t="s">
        <v>6</v>
      </c>
      <c r="C1763" t="s">
        <v>702</v>
      </c>
      <c r="D1763" t="s">
        <v>703</v>
      </c>
      <c r="E1763">
        <v>20017972</v>
      </c>
      <c r="F1763" t="s">
        <v>764</v>
      </c>
      <c r="G1763">
        <v>593908</v>
      </c>
      <c r="H1763" s="184">
        <v>44026</v>
      </c>
      <c r="I1763" s="184">
        <v>44043</v>
      </c>
      <c r="J1763" t="s">
        <v>609</v>
      </c>
      <c r="K1763">
        <v>60000</v>
      </c>
      <c r="L1763" t="s">
        <v>223</v>
      </c>
    </row>
    <row r="1764" spans="1:12" x14ac:dyDescent="0.4">
      <c r="A1764" t="s">
        <v>169</v>
      </c>
      <c r="B1764" t="s">
        <v>6</v>
      </c>
      <c r="C1764" t="s">
        <v>702</v>
      </c>
      <c r="D1764" t="s">
        <v>703</v>
      </c>
      <c r="E1764">
        <v>20017972</v>
      </c>
      <c r="F1764" t="s">
        <v>764</v>
      </c>
      <c r="G1764">
        <v>593908</v>
      </c>
      <c r="H1764" s="184">
        <v>44026</v>
      </c>
      <c r="I1764" s="184">
        <v>44043</v>
      </c>
      <c r="J1764" t="s">
        <v>609</v>
      </c>
      <c r="K1764">
        <v>60000</v>
      </c>
      <c r="L1764" t="s">
        <v>224</v>
      </c>
    </row>
    <row r="1765" spans="1:12" x14ac:dyDescent="0.4">
      <c r="A1765" t="s">
        <v>169</v>
      </c>
      <c r="B1765" t="s">
        <v>6</v>
      </c>
      <c r="C1765" t="s">
        <v>702</v>
      </c>
      <c r="D1765" t="s">
        <v>703</v>
      </c>
      <c r="E1765">
        <v>20017972</v>
      </c>
      <c r="F1765" t="s">
        <v>764</v>
      </c>
      <c r="G1765">
        <v>593908</v>
      </c>
      <c r="H1765" s="184">
        <v>44026</v>
      </c>
      <c r="I1765" s="184">
        <v>44043</v>
      </c>
      <c r="J1765" t="s">
        <v>609</v>
      </c>
      <c r="K1765">
        <v>60000</v>
      </c>
      <c r="L1765" t="s">
        <v>225</v>
      </c>
    </row>
    <row r="1766" spans="1:12" x14ac:dyDescent="0.4">
      <c r="A1766" t="s">
        <v>169</v>
      </c>
      <c r="B1766" t="s">
        <v>6</v>
      </c>
      <c r="C1766" t="s">
        <v>702</v>
      </c>
      <c r="D1766" t="s">
        <v>703</v>
      </c>
      <c r="E1766">
        <v>20018088</v>
      </c>
      <c r="F1766" t="s">
        <v>765</v>
      </c>
      <c r="G1766">
        <v>589869</v>
      </c>
      <c r="H1766" s="184">
        <v>43861</v>
      </c>
      <c r="I1766" s="184">
        <v>43861</v>
      </c>
      <c r="J1766" t="s">
        <v>500</v>
      </c>
      <c r="K1766">
        <v>60000</v>
      </c>
      <c r="L1766" t="s">
        <v>185</v>
      </c>
    </row>
    <row r="1767" spans="1:12" x14ac:dyDescent="0.4">
      <c r="A1767" t="s">
        <v>169</v>
      </c>
      <c r="B1767" t="s">
        <v>6</v>
      </c>
      <c r="C1767" t="s">
        <v>702</v>
      </c>
      <c r="D1767" t="s">
        <v>703</v>
      </c>
      <c r="E1767">
        <v>20018088</v>
      </c>
      <c r="F1767" t="s">
        <v>765</v>
      </c>
      <c r="G1767">
        <v>589869</v>
      </c>
      <c r="H1767" s="184">
        <v>43861</v>
      </c>
      <c r="I1767" s="184">
        <v>43861</v>
      </c>
      <c r="J1767" t="s">
        <v>500</v>
      </c>
      <c r="K1767">
        <v>60000</v>
      </c>
      <c r="L1767" t="s">
        <v>186</v>
      </c>
    </row>
    <row r="1768" spans="1:12" x14ac:dyDescent="0.4">
      <c r="A1768" t="s">
        <v>169</v>
      </c>
      <c r="B1768" t="s">
        <v>6</v>
      </c>
      <c r="C1768" t="s">
        <v>702</v>
      </c>
      <c r="D1768" t="s">
        <v>703</v>
      </c>
      <c r="E1768">
        <v>20018088</v>
      </c>
      <c r="F1768" t="s">
        <v>765</v>
      </c>
      <c r="G1768">
        <v>589869</v>
      </c>
      <c r="H1768" s="184">
        <v>43861</v>
      </c>
      <c r="I1768" s="184">
        <v>43861</v>
      </c>
      <c r="J1768" t="s">
        <v>500</v>
      </c>
      <c r="K1768">
        <v>60000</v>
      </c>
      <c r="L1768" t="s">
        <v>187</v>
      </c>
    </row>
    <row r="1769" spans="1:12" x14ac:dyDescent="0.4">
      <c r="A1769" t="s">
        <v>169</v>
      </c>
      <c r="B1769" t="s">
        <v>6</v>
      </c>
      <c r="C1769" t="s">
        <v>702</v>
      </c>
      <c r="D1769" t="s">
        <v>703</v>
      </c>
      <c r="E1769">
        <v>20018088</v>
      </c>
      <c r="F1769" t="s">
        <v>765</v>
      </c>
      <c r="G1769">
        <v>589869</v>
      </c>
      <c r="H1769" s="184">
        <v>43861</v>
      </c>
      <c r="I1769" s="184">
        <v>43861</v>
      </c>
      <c r="J1769" t="s">
        <v>500</v>
      </c>
      <c r="K1769">
        <v>60000</v>
      </c>
      <c r="L1769" t="s">
        <v>188</v>
      </c>
    </row>
    <row r="1770" spans="1:12" x14ac:dyDescent="0.4">
      <c r="A1770" t="s">
        <v>169</v>
      </c>
      <c r="B1770" t="s">
        <v>6</v>
      </c>
      <c r="C1770" t="s">
        <v>702</v>
      </c>
      <c r="D1770" t="s">
        <v>703</v>
      </c>
      <c r="E1770">
        <v>20018088</v>
      </c>
      <c r="F1770" t="s">
        <v>765</v>
      </c>
      <c r="G1770">
        <v>589869</v>
      </c>
      <c r="H1770" s="184">
        <v>43861</v>
      </c>
      <c r="I1770" s="184">
        <v>43861</v>
      </c>
      <c r="J1770" t="s">
        <v>500</v>
      </c>
      <c r="K1770">
        <v>60000</v>
      </c>
      <c r="L1770" t="s">
        <v>189</v>
      </c>
    </row>
    <row r="1771" spans="1:12" x14ac:dyDescent="0.4">
      <c r="A1771" t="s">
        <v>169</v>
      </c>
      <c r="B1771" t="s">
        <v>6</v>
      </c>
      <c r="C1771" t="s">
        <v>702</v>
      </c>
      <c r="D1771" t="s">
        <v>703</v>
      </c>
      <c r="E1771">
        <v>20018088</v>
      </c>
      <c r="F1771" t="s">
        <v>765</v>
      </c>
      <c r="G1771">
        <v>589869</v>
      </c>
      <c r="H1771" s="184">
        <v>43861</v>
      </c>
      <c r="I1771" s="184">
        <v>43861</v>
      </c>
      <c r="J1771" t="s">
        <v>500</v>
      </c>
      <c r="K1771">
        <v>60000</v>
      </c>
      <c r="L1771" t="s">
        <v>190</v>
      </c>
    </row>
    <row r="1772" spans="1:12" x14ac:dyDescent="0.4">
      <c r="A1772" t="s">
        <v>169</v>
      </c>
      <c r="B1772" t="s">
        <v>6</v>
      </c>
      <c r="C1772" t="s">
        <v>702</v>
      </c>
      <c r="D1772" t="s">
        <v>703</v>
      </c>
      <c r="E1772">
        <v>20018116</v>
      </c>
      <c r="F1772" t="s">
        <v>766</v>
      </c>
      <c r="G1772">
        <v>589539</v>
      </c>
      <c r="H1772" s="184">
        <v>43826</v>
      </c>
      <c r="I1772" s="184">
        <v>43826</v>
      </c>
      <c r="J1772" t="s">
        <v>194</v>
      </c>
      <c r="K1772">
        <v>60000</v>
      </c>
      <c r="L1772" t="s">
        <v>195</v>
      </c>
    </row>
    <row r="1773" spans="1:12" x14ac:dyDescent="0.4">
      <c r="A1773" t="s">
        <v>169</v>
      </c>
      <c r="B1773" t="s">
        <v>6</v>
      </c>
      <c r="C1773" t="s">
        <v>702</v>
      </c>
      <c r="D1773" t="s">
        <v>703</v>
      </c>
      <c r="E1773">
        <v>20018116</v>
      </c>
      <c r="F1773" t="s">
        <v>766</v>
      </c>
      <c r="G1773">
        <v>589539</v>
      </c>
      <c r="H1773" s="184">
        <v>43826</v>
      </c>
      <c r="I1773" s="184">
        <v>43826</v>
      </c>
      <c r="J1773" t="s">
        <v>194</v>
      </c>
      <c r="K1773">
        <v>60000</v>
      </c>
      <c r="L1773" t="s">
        <v>196</v>
      </c>
    </row>
    <row r="1774" spans="1:12" x14ac:dyDescent="0.4">
      <c r="A1774" t="s">
        <v>169</v>
      </c>
      <c r="B1774" t="s">
        <v>6</v>
      </c>
      <c r="C1774" t="s">
        <v>702</v>
      </c>
      <c r="D1774" t="s">
        <v>703</v>
      </c>
      <c r="E1774">
        <v>20018116</v>
      </c>
      <c r="F1774" t="s">
        <v>766</v>
      </c>
      <c r="G1774">
        <v>589539</v>
      </c>
      <c r="H1774" s="184">
        <v>43826</v>
      </c>
      <c r="I1774" s="184">
        <v>43826</v>
      </c>
      <c r="J1774" t="s">
        <v>194</v>
      </c>
      <c r="K1774">
        <v>60000</v>
      </c>
      <c r="L1774" t="s">
        <v>197</v>
      </c>
    </row>
    <row r="1775" spans="1:12" x14ac:dyDescent="0.4">
      <c r="A1775" t="s">
        <v>169</v>
      </c>
      <c r="B1775" t="s">
        <v>6</v>
      </c>
      <c r="C1775" t="s">
        <v>702</v>
      </c>
      <c r="D1775" t="s">
        <v>703</v>
      </c>
      <c r="E1775">
        <v>20018116</v>
      </c>
      <c r="F1775" t="s">
        <v>766</v>
      </c>
      <c r="G1775">
        <v>589539</v>
      </c>
      <c r="H1775" s="184">
        <v>43826</v>
      </c>
      <c r="I1775" s="184">
        <v>43826</v>
      </c>
      <c r="J1775" t="s">
        <v>194</v>
      </c>
      <c r="K1775">
        <v>60000</v>
      </c>
      <c r="L1775" t="s">
        <v>198</v>
      </c>
    </row>
    <row r="1776" spans="1:12" x14ac:dyDescent="0.4">
      <c r="A1776" t="s">
        <v>169</v>
      </c>
      <c r="B1776" t="s">
        <v>6</v>
      </c>
      <c r="C1776" t="s">
        <v>702</v>
      </c>
      <c r="D1776" t="s">
        <v>703</v>
      </c>
      <c r="E1776">
        <v>20018116</v>
      </c>
      <c r="F1776" t="s">
        <v>766</v>
      </c>
      <c r="G1776">
        <v>589539</v>
      </c>
      <c r="H1776" s="184">
        <v>43826</v>
      </c>
      <c r="I1776" s="184">
        <v>43826</v>
      </c>
      <c r="J1776" t="s">
        <v>194</v>
      </c>
      <c r="K1776">
        <v>60000</v>
      </c>
      <c r="L1776" t="s">
        <v>199</v>
      </c>
    </row>
    <row r="1777" spans="1:12" x14ac:dyDescent="0.4">
      <c r="A1777" t="s">
        <v>169</v>
      </c>
      <c r="B1777" t="s">
        <v>6</v>
      </c>
      <c r="C1777" t="s">
        <v>702</v>
      </c>
      <c r="D1777" t="s">
        <v>703</v>
      </c>
      <c r="E1777">
        <v>20018116</v>
      </c>
      <c r="F1777" t="s">
        <v>766</v>
      </c>
      <c r="G1777">
        <v>589539</v>
      </c>
      <c r="H1777" s="184">
        <v>43826</v>
      </c>
      <c r="I1777" s="184">
        <v>43826</v>
      </c>
      <c r="J1777" t="s">
        <v>194</v>
      </c>
      <c r="K1777">
        <v>60000</v>
      </c>
      <c r="L1777" t="s">
        <v>200</v>
      </c>
    </row>
    <row r="1778" spans="1:12" x14ac:dyDescent="0.4">
      <c r="A1778" t="s">
        <v>169</v>
      </c>
      <c r="B1778" t="s">
        <v>6</v>
      </c>
      <c r="C1778" t="s">
        <v>702</v>
      </c>
      <c r="D1778" t="s">
        <v>703</v>
      </c>
      <c r="E1778">
        <v>20018122</v>
      </c>
      <c r="F1778" t="s">
        <v>767</v>
      </c>
      <c r="G1778">
        <v>591379</v>
      </c>
      <c r="H1778" s="184">
        <v>43893</v>
      </c>
      <c r="I1778" s="184">
        <v>43908</v>
      </c>
      <c r="J1778" t="s">
        <v>392</v>
      </c>
      <c r="K1778">
        <v>60000</v>
      </c>
      <c r="L1778" t="s">
        <v>281</v>
      </c>
    </row>
    <row r="1779" spans="1:12" x14ac:dyDescent="0.4">
      <c r="A1779" t="s">
        <v>169</v>
      </c>
      <c r="B1779" t="s">
        <v>6</v>
      </c>
      <c r="C1779" t="s">
        <v>702</v>
      </c>
      <c r="D1779" t="s">
        <v>703</v>
      </c>
      <c r="E1779">
        <v>20018122</v>
      </c>
      <c r="F1779" t="s">
        <v>767</v>
      </c>
      <c r="G1779">
        <v>591379</v>
      </c>
      <c r="H1779" s="184">
        <v>43893</v>
      </c>
      <c r="I1779" s="184">
        <v>43908</v>
      </c>
      <c r="J1779" t="s">
        <v>392</v>
      </c>
      <c r="K1779">
        <v>60000</v>
      </c>
      <c r="L1779" t="s">
        <v>230</v>
      </c>
    </row>
    <row r="1780" spans="1:12" x14ac:dyDescent="0.4">
      <c r="A1780" t="s">
        <v>169</v>
      </c>
      <c r="B1780" t="s">
        <v>6</v>
      </c>
      <c r="C1780" t="s">
        <v>702</v>
      </c>
      <c r="D1780" t="s">
        <v>703</v>
      </c>
      <c r="E1780">
        <v>20018122</v>
      </c>
      <c r="F1780" t="s">
        <v>767</v>
      </c>
      <c r="G1780">
        <v>591379</v>
      </c>
      <c r="H1780" s="184">
        <v>43893</v>
      </c>
      <c r="I1780" s="184">
        <v>43908</v>
      </c>
      <c r="J1780" t="s">
        <v>392</v>
      </c>
      <c r="K1780">
        <v>60000</v>
      </c>
      <c r="L1780" t="s">
        <v>243</v>
      </c>
    </row>
    <row r="1781" spans="1:12" x14ac:dyDescent="0.4">
      <c r="A1781" t="s">
        <v>169</v>
      </c>
      <c r="B1781" t="s">
        <v>6</v>
      </c>
      <c r="C1781" t="s">
        <v>702</v>
      </c>
      <c r="D1781" t="s">
        <v>703</v>
      </c>
      <c r="E1781">
        <v>20018122</v>
      </c>
      <c r="F1781" t="s">
        <v>767</v>
      </c>
      <c r="G1781">
        <v>591379</v>
      </c>
      <c r="H1781" s="184">
        <v>43893</v>
      </c>
      <c r="I1781" s="184">
        <v>43908</v>
      </c>
      <c r="J1781" t="s">
        <v>392</v>
      </c>
      <c r="K1781">
        <v>60000</v>
      </c>
      <c r="L1781" t="s">
        <v>244</v>
      </c>
    </row>
    <row r="1782" spans="1:12" x14ac:dyDescent="0.4">
      <c r="A1782" t="s">
        <v>169</v>
      </c>
      <c r="B1782" t="s">
        <v>6</v>
      </c>
      <c r="C1782" t="s">
        <v>702</v>
      </c>
      <c r="D1782" t="s">
        <v>703</v>
      </c>
      <c r="E1782">
        <v>20018122</v>
      </c>
      <c r="F1782" t="s">
        <v>767</v>
      </c>
      <c r="G1782">
        <v>591379</v>
      </c>
      <c r="H1782" s="184">
        <v>43893</v>
      </c>
      <c r="I1782" s="184">
        <v>43908</v>
      </c>
      <c r="J1782" t="s">
        <v>392</v>
      </c>
      <c r="K1782">
        <v>60000</v>
      </c>
      <c r="L1782" t="s">
        <v>245</v>
      </c>
    </row>
    <row r="1783" spans="1:12" x14ac:dyDescent="0.4">
      <c r="A1783" t="s">
        <v>169</v>
      </c>
      <c r="B1783" t="s">
        <v>6</v>
      </c>
      <c r="C1783" t="s">
        <v>702</v>
      </c>
      <c r="D1783" t="s">
        <v>703</v>
      </c>
      <c r="E1783">
        <v>20018122</v>
      </c>
      <c r="F1783" t="s">
        <v>767</v>
      </c>
      <c r="G1783">
        <v>591379</v>
      </c>
      <c r="H1783" s="184">
        <v>43893</v>
      </c>
      <c r="I1783" s="184">
        <v>43908</v>
      </c>
      <c r="J1783" t="s">
        <v>392</v>
      </c>
      <c r="K1783">
        <v>60000</v>
      </c>
      <c r="L1783" t="s">
        <v>246</v>
      </c>
    </row>
    <row r="1784" spans="1:12" x14ac:dyDescent="0.4">
      <c r="A1784" t="s">
        <v>169</v>
      </c>
      <c r="B1784" t="s">
        <v>6</v>
      </c>
      <c r="C1784" t="s">
        <v>702</v>
      </c>
      <c r="D1784" t="s">
        <v>703</v>
      </c>
      <c r="E1784">
        <v>20018233</v>
      </c>
      <c r="F1784" t="s">
        <v>768</v>
      </c>
      <c r="G1784">
        <v>597340</v>
      </c>
      <c r="H1784" s="184">
        <v>44216</v>
      </c>
      <c r="I1784" s="184">
        <v>44224</v>
      </c>
      <c r="J1784" t="s">
        <v>769</v>
      </c>
      <c r="K1784">
        <v>60000</v>
      </c>
      <c r="L1784" t="s">
        <v>238</v>
      </c>
    </row>
    <row r="1785" spans="1:12" x14ac:dyDescent="0.4">
      <c r="A1785" t="s">
        <v>169</v>
      </c>
      <c r="B1785" t="s">
        <v>6</v>
      </c>
      <c r="C1785" t="s">
        <v>702</v>
      </c>
      <c r="D1785" t="s">
        <v>703</v>
      </c>
      <c r="E1785">
        <v>20018233</v>
      </c>
      <c r="F1785" t="s">
        <v>768</v>
      </c>
      <c r="G1785">
        <v>597340</v>
      </c>
      <c r="H1785" s="184">
        <v>44216</v>
      </c>
      <c r="I1785" s="184">
        <v>44224</v>
      </c>
      <c r="J1785" t="s">
        <v>769</v>
      </c>
      <c r="K1785">
        <v>60000</v>
      </c>
      <c r="L1785" t="s">
        <v>187</v>
      </c>
    </row>
    <row r="1786" spans="1:12" x14ac:dyDescent="0.4">
      <c r="A1786" t="s">
        <v>169</v>
      </c>
      <c r="B1786" t="s">
        <v>6</v>
      </c>
      <c r="C1786" t="s">
        <v>702</v>
      </c>
      <c r="D1786" t="s">
        <v>703</v>
      </c>
      <c r="E1786">
        <v>20018233</v>
      </c>
      <c r="F1786" t="s">
        <v>768</v>
      </c>
      <c r="G1786">
        <v>597340</v>
      </c>
      <c r="H1786" s="184">
        <v>44216</v>
      </c>
      <c r="I1786" s="184">
        <v>44224</v>
      </c>
      <c r="J1786" t="s">
        <v>769</v>
      </c>
      <c r="K1786">
        <v>60000</v>
      </c>
      <c r="L1786" t="s">
        <v>188</v>
      </c>
    </row>
    <row r="1787" spans="1:12" x14ac:dyDescent="0.4">
      <c r="A1787" t="s">
        <v>169</v>
      </c>
      <c r="B1787" t="s">
        <v>6</v>
      </c>
      <c r="C1787" t="s">
        <v>702</v>
      </c>
      <c r="D1787" t="s">
        <v>703</v>
      </c>
      <c r="E1787">
        <v>20018233</v>
      </c>
      <c r="F1787" t="s">
        <v>768</v>
      </c>
      <c r="G1787">
        <v>597340</v>
      </c>
      <c r="H1787" s="184">
        <v>44216</v>
      </c>
      <c r="I1787" s="184">
        <v>44224</v>
      </c>
      <c r="J1787" t="s">
        <v>769</v>
      </c>
      <c r="K1787">
        <v>60000</v>
      </c>
      <c r="L1787" t="s">
        <v>189</v>
      </c>
    </row>
    <row r="1788" spans="1:12" x14ac:dyDescent="0.4">
      <c r="A1788" t="s">
        <v>169</v>
      </c>
      <c r="B1788" t="s">
        <v>6</v>
      </c>
      <c r="C1788" t="s">
        <v>702</v>
      </c>
      <c r="D1788" t="s">
        <v>703</v>
      </c>
      <c r="E1788">
        <v>20018233</v>
      </c>
      <c r="F1788" t="s">
        <v>768</v>
      </c>
      <c r="G1788">
        <v>597340</v>
      </c>
      <c r="H1788" s="184">
        <v>44216</v>
      </c>
      <c r="I1788" s="184">
        <v>44224</v>
      </c>
      <c r="J1788" t="s">
        <v>769</v>
      </c>
      <c r="K1788">
        <v>60000</v>
      </c>
      <c r="L1788" t="s">
        <v>190</v>
      </c>
    </row>
    <row r="1789" spans="1:12" x14ac:dyDescent="0.4">
      <c r="A1789" t="s">
        <v>169</v>
      </c>
      <c r="B1789" t="s">
        <v>6</v>
      </c>
      <c r="C1789" t="s">
        <v>702</v>
      </c>
      <c r="D1789" t="s">
        <v>703</v>
      </c>
      <c r="E1789">
        <v>20018233</v>
      </c>
      <c r="F1789" t="s">
        <v>768</v>
      </c>
      <c r="G1789">
        <v>597340</v>
      </c>
      <c r="H1789" s="184">
        <v>44216</v>
      </c>
      <c r="I1789" s="184">
        <v>44224</v>
      </c>
      <c r="J1789" t="s">
        <v>769</v>
      </c>
      <c r="K1789">
        <v>60000</v>
      </c>
      <c r="L1789" t="s">
        <v>239</v>
      </c>
    </row>
    <row r="1790" spans="1:12" x14ac:dyDescent="0.4">
      <c r="A1790" t="s">
        <v>169</v>
      </c>
      <c r="B1790" t="s">
        <v>6</v>
      </c>
      <c r="C1790" t="s">
        <v>702</v>
      </c>
      <c r="D1790" t="s">
        <v>703</v>
      </c>
      <c r="E1790">
        <v>20018319</v>
      </c>
      <c r="F1790" t="s">
        <v>770</v>
      </c>
      <c r="G1790">
        <v>591210</v>
      </c>
      <c r="H1790" s="184">
        <v>43873</v>
      </c>
      <c r="I1790" s="184">
        <v>43880</v>
      </c>
      <c r="J1790" t="s">
        <v>771</v>
      </c>
      <c r="K1790">
        <v>60000</v>
      </c>
      <c r="L1790" t="s">
        <v>275</v>
      </c>
    </row>
    <row r="1791" spans="1:12" x14ac:dyDescent="0.4">
      <c r="A1791" t="s">
        <v>169</v>
      </c>
      <c r="B1791" t="s">
        <v>6</v>
      </c>
      <c r="C1791" t="s">
        <v>702</v>
      </c>
      <c r="D1791" t="s">
        <v>703</v>
      </c>
      <c r="E1791">
        <v>20018319</v>
      </c>
      <c r="F1791" t="s">
        <v>770</v>
      </c>
      <c r="G1791">
        <v>591210</v>
      </c>
      <c r="H1791" s="184">
        <v>43873</v>
      </c>
      <c r="I1791" s="184">
        <v>43880</v>
      </c>
      <c r="J1791" t="s">
        <v>771</v>
      </c>
      <c r="K1791">
        <v>60000</v>
      </c>
      <c r="L1791" t="s">
        <v>238</v>
      </c>
    </row>
    <row r="1792" spans="1:12" x14ac:dyDescent="0.4">
      <c r="A1792" t="s">
        <v>169</v>
      </c>
      <c r="B1792" t="s">
        <v>6</v>
      </c>
      <c r="C1792" t="s">
        <v>702</v>
      </c>
      <c r="D1792" t="s">
        <v>703</v>
      </c>
      <c r="E1792">
        <v>20018319</v>
      </c>
      <c r="F1792" t="s">
        <v>770</v>
      </c>
      <c r="G1792">
        <v>591210</v>
      </c>
      <c r="H1792" s="184">
        <v>43873</v>
      </c>
      <c r="I1792" s="184">
        <v>43880</v>
      </c>
      <c r="J1792" t="s">
        <v>771</v>
      </c>
      <c r="K1792">
        <v>60000</v>
      </c>
      <c r="L1792" t="s">
        <v>231</v>
      </c>
    </row>
    <row r="1793" spans="1:12" x14ac:dyDescent="0.4">
      <c r="A1793" t="s">
        <v>169</v>
      </c>
      <c r="B1793" t="s">
        <v>6</v>
      </c>
      <c r="C1793" t="s">
        <v>702</v>
      </c>
      <c r="D1793" t="s">
        <v>703</v>
      </c>
      <c r="E1793">
        <v>20018319</v>
      </c>
      <c r="F1793" t="s">
        <v>770</v>
      </c>
      <c r="G1793">
        <v>591210</v>
      </c>
      <c r="H1793" s="184">
        <v>43873</v>
      </c>
      <c r="I1793" s="184">
        <v>43880</v>
      </c>
      <c r="J1793" t="s">
        <v>771</v>
      </c>
      <c r="K1793">
        <v>60000</v>
      </c>
      <c r="L1793" t="s">
        <v>232</v>
      </c>
    </row>
    <row r="1794" spans="1:12" x14ac:dyDescent="0.4">
      <c r="A1794" t="s">
        <v>169</v>
      </c>
      <c r="B1794" t="s">
        <v>6</v>
      </c>
      <c r="C1794" t="s">
        <v>702</v>
      </c>
      <c r="D1794" t="s">
        <v>703</v>
      </c>
      <c r="E1794">
        <v>20018319</v>
      </c>
      <c r="F1794" t="s">
        <v>770</v>
      </c>
      <c r="G1794">
        <v>591210</v>
      </c>
      <c r="H1794" s="184">
        <v>43873</v>
      </c>
      <c r="I1794" s="184">
        <v>43880</v>
      </c>
      <c r="J1794" t="s">
        <v>771</v>
      </c>
      <c r="K1794">
        <v>60000</v>
      </c>
      <c r="L1794" t="s">
        <v>233</v>
      </c>
    </row>
    <row r="1795" spans="1:12" x14ac:dyDescent="0.4">
      <c r="A1795" t="s">
        <v>169</v>
      </c>
      <c r="B1795" t="s">
        <v>6</v>
      </c>
      <c r="C1795" t="s">
        <v>702</v>
      </c>
      <c r="D1795" t="s">
        <v>703</v>
      </c>
      <c r="E1795">
        <v>20018319</v>
      </c>
      <c r="F1795" t="s">
        <v>770</v>
      </c>
      <c r="G1795">
        <v>591210</v>
      </c>
      <c r="H1795" s="184">
        <v>43873</v>
      </c>
      <c r="I1795" s="184">
        <v>43880</v>
      </c>
      <c r="J1795" t="s">
        <v>771</v>
      </c>
      <c r="K1795">
        <v>60000</v>
      </c>
      <c r="L1795" t="s">
        <v>234</v>
      </c>
    </row>
    <row r="1796" spans="1:12" x14ac:dyDescent="0.4">
      <c r="A1796" t="s">
        <v>169</v>
      </c>
      <c r="B1796" t="s">
        <v>6</v>
      </c>
      <c r="C1796" t="s">
        <v>702</v>
      </c>
      <c r="D1796" t="s">
        <v>703</v>
      </c>
      <c r="E1796">
        <v>20018406</v>
      </c>
      <c r="F1796" t="s">
        <v>772</v>
      </c>
      <c r="G1796">
        <v>592857</v>
      </c>
      <c r="H1796" s="184">
        <v>43972</v>
      </c>
      <c r="I1796" s="184">
        <v>43980</v>
      </c>
      <c r="J1796" t="s">
        <v>400</v>
      </c>
      <c r="K1796">
        <v>60000</v>
      </c>
      <c r="L1796" t="s">
        <v>376</v>
      </c>
    </row>
    <row r="1797" spans="1:12" x14ac:dyDescent="0.4">
      <c r="A1797" t="s">
        <v>169</v>
      </c>
      <c r="B1797" t="s">
        <v>6</v>
      </c>
      <c r="C1797" t="s">
        <v>702</v>
      </c>
      <c r="D1797" t="s">
        <v>703</v>
      </c>
      <c r="E1797">
        <v>20018406</v>
      </c>
      <c r="F1797" t="s">
        <v>772</v>
      </c>
      <c r="G1797">
        <v>592857</v>
      </c>
      <c r="H1797" s="184">
        <v>43972</v>
      </c>
      <c r="I1797" s="184">
        <v>43980</v>
      </c>
      <c r="J1797" t="s">
        <v>400</v>
      </c>
      <c r="K1797">
        <v>60000</v>
      </c>
      <c r="L1797" t="s">
        <v>311</v>
      </c>
    </row>
    <row r="1798" spans="1:12" x14ac:dyDescent="0.4">
      <c r="A1798" t="s">
        <v>169</v>
      </c>
      <c r="B1798" t="s">
        <v>6</v>
      </c>
      <c r="C1798" t="s">
        <v>702</v>
      </c>
      <c r="D1798" t="s">
        <v>703</v>
      </c>
      <c r="E1798">
        <v>20018406</v>
      </c>
      <c r="F1798" t="s">
        <v>772</v>
      </c>
      <c r="G1798">
        <v>592857</v>
      </c>
      <c r="H1798" s="184">
        <v>43972</v>
      </c>
      <c r="I1798" s="184">
        <v>43980</v>
      </c>
      <c r="J1798" t="s">
        <v>400</v>
      </c>
      <c r="K1798">
        <v>60000</v>
      </c>
      <c r="L1798" t="s">
        <v>259</v>
      </c>
    </row>
    <row r="1799" spans="1:12" x14ac:dyDescent="0.4">
      <c r="A1799" t="s">
        <v>169</v>
      </c>
      <c r="B1799" t="s">
        <v>6</v>
      </c>
      <c r="C1799" t="s">
        <v>702</v>
      </c>
      <c r="D1799" t="s">
        <v>703</v>
      </c>
      <c r="E1799">
        <v>20018406</v>
      </c>
      <c r="F1799" t="s">
        <v>772</v>
      </c>
      <c r="G1799">
        <v>592857</v>
      </c>
      <c r="H1799" s="184">
        <v>43972</v>
      </c>
      <c r="I1799" s="184">
        <v>43980</v>
      </c>
      <c r="J1799" t="s">
        <v>400</v>
      </c>
      <c r="K1799">
        <v>60000</v>
      </c>
      <c r="L1799" t="s">
        <v>260</v>
      </c>
    </row>
    <row r="1800" spans="1:12" x14ac:dyDescent="0.4">
      <c r="A1800" t="s">
        <v>169</v>
      </c>
      <c r="B1800" t="s">
        <v>6</v>
      </c>
      <c r="C1800" t="s">
        <v>702</v>
      </c>
      <c r="D1800" t="s">
        <v>703</v>
      </c>
      <c r="E1800">
        <v>20018406</v>
      </c>
      <c r="F1800" t="s">
        <v>772</v>
      </c>
      <c r="G1800">
        <v>592857</v>
      </c>
      <c r="H1800" s="184">
        <v>43972</v>
      </c>
      <c r="I1800" s="184">
        <v>43980</v>
      </c>
      <c r="J1800" t="s">
        <v>400</v>
      </c>
      <c r="K1800">
        <v>60000</v>
      </c>
      <c r="L1800" t="s">
        <v>261</v>
      </c>
    </row>
    <row r="1801" spans="1:12" x14ac:dyDescent="0.4">
      <c r="A1801" t="s">
        <v>169</v>
      </c>
      <c r="B1801" t="s">
        <v>6</v>
      </c>
      <c r="C1801" t="s">
        <v>702</v>
      </c>
      <c r="D1801" t="s">
        <v>703</v>
      </c>
      <c r="E1801">
        <v>20018406</v>
      </c>
      <c r="F1801" t="s">
        <v>772</v>
      </c>
      <c r="G1801">
        <v>592857</v>
      </c>
      <c r="H1801" s="184">
        <v>43972</v>
      </c>
      <c r="I1801" s="184">
        <v>43980</v>
      </c>
      <c r="J1801" t="s">
        <v>400</v>
      </c>
      <c r="K1801">
        <v>60000</v>
      </c>
      <c r="L1801" t="s">
        <v>262</v>
      </c>
    </row>
    <row r="1802" spans="1:12" x14ac:dyDescent="0.4">
      <c r="A1802" t="s">
        <v>169</v>
      </c>
      <c r="B1802" t="s">
        <v>6</v>
      </c>
      <c r="C1802" t="s">
        <v>702</v>
      </c>
      <c r="D1802" t="s">
        <v>703</v>
      </c>
      <c r="E1802">
        <v>20018412</v>
      </c>
      <c r="F1802" t="s">
        <v>773</v>
      </c>
      <c r="G1802">
        <v>598690</v>
      </c>
      <c r="H1802" s="184">
        <v>44298</v>
      </c>
      <c r="I1802" s="184">
        <v>44307</v>
      </c>
      <c r="J1802" t="s">
        <v>774</v>
      </c>
      <c r="K1802">
        <v>60000</v>
      </c>
      <c r="L1802" t="s">
        <v>311</v>
      </c>
    </row>
    <row r="1803" spans="1:12" x14ac:dyDescent="0.4">
      <c r="A1803" t="s">
        <v>169</v>
      </c>
      <c r="B1803" t="s">
        <v>6</v>
      </c>
      <c r="C1803" t="s">
        <v>702</v>
      </c>
      <c r="D1803" t="s">
        <v>703</v>
      </c>
      <c r="E1803">
        <v>20018412</v>
      </c>
      <c r="F1803" t="s">
        <v>773</v>
      </c>
      <c r="G1803">
        <v>598690</v>
      </c>
      <c r="H1803" s="184">
        <v>44298</v>
      </c>
      <c r="I1803" s="184">
        <v>44307</v>
      </c>
      <c r="J1803" t="s">
        <v>774</v>
      </c>
      <c r="K1803">
        <v>60000</v>
      </c>
      <c r="L1803" t="s">
        <v>312</v>
      </c>
    </row>
    <row r="1804" spans="1:12" x14ac:dyDescent="0.4">
      <c r="A1804" t="s">
        <v>169</v>
      </c>
      <c r="B1804" t="s">
        <v>6</v>
      </c>
      <c r="C1804" t="s">
        <v>702</v>
      </c>
      <c r="D1804" t="s">
        <v>703</v>
      </c>
      <c r="E1804">
        <v>20018412</v>
      </c>
      <c r="F1804" t="s">
        <v>773</v>
      </c>
      <c r="G1804">
        <v>598690</v>
      </c>
      <c r="H1804" s="184">
        <v>44298</v>
      </c>
      <c r="I1804" s="184">
        <v>44307</v>
      </c>
      <c r="J1804" t="s">
        <v>774</v>
      </c>
      <c r="K1804">
        <v>60000</v>
      </c>
      <c r="L1804" t="s">
        <v>313</v>
      </c>
    </row>
    <row r="1805" spans="1:12" x14ac:dyDescent="0.4">
      <c r="A1805" t="s">
        <v>169</v>
      </c>
      <c r="B1805" t="s">
        <v>6</v>
      </c>
      <c r="C1805" t="s">
        <v>702</v>
      </c>
      <c r="D1805" t="s">
        <v>703</v>
      </c>
      <c r="E1805">
        <v>20018412</v>
      </c>
      <c r="F1805" t="s">
        <v>773</v>
      </c>
      <c r="G1805">
        <v>598690</v>
      </c>
      <c r="H1805" s="184">
        <v>44298</v>
      </c>
      <c r="I1805" s="184">
        <v>44307</v>
      </c>
      <c r="J1805" t="s">
        <v>774</v>
      </c>
      <c r="K1805">
        <v>60000</v>
      </c>
      <c r="L1805" t="s">
        <v>314</v>
      </c>
    </row>
    <row r="1806" spans="1:12" x14ac:dyDescent="0.4">
      <c r="A1806" t="s">
        <v>169</v>
      </c>
      <c r="B1806" t="s">
        <v>6</v>
      </c>
      <c r="C1806" t="s">
        <v>702</v>
      </c>
      <c r="D1806" t="s">
        <v>703</v>
      </c>
      <c r="E1806">
        <v>20018412</v>
      </c>
      <c r="F1806" t="s">
        <v>773</v>
      </c>
      <c r="G1806">
        <v>598690</v>
      </c>
      <c r="H1806" s="184">
        <v>44298</v>
      </c>
      <c r="I1806" s="184">
        <v>44307</v>
      </c>
      <c r="J1806" t="s">
        <v>774</v>
      </c>
      <c r="K1806">
        <v>60000</v>
      </c>
      <c r="L1806" t="s">
        <v>315</v>
      </c>
    </row>
    <row r="1807" spans="1:12" x14ac:dyDescent="0.4">
      <c r="A1807" t="s">
        <v>169</v>
      </c>
      <c r="B1807" t="s">
        <v>6</v>
      </c>
      <c r="C1807" t="s">
        <v>702</v>
      </c>
      <c r="D1807" t="s">
        <v>703</v>
      </c>
      <c r="E1807">
        <v>20018412</v>
      </c>
      <c r="F1807" t="s">
        <v>773</v>
      </c>
      <c r="G1807">
        <v>598690</v>
      </c>
      <c r="H1807" s="184">
        <v>44298</v>
      </c>
      <c r="I1807" s="184">
        <v>44307</v>
      </c>
      <c r="J1807" t="s">
        <v>774</v>
      </c>
      <c r="K1807">
        <v>60000</v>
      </c>
      <c r="L1807" t="s">
        <v>316</v>
      </c>
    </row>
    <row r="1808" spans="1:12" x14ac:dyDescent="0.4">
      <c r="A1808" t="s">
        <v>169</v>
      </c>
      <c r="B1808" t="s">
        <v>6</v>
      </c>
      <c r="C1808" t="s">
        <v>702</v>
      </c>
      <c r="D1808" t="s">
        <v>703</v>
      </c>
      <c r="E1808">
        <v>20018428</v>
      </c>
      <c r="F1808" t="s">
        <v>775</v>
      </c>
      <c r="G1808">
        <v>591791</v>
      </c>
      <c r="H1808" s="184">
        <v>43901</v>
      </c>
      <c r="I1808" s="184">
        <v>43909</v>
      </c>
      <c r="J1808" t="s">
        <v>280</v>
      </c>
      <c r="K1808">
        <v>60000</v>
      </c>
      <c r="L1808" t="s">
        <v>281</v>
      </c>
    </row>
    <row r="1809" spans="1:12" x14ac:dyDescent="0.4">
      <c r="A1809" t="s">
        <v>169</v>
      </c>
      <c r="B1809" t="s">
        <v>6</v>
      </c>
      <c r="C1809" t="s">
        <v>702</v>
      </c>
      <c r="D1809" t="s">
        <v>703</v>
      </c>
      <c r="E1809">
        <v>20018428</v>
      </c>
      <c r="F1809" t="s">
        <v>775</v>
      </c>
      <c r="G1809">
        <v>591791</v>
      </c>
      <c r="H1809" s="184">
        <v>43901</v>
      </c>
      <c r="I1809" s="184">
        <v>43909</v>
      </c>
      <c r="J1809" t="s">
        <v>280</v>
      </c>
      <c r="K1809">
        <v>60000</v>
      </c>
      <c r="L1809" t="s">
        <v>230</v>
      </c>
    </row>
    <row r="1810" spans="1:12" x14ac:dyDescent="0.4">
      <c r="A1810" t="s">
        <v>169</v>
      </c>
      <c r="B1810" t="s">
        <v>6</v>
      </c>
      <c r="C1810" t="s">
        <v>702</v>
      </c>
      <c r="D1810" t="s">
        <v>703</v>
      </c>
      <c r="E1810">
        <v>20018428</v>
      </c>
      <c r="F1810" t="s">
        <v>775</v>
      </c>
      <c r="G1810">
        <v>591791</v>
      </c>
      <c r="H1810" s="184">
        <v>43901</v>
      </c>
      <c r="I1810" s="184">
        <v>43909</v>
      </c>
      <c r="J1810" t="s">
        <v>280</v>
      </c>
      <c r="K1810">
        <v>60000</v>
      </c>
      <c r="L1810" t="s">
        <v>243</v>
      </c>
    </row>
    <row r="1811" spans="1:12" x14ac:dyDescent="0.4">
      <c r="A1811" t="s">
        <v>169</v>
      </c>
      <c r="B1811" t="s">
        <v>6</v>
      </c>
      <c r="C1811" t="s">
        <v>702</v>
      </c>
      <c r="D1811" t="s">
        <v>703</v>
      </c>
      <c r="E1811">
        <v>20018428</v>
      </c>
      <c r="F1811" t="s">
        <v>775</v>
      </c>
      <c r="G1811">
        <v>591791</v>
      </c>
      <c r="H1811" s="184">
        <v>43901</v>
      </c>
      <c r="I1811" s="184">
        <v>43909</v>
      </c>
      <c r="J1811" t="s">
        <v>280</v>
      </c>
      <c r="K1811">
        <v>60000</v>
      </c>
      <c r="L1811" t="s">
        <v>244</v>
      </c>
    </row>
    <row r="1812" spans="1:12" x14ac:dyDescent="0.4">
      <c r="A1812" t="s">
        <v>169</v>
      </c>
      <c r="B1812" t="s">
        <v>6</v>
      </c>
      <c r="C1812" t="s">
        <v>702</v>
      </c>
      <c r="D1812" t="s">
        <v>703</v>
      </c>
      <c r="E1812">
        <v>20018428</v>
      </c>
      <c r="F1812" t="s">
        <v>775</v>
      </c>
      <c r="G1812">
        <v>591791</v>
      </c>
      <c r="H1812" s="184">
        <v>43901</v>
      </c>
      <c r="I1812" s="184">
        <v>43909</v>
      </c>
      <c r="J1812" t="s">
        <v>280</v>
      </c>
      <c r="K1812">
        <v>60000</v>
      </c>
      <c r="L1812" t="s">
        <v>245</v>
      </c>
    </row>
    <row r="1813" spans="1:12" x14ac:dyDescent="0.4">
      <c r="A1813" t="s">
        <v>169</v>
      </c>
      <c r="B1813" t="s">
        <v>6</v>
      </c>
      <c r="C1813" t="s">
        <v>702</v>
      </c>
      <c r="D1813" t="s">
        <v>703</v>
      </c>
      <c r="E1813">
        <v>20018428</v>
      </c>
      <c r="F1813" t="s">
        <v>775</v>
      </c>
      <c r="G1813">
        <v>591791</v>
      </c>
      <c r="H1813" s="184">
        <v>43901</v>
      </c>
      <c r="I1813" s="184">
        <v>43909</v>
      </c>
      <c r="J1813" t="s">
        <v>280</v>
      </c>
      <c r="K1813">
        <v>60000</v>
      </c>
      <c r="L1813" t="s">
        <v>246</v>
      </c>
    </row>
    <row r="1814" spans="1:12" x14ac:dyDescent="0.4">
      <c r="A1814" t="s">
        <v>169</v>
      </c>
      <c r="B1814" t="s">
        <v>6</v>
      </c>
      <c r="C1814" t="s">
        <v>702</v>
      </c>
      <c r="D1814" t="s">
        <v>703</v>
      </c>
      <c r="E1814">
        <v>20018447</v>
      </c>
      <c r="F1814" t="s">
        <v>776</v>
      </c>
      <c r="G1814">
        <v>593731</v>
      </c>
      <c r="H1814" s="184">
        <v>44060</v>
      </c>
      <c r="I1814" s="184">
        <v>44074</v>
      </c>
      <c r="J1814" t="s">
        <v>202</v>
      </c>
      <c r="K1814">
        <v>60000</v>
      </c>
      <c r="L1814" t="s">
        <v>203</v>
      </c>
    </row>
    <row r="1815" spans="1:12" x14ac:dyDescent="0.4">
      <c r="A1815" t="s">
        <v>169</v>
      </c>
      <c r="B1815" t="s">
        <v>6</v>
      </c>
      <c r="C1815" t="s">
        <v>702</v>
      </c>
      <c r="D1815" t="s">
        <v>703</v>
      </c>
      <c r="E1815">
        <v>20018447</v>
      </c>
      <c r="F1815" t="s">
        <v>776</v>
      </c>
      <c r="G1815">
        <v>593731</v>
      </c>
      <c r="H1815" s="184">
        <v>44060</v>
      </c>
      <c r="I1815" s="184">
        <v>44074</v>
      </c>
      <c r="J1815" t="s">
        <v>202</v>
      </c>
      <c r="K1815">
        <v>60000</v>
      </c>
      <c r="L1815" t="s">
        <v>204</v>
      </c>
    </row>
    <row r="1816" spans="1:12" x14ac:dyDescent="0.4">
      <c r="A1816" t="s">
        <v>169</v>
      </c>
      <c r="B1816" t="s">
        <v>6</v>
      </c>
      <c r="C1816" t="s">
        <v>702</v>
      </c>
      <c r="D1816" t="s">
        <v>703</v>
      </c>
      <c r="E1816">
        <v>20018447</v>
      </c>
      <c r="F1816" t="s">
        <v>776</v>
      </c>
      <c r="G1816">
        <v>593731</v>
      </c>
      <c r="H1816" s="184">
        <v>44060</v>
      </c>
      <c r="I1816" s="184">
        <v>44074</v>
      </c>
      <c r="J1816" t="s">
        <v>202</v>
      </c>
      <c r="K1816">
        <v>60000</v>
      </c>
      <c r="L1816" t="s">
        <v>205</v>
      </c>
    </row>
    <row r="1817" spans="1:12" x14ac:dyDescent="0.4">
      <c r="A1817" t="s">
        <v>169</v>
      </c>
      <c r="B1817" t="s">
        <v>6</v>
      </c>
      <c r="C1817" t="s">
        <v>702</v>
      </c>
      <c r="D1817" t="s">
        <v>703</v>
      </c>
      <c r="E1817">
        <v>20018447</v>
      </c>
      <c r="F1817" t="s">
        <v>776</v>
      </c>
      <c r="G1817">
        <v>593731</v>
      </c>
      <c r="H1817" s="184">
        <v>44060</v>
      </c>
      <c r="I1817" s="184">
        <v>44074</v>
      </c>
      <c r="J1817" t="s">
        <v>202</v>
      </c>
      <c r="K1817">
        <v>60000</v>
      </c>
      <c r="L1817" t="s">
        <v>206</v>
      </c>
    </row>
    <row r="1818" spans="1:12" x14ac:dyDescent="0.4">
      <c r="A1818" t="s">
        <v>169</v>
      </c>
      <c r="B1818" t="s">
        <v>6</v>
      </c>
      <c r="C1818" t="s">
        <v>702</v>
      </c>
      <c r="D1818" t="s">
        <v>703</v>
      </c>
      <c r="E1818">
        <v>20018447</v>
      </c>
      <c r="F1818" t="s">
        <v>776</v>
      </c>
      <c r="G1818">
        <v>593731</v>
      </c>
      <c r="H1818" s="184">
        <v>44060</v>
      </c>
      <c r="I1818" s="184">
        <v>44074</v>
      </c>
      <c r="J1818" t="s">
        <v>202</v>
      </c>
      <c r="K1818">
        <v>60000</v>
      </c>
      <c r="L1818" t="s">
        <v>207</v>
      </c>
    </row>
    <row r="1819" spans="1:12" x14ac:dyDescent="0.4">
      <c r="A1819" t="s">
        <v>169</v>
      </c>
      <c r="B1819" t="s">
        <v>6</v>
      </c>
      <c r="C1819" t="s">
        <v>702</v>
      </c>
      <c r="D1819" t="s">
        <v>703</v>
      </c>
      <c r="E1819">
        <v>20018447</v>
      </c>
      <c r="F1819" t="s">
        <v>776</v>
      </c>
      <c r="G1819">
        <v>593731</v>
      </c>
      <c r="H1819" s="184">
        <v>44060</v>
      </c>
      <c r="I1819" s="184">
        <v>44074</v>
      </c>
      <c r="J1819" t="s">
        <v>202</v>
      </c>
      <c r="K1819">
        <v>60000</v>
      </c>
      <c r="L1819" t="s">
        <v>208</v>
      </c>
    </row>
    <row r="1820" spans="1:12" x14ac:dyDescent="0.4">
      <c r="A1820" t="s">
        <v>169</v>
      </c>
      <c r="B1820" t="s">
        <v>6</v>
      </c>
      <c r="C1820" t="s">
        <v>702</v>
      </c>
      <c r="D1820" t="s">
        <v>703</v>
      </c>
      <c r="E1820">
        <v>20018516</v>
      </c>
      <c r="F1820" t="s">
        <v>777</v>
      </c>
      <c r="G1820">
        <v>593216</v>
      </c>
      <c r="H1820" s="184">
        <v>43965</v>
      </c>
      <c r="I1820" s="184">
        <v>43980</v>
      </c>
      <c r="J1820" t="s">
        <v>375</v>
      </c>
      <c r="K1820">
        <v>60000</v>
      </c>
      <c r="L1820" t="s">
        <v>376</v>
      </c>
    </row>
    <row r="1821" spans="1:12" x14ac:dyDescent="0.4">
      <c r="A1821" t="s">
        <v>169</v>
      </c>
      <c r="B1821" t="s">
        <v>6</v>
      </c>
      <c r="C1821" t="s">
        <v>702</v>
      </c>
      <c r="D1821" t="s">
        <v>703</v>
      </c>
      <c r="E1821">
        <v>20018516</v>
      </c>
      <c r="F1821" t="s">
        <v>777</v>
      </c>
      <c r="G1821">
        <v>593216</v>
      </c>
      <c r="H1821" s="184">
        <v>43965</v>
      </c>
      <c r="I1821" s="184">
        <v>43980</v>
      </c>
      <c r="J1821" t="s">
        <v>375</v>
      </c>
      <c r="K1821">
        <v>60000</v>
      </c>
      <c r="L1821" t="s">
        <v>311</v>
      </c>
    </row>
    <row r="1822" spans="1:12" x14ac:dyDescent="0.4">
      <c r="A1822" t="s">
        <v>169</v>
      </c>
      <c r="B1822" t="s">
        <v>6</v>
      </c>
      <c r="C1822" t="s">
        <v>702</v>
      </c>
      <c r="D1822" t="s">
        <v>703</v>
      </c>
      <c r="E1822">
        <v>20018516</v>
      </c>
      <c r="F1822" t="s">
        <v>777</v>
      </c>
      <c r="G1822">
        <v>593216</v>
      </c>
      <c r="H1822" s="184">
        <v>43965</v>
      </c>
      <c r="I1822" s="184">
        <v>43980</v>
      </c>
      <c r="J1822" t="s">
        <v>375</v>
      </c>
      <c r="K1822">
        <v>60000</v>
      </c>
      <c r="L1822" t="s">
        <v>259</v>
      </c>
    </row>
    <row r="1823" spans="1:12" x14ac:dyDescent="0.4">
      <c r="A1823" t="s">
        <v>169</v>
      </c>
      <c r="B1823" t="s">
        <v>6</v>
      </c>
      <c r="C1823" t="s">
        <v>702</v>
      </c>
      <c r="D1823" t="s">
        <v>703</v>
      </c>
      <c r="E1823">
        <v>20018516</v>
      </c>
      <c r="F1823" t="s">
        <v>777</v>
      </c>
      <c r="G1823">
        <v>593216</v>
      </c>
      <c r="H1823" s="184">
        <v>43965</v>
      </c>
      <c r="I1823" s="184">
        <v>43980</v>
      </c>
      <c r="J1823" t="s">
        <v>375</v>
      </c>
      <c r="K1823">
        <v>60000</v>
      </c>
      <c r="L1823" t="s">
        <v>260</v>
      </c>
    </row>
    <row r="1824" spans="1:12" x14ac:dyDescent="0.4">
      <c r="A1824" t="s">
        <v>169</v>
      </c>
      <c r="B1824" t="s">
        <v>6</v>
      </c>
      <c r="C1824" t="s">
        <v>702</v>
      </c>
      <c r="D1824" t="s">
        <v>703</v>
      </c>
      <c r="E1824">
        <v>20018516</v>
      </c>
      <c r="F1824" t="s">
        <v>777</v>
      </c>
      <c r="G1824">
        <v>593216</v>
      </c>
      <c r="H1824" s="184">
        <v>43965</v>
      </c>
      <c r="I1824" s="184">
        <v>43980</v>
      </c>
      <c r="J1824" t="s">
        <v>375</v>
      </c>
      <c r="K1824">
        <v>60000</v>
      </c>
      <c r="L1824" t="s">
        <v>261</v>
      </c>
    </row>
    <row r="1825" spans="1:12" x14ac:dyDescent="0.4">
      <c r="A1825" t="s">
        <v>169</v>
      </c>
      <c r="B1825" t="s">
        <v>6</v>
      </c>
      <c r="C1825" t="s">
        <v>702</v>
      </c>
      <c r="D1825" t="s">
        <v>703</v>
      </c>
      <c r="E1825">
        <v>20018516</v>
      </c>
      <c r="F1825" t="s">
        <v>777</v>
      </c>
      <c r="G1825">
        <v>593216</v>
      </c>
      <c r="H1825" s="184">
        <v>43965</v>
      </c>
      <c r="I1825" s="184">
        <v>43980</v>
      </c>
      <c r="J1825" t="s">
        <v>375</v>
      </c>
      <c r="K1825">
        <v>60000</v>
      </c>
      <c r="L1825" t="s">
        <v>262</v>
      </c>
    </row>
    <row r="1826" spans="1:12" x14ac:dyDescent="0.4">
      <c r="A1826" t="s">
        <v>169</v>
      </c>
      <c r="B1826" t="s">
        <v>6</v>
      </c>
      <c r="C1826" t="s">
        <v>702</v>
      </c>
      <c r="D1826" t="s">
        <v>703</v>
      </c>
      <c r="E1826">
        <v>20018523</v>
      </c>
      <c r="F1826" t="s">
        <v>778</v>
      </c>
      <c r="G1826">
        <v>592878</v>
      </c>
      <c r="H1826" s="184">
        <v>43948</v>
      </c>
      <c r="I1826" s="184">
        <v>43951</v>
      </c>
      <c r="J1826" t="s">
        <v>379</v>
      </c>
      <c r="K1826">
        <v>60000</v>
      </c>
      <c r="L1826" t="s">
        <v>363</v>
      </c>
    </row>
    <row r="1827" spans="1:12" x14ac:dyDescent="0.4">
      <c r="A1827" t="s">
        <v>169</v>
      </c>
      <c r="B1827" t="s">
        <v>6</v>
      </c>
      <c r="C1827" t="s">
        <v>702</v>
      </c>
      <c r="D1827" t="s">
        <v>703</v>
      </c>
      <c r="E1827">
        <v>20018523</v>
      </c>
      <c r="F1827" t="s">
        <v>778</v>
      </c>
      <c r="G1827">
        <v>592878</v>
      </c>
      <c r="H1827" s="184">
        <v>43948</v>
      </c>
      <c r="I1827" s="184">
        <v>43951</v>
      </c>
      <c r="J1827" t="s">
        <v>379</v>
      </c>
      <c r="K1827">
        <v>60000</v>
      </c>
      <c r="L1827" t="s">
        <v>242</v>
      </c>
    </row>
    <row r="1828" spans="1:12" x14ac:dyDescent="0.4">
      <c r="A1828" t="s">
        <v>169</v>
      </c>
      <c r="B1828" t="s">
        <v>6</v>
      </c>
      <c r="C1828" t="s">
        <v>702</v>
      </c>
      <c r="D1828" t="s">
        <v>703</v>
      </c>
      <c r="E1828">
        <v>20018523</v>
      </c>
      <c r="F1828" t="s">
        <v>778</v>
      </c>
      <c r="G1828">
        <v>592878</v>
      </c>
      <c r="H1828" s="184">
        <v>43948</v>
      </c>
      <c r="I1828" s="184">
        <v>43951</v>
      </c>
      <c r="J1828" t="s">
        <v>379</v>
      </c>
      <c r="K1828">
        <v>60000</v>
      </c>
      <c r="L1828" t="s">
        <v>312</v>
      </c>
    </row>
    <row r="1829" spans="1:12" x14ac:dyDescent="0.4">
      <c r="A1829" t="s">
        <v>169</v>
      </c>
      <c r="B1829" t="s">
        <v>6</v>
      </c>
      <c r="C1829" t="s">
        <v>702</v>
      </c>
      <c r="D1829" t="s">
        <v>703</v>
      </c>
      <c r="E1829">
        <v>20018523</v>
      </c>
      <c r="F1829" t="s">
        <v>778</v>
      </c>
      <c r="G1829">
        <v>592878</v>
      </c>
      <c r="H1829" s="184">
        <v>43948</v>
      </c>
      <c r="I1829" s="184">
        <v>43951</v>
      </c>
      <c r="J1829" t="s">
        <v>379</v>
      </c>
      <c r="K1829">
        <v>60000</v>
      </c>
      <c r="L1829" t="s">
        <v>313</v>
      </c>
    </row>
    <row r="1830" spans="1:12" x14ac:dyDescent="0.4">
      <c r="A1830" t="s">
        <v>169</v>
      </c>
      <c r="B1830" t="s">
        <v>6</v>
      </c>
      <c r="C1830" t="s">
        <v>702</v>
      </c>
      <c r="D1830" t="s">
        <v>703</v>
      </c>
      <c r="E1830">
        <v>20018523</v>
      </c>
      <c r="F1830" t="s">
        <v>778</v>
      </c>
      <c r="G1830">
        <v>592878</v>
      </c>
      <c r="H1830" s="184">
        <v>43948</v>
      </c>
      <c r="I1830" s="184">
        <v>43951</v>
      </c>
      <c r="J1830" t="s">
        <v>379</v>
      </c>
      <c r="K1830">
        <v>60000</v>
      </c>
      <c r="L1830" t="s">
        <v>314</v>
      </c>
    </row>
    <row r="1831" spans="1:12" x14ac:dyDescent="0.4">
      <c r="A1831" t="s">
        <v>169</v>
      </c>
      <c r="B1831" t="s">
        <v>6</v>
      </c>
      <c r="C1831" t="s">
        <v>702</v>
      </c>
      <c r="D1831" t="s">
        <v>703</v>
      </c>
      <c r="E1831">
        <v>20018523</v>
      </c>
      <c r="F1831" t="s">
        <v>778</v>
      </c>
      <c r="G1831">
        <v>592878</v>
      </c>
      <c r="H1831" s="184">
        <v>43948</v>
      </c>
      <c r="I1831" s="184">
        <v>43951</v>
      </c>
      <c r="J1831" t="s">
        <v>379</v>
      </c>
      <c r="K1831">
        <v>60000</v>
      </c>
      <c r="L1831" t="s">
        <v>315</v>
      </c>
    </row>
    <row r="1832" spans="1:12" x14ac:dyDescent="0.4">
      <c r="A1832" t="s">
        <v>169</v>
      </c>
      <c r="B1832" t="s">
        <v>6</v>
      </c>
      <c r="C1832" t="s">
        <v>702</v>
      </c>
      <c r="D1832" t="s">
        <v>703</v>
      </c>
      <c r="E1832">
        <v>20018538</v>
      </c>
      <c r="F1832" t="s">
        <v>779</v>
      </c>
      <c r="G1832">
        <v>593227</v>
      </c>
      <c r="H1832" s="184">
        <v>44060</v>
      </c>
      <c r="I1832" s="184">
        <v>44063</v>
      </c>
      <c r="J1832" t="s">
        <v>780</v>
      </c>
      <c r="K1832">
        <v>60000</v>
      </c>
      <c r="L1832" t="s">
        <v>203</v>
      </c>
    </row>
    <row r="1833" spans="1:12" x14ac:dyDescent="0.4">
      <c r="A1833" t="s">
        <v>169</v>
      </c>
      <c r="B1833" t="s">
        <v>6</v>
      </c>
      <c r="C1833" t="s">
        <v>702</v>
      </c>
      <c r="D1833" t="s">
        <v>703</v>
      </c>
      <c r="E1833">
        <v>20018538</v>
      </c>
      <c r="F1833" t="s">
        <v>779</v>
      </c>
      <c r="G1833">
        <v>593227</v>
      </c>
      <c r="H1833" s="184">
        <v>44060</v>
      </c>
      <c r="I1833" s="184">
        <v>44063</v>
      </c>
      <c r="J1833" t="s">
        <v>780</v>
      </c>
      <c r="K1833">
        <v>60000</v>
      </c>
      <c r="L1833" t="s">
        <v>204</v>
      </c>
    </row>
    <row r="1834" spans="1:12" x14ac:dyDescent="0.4">
      <c r="A1834" t="s">
        <v>169</v>
      </c>
      <c r="B1834" t="s">
        <v>6</v>
      </c>
      <c r="C1834" t="s">
        <v>702</v>
      </c>
      <c r="D1834" t="s">
        <v>703</v>
      </c>
      <c r="E1834">
        <v>20018538</v>
      </c>
      <c r="F1834" t="s">
        <v>779</v>
      </c>
      <c r="G1834">
        <v>593227</v>
      </c>
      <c r="H1834" s="184">
        <v>44060</v>
      </c>
      <c r="I1834" s="184">
        <v>44063</v>
      </c>
      <c r="J1834" t="s">
        <v>780</v>
      </c>
      <c r="K1834">
        <v>60000</v>
      </c>
      <c r="L1834" t="s">
        <v>205</v>
      </c>
    </row>
    <row r="1835" spans="1:12" x14ac:dyDescent="0.4">
      <c r="A1835" t="s">
        <v>169</v>
      </c>
      <c r="B1835" t="s">
        <v>6</v>
      </c>
      <c r="C1835" t="s">
        <v>702</v>
      </c>
      <c r="D1835" t="s">
        <v>703</v>
      </c>
      <c r="E1835">
        <v>20018538</v>
      </c>
      <c r="F1835" t="s">
        <v>779</v>
      </c>
      <c r="G1835">
        <v>593227</v>
      </c>
      <c r="H1835" s="184">
        <v>44060</v>
      </c>
      <c r="I1835" s="184">
        <v>44063</v>
      </c>
      <c r="J1835" t="s">
        <v>780</v>
      </c>
      <c r="K1835">
        <v>60000</v>
      </c>
      <c r="L1835" t="s">
        <v>206</v>
      </c>
    </row>
    <row r="1836" spans="1:12" x14ac:dyDescent="0.4">
      <c r="A1836" t="s">
        <v>169</v>
      </c>
      <c r="B1836" t="s">
        <v>6</v>
      </c>
      <c r="C1836" t="s">
        <v>702</v>
      </c>
      <c r="D1836" t="s">
        <v>703</v>
      </c>
      <c r="E1836">
        <v>20018538</v>
      </c>
      <c r="F1836" t="s">
        <v>779</v>
      </c>
      <c r="G1836">
        <v>593227</v>
      </c>
      <c r="H1836" s="184">
        <v>44060</v>
      </c>
      <c r="I1836" s="184">
        <v>44063</v>
      </c>
      <c r="J1836" t="s">
        <v>780</v>
      </c>
      <c r="K1836">
        <v>60000</v>
      </c>
      <c r="L1836" t="s">
        <v>207</v>
      </c>
    </row>
    <row r="1837" spans="1:12" x14ac:dyDescent="0.4">
      <c r="A1837" t="s">
        <v>169</v>
      </c>
      <c r="B1837" t="s">
        <v>6</v>
      </c>
      <c r="C1837" t="s">
        <v>702</v>
      </c>
      <c r="D1837" t="s">
        <v>703</v>
      </c>
      <c r="E1837">
        <v>20018538</v>
      </c>
      <c r="F1837" t="s">
        <v>779</v>
      </c>
      <c r="G1837">
        <v>593227</v>
      </c>
      <c r="H1837" s="184">
        <v>44060</v>
      </c>
      <c r="I1837" s="184">
        <v>44063</v>
      </c>
      <c r="J1837" t="s">
        <v>780</v>
      </c>
      <c r="K1837">
        <v>60000</v>
      </c>
      <c r="L1837" t="s">
        <v>208</v>
      </c>
    </row>
    <row r="1838" spans="1:12" x14ac:dyDescent="0.4">
      <c r="A1838" t="s">
        <v>169</v>
      </c>
      <c r="B1838" t="s">
        <v>6</v>
      </c>
      <c r="C1838" t="s">
        <v>702</v>
      </c>
      <c r="D1838" t="s">
        <v>703</v>
      </c>
      <c r="E1838">
        <v>20018702</v>
      </c>
      <c r="F1838" t="s">
        <v>781</v>
      </c>
      <c r="G1838">
        <v>593007</v>
      </c>
      <c r="H1838" s="184">
        <v>44011</v>
      </c>
      <c r="I1838" s="184">
        <v>44012</v>
      </c>
      <c r="J1838" t="s">
        <v>569</v>
      </c>
      <c r="K1838">
        <v>60000</v>
      </c>
      <c r="L1838" t="s">
        <v>353</v>
      </c>
    </row>
    <row r="1839" spans="1:12" x14ac:dyDescent="0.4">
      <c r="A1839" t="s">
        <v>169</v>
      </c>
      <c r="B1839" t="s">
        <v>6</v>
      </c>
      <c r="C1839" t="s">
        <v>702</v>
      </c>
      <c r="D1839" t="s">
        <v>703</v>
      </c>
      <c r="E1839">
        <v>20018702</v>
      </c>
      <c r="F1839" t="s">
        <v>781</v>
      </c>
      <c r="G1839">
        <v>593007</v>
      </c>
      <c r="H1839" s="184">
        <v>44011</v>
      </c>
      <c r="I1839" s="184">
        <v>44012</v>
      </c>
      <c r="J1839" t="s">
        <v>569</v>
      </c>
      <c r="K1839">
        <v>60000</v>
      </c>
      <c r="L1839" t="s">
        <v>258</v>
      </c>
    </row>
    <row r="1840" spans="1:12" x14ac:dyDescent="0.4">
      <c r="A1840" t="s">
        <v>169</v>
      </c>
      <c r="B1840" t="s">
        <v>6</v>
      </c>
      <c r="C1840" t="s">
        <v>702</v>
      </c>
      <c r="D1840" t="s">
        <v>703</v>
      </c>
      <c r="E1840">
        <v>20018702</v>
      </c>
      <c r="F1840" t="s">
        <v>781</v>
      </c>
      <c r="G1840">
        <v>593007</v>
      </c>
      <c r="H1840" s="184">
        <v>44011</v>
      </c>
      <c r="I1840" s="184">
        <v>44012</v>
      </c>
      <c r="J1840" t="s">
        <v>569</v>
      </c>
      <c r="K1840">
        <v>60000</v>
      </c>
      <c r="L1840" t="s">
        <v>327</v>
      </c>
    </row>
    <row r="1841" spans="1:12" x14ac:dyDescent="0.4">
      <c r="A1841" t="s">
        <v>169</v>
      </c>
      <c r="B1841" t="s">
        <v>6</v>
      </c>
      <c r="C1841" t="s">
        <v>702</v>
      </c>
      <c r="D1841" t="s">
        <v>703</v>
      </c>
      <c r="E1841">
        <v>20018702</v>
      </c>
      <c r="F1841" t="s">
        <v>781</v>
      </c>
      <c r="G1841">
        <v>593007</v>
      </c>
      <c r="H1841" s="184">
        <v>44011</v>
      </c>
      <c r="I1841" s="184">
        <v>44012</v>
      </c>
      <c r="J1841" t="s">
        <v>569</v>
      </c>
      <c r="K1841">
        <v>60000</v>
      </c>
      <c r="L1841" t="s">
        <v>328</v>
      </c>
    </row>
    <row r="1842" spans="1:12" x14ac:dyDescent="0.4">
      <c r="A1842" t="s">
        <v>169</v>
      </c>
      <c r="B1842" t="s">
        <v>6</v>
      </c>
      <c r="C1842" t="s">
        <v>702</v>
      </c>
      <c r="D1842" t="s">
        <v>703</v>
      </c>
      <c r="E1842">
        <v>20018702</v>
      </c>
      <c r="F1842" t="s">
        <v>781</v>
      </c>
      <c r="G1842">
        <v>593007</v>
      </c>
      <c r="H1842" s="184">
        <v>44011</v>
      </c>
      <c r="I1842" s="184">
        <v>44012</v>
      </c>
      <c r="J1842" t="s">
        <v>569</v>
      </c>
      <c r="K1842">
        <v>60000</v>
      </c>
      <c r="L1842" t="s">
        <v>329</v>
      </c>
    </row>
    <row r="1843" spans="1:12" x14ac:dyDescent="0.4">
      <c r="A1843" t="s">
        <v>169</v>
      </c>
      <c r="B1843" t="s">
        <v>6</v>
      </c>
      <c r="C1843" t="s">
        <v>702</v>
      </c>
      <c r="D1843" t="s">
        <v>703</v>
      </c>
      <c r="E1843">
        <v>20018702</v>
      </c>
      <c r="F1843" t="s">
        <v>781</v>
      </c>
      <c r="G1843">
        <v>593007</v>
      </c>
      <c r="H1843" s="184">
        <v>44011</v>
      </c>
      <c r="I1843" s="184">
        <v>44012</v>
      </c>
      <c r="J1843" t="s">
        <v>569</v>
      </c>
      <c r="K1843">
        <v>60000</v>
      </c>
      <c r="L1843" t="s">
        <v>330</v>
      </c>
    </row>
    <row r="1844" spans="1:12" x14ac:dyDescent="0.4">
      <c r="A1844" t="s">
        <v>169</v>
      </c>
      <c r="B1844" t="s">
        <v>6</v>
      </c>
      <c r="C1844" t="s">
        <v>702</v>
      </c>
      <c r="D1844" t="s">
        <v>703</v>
      </c>
      <c r="E1844">
        <v>20018717</v>
      </c>
      <c r="F1844" t="s">
        <v>782</v>
      </c>
      <c r="G1844">
        <v>597591</v>
      </c>
      <c r="H1844" s="184">
        <v>44244</v>
      </c>
      <c r="I1844" s="184">
        <v>44253</v>
      </c>
      <c r="J1844" t="s">
        <v>783</v>
      </c>
      <c r="K1844">
        <v>60000</v>
      </c>
      <c r="L1844" t="s">
        <v>230</v>
      </c>
    </row>
    <row r="1845" spans="1:12" x14ac:dyDescent="0.4">
      <c r="A1845" t="s">
        <v>169</v>
      </c>
      <c r="B1845" t="s">
        <v>6</v>
      </c>
      <c r="C1845" t="s">
        <v>702</v>
      </c>
      <c r="D1845" t="s">
        <v>703</v>
      </c>
      <c r="E1845">
        <v>20018717</v>
      </c>
      <c r="F1845" t="s">
        <v>782</v>
      </c>
      <c r="G1845">
        <v>597591</v>
      </c>
      <c r="H1845" s="184">
        <v>44244</v>
      </c>
      <c r="I1845" s="184">
        <v>44253</v>
      </c>
      <c r="J1845" t="s">
        <v>783</v>
      </c>
      <c r="K1845">
        <v>60000</v>
      </c>
      <c r="L1845" t="s">
        <v>231</v>
      </c>
    </row>
    <row r="1846" spans="1:12" x14ac:dyDescent="0.4">
      <c r="A1846" t="s">
        <v>169</v>
      </c>
      <c r="B1846" t="s">
        <v>6</v>
      </c>
      <c r="C1846" t="s">
        <v>702</v>
      </c>
      <c r="D1846" t="s">
        <v>703</v>
      </c>
      <c r="E1846">
        <v>20018717</v>
      </c>
      <c r="F1846" t="s">
        <v>782</v>
      </c>
      <c r="G1846">
        <v>597591</v>
      </c>
      <c r="H1846" s="184">
        <v>44244</v>
      </c>
      <c r="I1846" s="184">
        <v>44253</v>
      </c>
      <c r="J1846" t="s">
        <v>783</v>
      </c>
      <c r="K1846">
        <v>60000</v>
      </c>
      <c r="L1846" t="s">
        <v>232</v>
      </c>
    </row>
    <row r="1847" spans="1:12" x14ac:dyDescent="0.4">
      <c r="A1847" t="s">
        <v>169</v>
      </c>
      <c r="B1847" t="s">
        <v>6</v>
      </c>
      <c r="C1847" t="s">
        <v>702</v>
      </c>
      <c r="D1847" t="s">
        <v>703</v>
      </c>
      <c r="E1847">
        <v>20018717</v>
      </c>
      <c r="F1847" t="s">
        <v>782</v>
      </c>
      <c r="G1847">
        <v>597591</v>
      </c>
      <c r="H1847" s="184">
        <v>44244</v>
      </c>
      <c r="I1847" s="184">
        <v>44253</v>
      </c>
      <c r="J1847" t="s">
        <v>783</v>
      </c>
      <c r="K1847">
        <v>60000</v>
      </c>
      <c r="L1847" t="s">
        <v>233</v>
      </c>
    </row>
    <row r="1848" spans="1:12" x14ac:dyDescent="0.4">
      <c r="A1848" t="s">
        <v>169</v>
      </c>
      <c r="B1848" t="s">
        <v>6</v>
      </c>
      <c r="C1848" t="s">
        <v>702</v>
      </c>
      <c r="D1848" t="s">
        <v>703</v>
      </c>
      <c r="E1848">
        <v>20018717</v>
      </c>
      <c r="F1848" t="s">
        <v>782</v>
      </c>
      <c r="G1848">
        <v>597591</v>
      </c>
      <c r="H1848" s="184">
        <v>44244</v>
      </c>
      <c r="I1848" s="184">
        <v>44253</v>
      </c>
      <c r="J1848" t="s">
        <v>783</v>
      </c>
      <c r="K1848">
        <v>60000</v>
      </c>
      <c r="L1848" t="s">
        <v>234</v>
      </c>
    </row>
    <row r="1849" spans="1:12" x14ac:dyDescent="0.4">
      <c r="A1849" t="s">
        <v>169</v>
      </c>
      <c r="B1849" t="s">
        <v>6</v>
      </c>
      <c r="C1849" t="s">
        <v>702</v>
      </c>
      <c r="D1849" t="s">
        <v>703</v>
      </c>
      <c r="E1849">
        <v>20018717</v>
      </c>
      <c r="F1849" t="s">
        <v>782</v>
      </c>
      <c r="G1849">
        <v>597591</v>
      </c>
      <c r="H1849" s="184">
        <v>44244</v>
      </c>
      <c r="I1849" s="184">
        <v>44253</v>
      </c>
      <c r="J1849" t="s">
        <v>783</v>
      </c>
      <c r="K1849">
        <v>60000</v>
      </c>
      <c r="L1849" t="s">
        <v>235</v>
      </c>
    </row>
    <row r="1850" spans="1:12" x14ac:dyDescent="0.4">
      <c r="A1850" t="s">
        <v>169</v>
      </c>
      <c r="B1850" t="s">
        <v>6</v>
      </c>
      <c r="C1850" t="s">
        <v>702</v>
      </c>
      <c r="D1850" t="s">
        <v>703</v>
      </c>
      <c r="E1850">
        <v>20018893</v>
      </c>
      <c r="F1850" t="s">
        <v>784</v>
      </c>
      <c r="G1850">
        <v>594112</v>
      </c>
      <c r="H1850" s="184">
        <v>44040</v>
      </c>
      <c r="I1850" s="184">
        <v>44043</v>
      </c>
      <c r="J1850" t="s">
        <v>711</v>
      </c>
      <c r="K1850">
        <v>60000</v>
      </c>
      <c r="L1850" t="s">
        <v>220</v>
      </c>
    </row>
    <row r="1851" spans="1:12" x14ac:dyDescent="0.4">
      <c r="A1851" t="s">
        <v>169</v>
      </c>
      <c r="B1851" t="s">
        <v>6</v>
      </c>
      <c r="C1851" t="s">
        <v>702</v>
      </c>
      <c r="D1851" t="s">
        <v>703</v>
      </c>
      <c r="E1851">
        <v>20018893</v>
      </c>
      <c r="F1851" t="s">
        <v>784</v>
      </c>
      <c r="G1851">
        <v>594112</v>
      </c>
      <c r="H1851" s="184">
        <v>44040</v>
      </c>
      <c r="I1851" s="184">
        <v>44043</v>
      </c>
      <c r="J1851" t="s">
        <v>711</v>
      </c>
      <c r="K1851">
        <v>60000</v>
      </c>
      <c r="L1851" t="s">
        <v>221</v>
      </c>
    </row>
    <row r="1852" spans="1:12" x14ac:dyDescent="0.4">
      <c r="A1852" t="s">
        <v>169</v>
      </c>
      <c r="B1852" t="s">
        <v>6</v>
      </c>
      <c r="C1852" t="s">
        <v>702</v>
      </c>
      <c r="D1852" t="s">
        <v>703</v>
      </c>
      <c r="E1852">
        <v>20018893</v>
      </c>
      <c r="F1852" t="s">
        <v>784</v>
      </c>
      <c r="G1852">
        <v>594112</v>
      </c>
      <c r="H1852" s="184">
        <v>44040</v>
      </c>
      <c r="I1852" s="184">
        <v>44043</v>
      </c>
      <c r="J1852" t="s">
        <v>711</v>
      </c>
      <c r="K1852">
        <v>60000</v>
      </c>
      <c r="L1852" t="s">
        <v>222</v>
      </c>
    </row>
    <row r="1853" spans="1:12" x14ac:dyDescent="0.4">
      <c r="A1853" t="s">
        <v>169</v>
      </c>
      <c r="B1853" t="s">
        <v>6</v>
      </c>
      <c r="C1853" t="s">
        <v>702</v>
      </c>
      <c r="D1853" t="s">
        <v>703</v>
      </c>
      <c r="E1853">
        <v>20018893</v>
      </c>
      <c r="F1853" t="s">
        <v>784</v>
      </c>
      <c r="G1853">
        <v>594112</v>
      </c>
      <c r="H1853" s="184">
        <v>44040</v>
      </c>
      <c r="I1853" s="184">
        <v>44043</v>
      </c>
      <c r="J1853" t="s">
        <v>711</v>
      </c>
      <c r="K1853">
        <v>60000</v>
      </c>
      <c r="L1853" t="s">
        <v>223</v>
      </c>
    </row>
    <row r="1854" spans="1:12" x14ac:dyDescent="0.4">
      <c r="A1854" t="s">
        <v>169</v>
      </c>
      <c r="B1854" t="s">
        <v>6</v>
      </c>
      <c r="C1854" t="s">
        <v>702</v>
      </c>
      <c r="D1854" t="s">
        <v>703</v>
      </c>
      <c r="E1854">
        <v>20018893</v>
      </c>
      <c r="F1854" t="s">
        <v>784</v>
      </c>
      <c r="G1854">
        <v>594112</v>
      </c>
      <c r="H1854" s="184">
        <v>44040</v>
      </c>
      <c r="I1854" s="184">
        <v>44043</v>
      </c>
      <c r="J1854" t="s">
        <v>711</v>
      </c>
      <c r="K1854">
        <v>60000</v>
      </c>
      <c r="L1854" t="s">
        <v>224</v>
      </c>
    </row>
    <row r="1855" spans="1:12" x14ac:dyDescent="0.4">
      <c r="A1855" t="s">
        <v>169</v>
      </c>
      <c r="B1855" t="s">
        <v>6</v>
      </c>
      <c r="C1855" t="s">
        <v>702</v>
      </c>
      <c r="D1855" t="s">
        <v>703</v>
      </c>
      <c r="E1855">
        <v>20018893</v>
      </c>
      <c r="F1855" t="s">
        <v>784</v>
      </c>
      <c r="G1855">
        <v>594112</v>
      </c>
      <c r="H1855" s="184">
        <v>44040</v>
      </c>
      <c r="I1855" s="184">
        <v>44043</v>
      </c>
      <c r="J1855" t="s">
        <v>711</v>
      </c>
      <c r="K1855">
        <v>60000</v>
      </c>
      <c r="L1855" t="s">
        <v>225</v>
      </c>
    </row>
    <row r="1856" spans="1:12" x14ac:dyDescent="0.4">
      <c r="A1856" t="s">
        <v>169</v>
      </c>
      <c r="B1856" t="s">
        <v>6</v>
      </c>
      <c r="C1856" t="s">
        <v>702</v>
      </c>
      <c r="D1856" t="s">
        <v>703</v>
      </c>
      <c r="E1856">
        <v>20018912</v>
      </c>
      <c r="F1856" t="s">
        <v>785</v>
      </c>
      <c r="G1856">
        <v>596240</v>
      </c>
      <c r="H1856" s="184">
        <v>44161</v>
      </c>
      <c r="I1856" s="184">
        <v>44165</v>
      </c>
      <c r="J1856" t="s">
        <v>786</v>
      </c>
      <c r="K1856">
        <v>60000</v>
      </c>
      <c r="L1856" t="s">
        <v>196</v>
      </c>
    </row>
    <row r="1857" spans="1:12" x14ac:dyDescent="0.4">
      <c r="A1857" t="s">
        <v>169</v>
      </c>
      <c r="B1857" t="s">
        <v>6</v>
      </c>
      <c r="C1857" t="s">
        <v>702</v>
      </c>
      <c r="D1857" t="s">
        <v>703</v>
      </c>
      <c r="E1857">
        <v>20018912</v>
      </c>
      <c r="F1857" t="s">
        <v>785</v>
      </c>
      <c r="G1857">
        <v>596240</v>
      </c>
      <c r="H1857" s="184">
        <v>44161</v>
      </c>
      <c r="I1857" s="184">
        <v>44165</v>
      </c>
      <c r="J1857" t="s">
        <v>786</v>
      </c>
      <c r="K1857">
        <v>60000</v>
      </c>
      <c r="L1857" t="s">
        <v>211</v>
      </c>
    </row>
    <row r="1858" spans="1:12" x14ac:dyDescent="0.4">
      <c r="A1858" t="s">
        <v>169</v>
      </c>
      <c r="B1858" t="s">
        <v>6</v>
      </c>
      <c r="C1858" t="s">
        <v>702</v>
      </c>
      <c r="D1858" t="s">
        <v>703</v>
      </c>
      <c r="E1858">
        <v>20018912</v>
      </c>
      <c r="F1858" t="s">
        <v>785</v>
      </c>
      <c r="G1858">
        <v>596240</v>
      </c>
      <c r="H1858" s="184">
        <v>44161</v>
      </c>
      <c r="I1858" s="184">
        <v>44165</v>
      </c>
      <c r="J1858" t="s">
        <v>786</v>
      </c>
      <c r="K1858">
        <v>60000</v>
      </c>
      <c r="L1858" t="s">
        <v>212</v>
      </c>
    </row>
    <row r="1859" spans="1:12" x14ac:dyDescent="0.4">
      <c r="A1859" t="s">
        <v>169</v>
      </c>
      <c r="B1859" t="s">
        <v>6</v>
      </c>
      <c r="C1859" t="s">
        <v>702</v>
      </c>
      <c r="D1859" t="s">
        <v>703</v>
      </c>
      <c r="E1859">
        <v>20018912</v>
      </c>
      <c r="F1859" t="s">
        <v>785</v>
      </c>
      <c r="G1859">
        <v>596240</v>
      </c>
      <c r="H1859" s="184">
        <v>44161</v>
      </c>
      <c r="I1859" s="184">
        <v>44165</v>
      </c>
      <c r="J1859" t="s">
        <v>786</v>
      </c>
      <c r="K1859">
        <v>60000</v>
      </c>
      <c r="L1859" t="s">
        <v>213</v>
      </c>
    </row>
    <row r="1860" spans="1:12" x14ac:dyDescent="0.4">
      <c r="A1860" t="s">
        <v>169</v>
      </c>
      <c r="B1860" t="s">
        <v>6</v>
      </c>
      <c r="C1860" t="s">
        <v>702</v>
      </c>
      <c r="D1860" t="s">
        <v>703</v>
      </c>
      <c r="E1860">
        <v>20018912</v>
      </c>
      <c r="F1860" t="s">
        <v>785</v>
      </c>
      <c r="G1860">
        <v>596240</v>
      </c>
      <c r="H1860" s="184">
        <v>44161</v>
      </c>
      <c r="I1860" s="184">
        <v>44165</v>
      </c>
      <c r="J1860" t="s">
        <v>786</v>
      </c>
      <c r="K1860">
        <v>60000</v>
      </c>
      <c r="L1860" t="s">
        <v>214</v>
      </c>
    </row>
    <row r="1861" spans="1:12" x14ac:dyDescent="0.4">
      <c r="A1861" t="s">
        <v>169</v>
      </c>
      <c r="B1861" t="s">
        <v>6</v>
      </c>
      <c r="C1861" t="s">
        <v>702</v>
      </c>
      <c r="D1861" t="s">
        <v>703</v>
      </c>
      <c r="E1861">
        <v>20018912</v>
      </c>
      <c r="F1861" t="s">
        <v>785</v>
      </c>
      <c r="G1861">
        <v>596240</v>
      </c>
      <c r="H1861" s="184">
        <v>44161</v>
      </c>
      <c r="I1861" s="184">
        <v>44165</v>
      </c>
      <c r="J1861" t="s">
        <v>786</v>
      </c>
      <c r="K1861">
        <v>60000</v>
      </c>
      <c r="L1861" t="s">
        <v>215</v>
      </c>
    </row>
    <row r="1862" spans="1:12" x14ac:dyDescent="0.4">
      <c r="A1862" t="s">
        <v>169</v>
      </c>
      <c r="B1862" t="s">
        <v>6</v>
      </c>
      <c r="C1862" t="s">
        <v>702</v>
      </c>
      <c r="D1862" t="s">
        <v>703</v>
      </c>
      <c r="E1862">
        <v>20018998</v>
      </c>
      <c r="F1862" t="s">
        <v>787</v>
      </c>
      <c r="G1862">
        <v>594434</v>
      </c>
      <c r="H1862" s="184">
        <v>44103</v>
      </c>
      <c r="I1862" s="184">
        <v>44104</v>
      </c>
      <c r="J1862" t="s">
        <v>289</v>
      </c>
      <c r="K1862">
        <v>60000</v>
      </c>
      <c r="L1862" t="s">
        <v>290</v>
      </c>
    </row>
    <row r="1863" spans="1:12" x14ac:dyDescent="0.4">
      <c r="A1863" t="s">
        <v>169</v>
      </c>
      <c r="B1863" t="s">
        <v>6</v>
      </c>
      <c r="C1863" t="s">
        <v>702</v>
      </c>
      <c r="D1863" t="s">
        <v>703</v>
      </c>
      <c r="E1863">
        <v>20018998</v>
      </c>
      <c r="F1863" t="s">
        <v>787</v>
      </c>
      <c r="G1863">
        <v>594434</v>
      </c>
      <c r="H1863" s="184">
        <v>44103</v>
      </c>
      <c r="I1863" s="184">
        <v>44104</v>
      </c>
      <c r="J1863" t="s">
        <v>289</v>
      </c>
      <c r="K1863">
        <v>60000</v>
      </c>
      <c r="L1863" t="s">
        <v>291</v>
      </c>
    </row>
    <row r="1864" spans="1:12" x14ac:dyDescent="0.4">
      <c r="A1864" t="s">
        <v>169</v>
      </c>
      <c r="B1864" t="s">
        <v>6</v>
      </c>
      <c r="C1864" t="s">
        <v>702</v>
      </c>
      <c r="D1864" t="s">
        <v>703</v>
      </c>
      <c r="E1864">
        <v>20018998</v>
      </c>
      <c r="F1864" t="s">
        <v>787</v>
      </c>
      <c r="G1864">
        <v>594434</v>
      </c>
      <c r="H1864" s="184">
        <v>44103</v>
      </c>
      <c r="I1864" s="184">
        <v>44104</v>
      </c>
      <c r="J1864" t="s">
        <v>289</v>
      </c>
      <c r="K1864">
        <v>60000</v>
      </c>
      <c r="L1864" t="s">
        <v>292</v>
      </c>
    </row>
    <row r="1865" spans="1:12" x14ac:dyDescent="0.4">
      <c r="A1865" t="s">
        <v>169</v>
      </c>
      <c r="B1865" t="s">
        <v>6</v>
      </c>
      <c r="C1865" t="s">
        <v>702</v>
      </c>
      <c r="D1865" t="s">
        <v>703</v>
      </c>
      <c r="E1865">
        <v>20018998</v>
      </c>
      <c r="F1865" t="s">
        <v>787</v>
      </c>
      <c r="G1865">
        <v>594434</v>
      </c>
      <c r="H1865" s="184">
        <v>44103</v>
      </c>
      <c r="I1865" s="184">
        <v>44104</v>
      </c>
      <c r="J1865" t="s">
        <v>289</v>
      </c>
      <c r="K1865">
        <v>60000</v>
      </c>
      <c r="L1865" t="s">
        <v>293</v>
      </c>
    </row>
    <row r="1866" spans="1:12" x14ac:dyDescent="0.4">
      <c r="A1866" t="s">
        <v>169</v>
      </c>
      <c r="B1866" t="s">
        <v>6</v>
      </c>
      <c r="C1866" t="s">
        <v>702</v>
      </c>
      <c r="D1866" t="s">
        <v>703</v>
      </c>
      <c r="E1866">
        <v>20018998</v>
      </c>
      <c r="F1866" t="s">
        <v>787</v>
      </c>
      <c r="G1866">
        <v>594434</v>
      </c>
      <c r="H1866" s="184">
        <v>44103</v>
      </c>
      <c r="I1866" s="184">
        <v>44104</v>
      </c>
      <c r="J1866" t="s">
        <v>289</v>
      </c>
      <c r="K1866">
        <v>60000</v>
      </c>
      <c r="L1866" t="s">
        <v>294</v>
      </c>
    </row>
    <row r="1867" spans="1:12" x14ac:dyDescent="0.4">
      <c r="A1867" t="s">
        <v>169</v>
      </c>
      <c r="B1867" t="s">
        <v>6</v>
      </c>
      <c r="C1867" t="s">
        <v>702</v>
      </c>
      <c r="D1867" t="s">
        <v>703</v>
      </c>
      <c r="E1867">
        <v>20018998</v>
      </c>
      <c r="F1867" t="s">
        <v>787</v>
      </c>
      <c r="G1867">
        <v>594434</v>
      </c>
      <c r="H1867" s="184">
        <v>44103</v>
      </c>
      <c r="I1867" s="184">
        <v>44104</v>
      </c>
      <c r="J1867" t="s">
        <v>289</v>
      </c>
      <c r="K1867">
        <v>60000</v>
      </c>
      <c r="L1867" t="s">
        <v>295</v>
      </c>
    </row>
    <row r="1868" spans="1:12" x14ac:dyDescent="0.4">
      <c r="A1868" t="s">
        <v>169</v>
      </c>
      <c r="B1868" t="s">
        <v>6</v>
      </c>
      <c r="C1868" t="s">
        <v>702</v>
      </c>
      <c r="D1868" t="s">
        <v>703</v>
      </c>
      <c r="E1868">
        <v>20019088</v>
      </c>
      <c r="F1868" t="s">
        <v>788</v>
      </c>
      <c r="G1868">
        <v>595306</v>
      </c>
      <c r="H1868" s="184">
        <v>44203</v>
      </c>
      <c r="I1868" s="184">
        <v>44225</v>
      </c>
      <c r="J1868" t="s">
        <v>638</v>
      </c>
      <c r="K1868">
        <v>60000</v>
      </c>
      <c r="L1868" t="s">
        <v>238</v>
      </c>
    </row>
    <row r="1869" spans="1:12" x14ac:dyDescent="0.4">
      <c r="A1869" t="s">
        <v>169</v>
      </c>
      <c r="B1869" t="s">
        <v>6</v>
      </c>
      <c r="C1869" t="s">
        <v>702</v>
      </c>
      <c r="D1869" t="s">
        <v>703</v>
      </c>
      <c r="E1869">
        <v>20019088</v>
      </c>
      <c r="F1869" t="s">
        <v>788</v>
      </c>
      <c r="G1869">
        <v>595306</v>
      </c>
      <c r="H1869" s="184">
        <v>44203</v>
      </c>
      <c r="I1869" s="184">
        <v>44225</v>
      </c>
      <c r="J1869" t="s">
        <v>638</v>
      </c>
      <c r="K1869">
        <v>60000</v>
      </c>
      <c r="L1869" t="s">
        <v>187</v>
      </c>
    </row>
    <row r="1870" spans="1:12" x14ac:dyDescent="0.4">
      <c r="A1870" t="s">
        <v>169</v>
      </c>
      <c r="B1870" t="s">
        <v>6</v>
      </c>
      <c r="C1870" t="s">
        <v>702</v>
      </c>
      <c r="D1870" t="s">
        <v>703</v>
      </c>
      <c r="E1870">
        <v>20019088</v>
      </c>
      <c r="F1870" t="s">
        <v>788</v>
      </c>
      <c r="G1870">
        <v>595306</v>
      </c>
      <c r="H1870" s="184">
        <v>44203</v>
      </c>
      <c r="I1870" s="184">
        <v>44225</v>
      </c>
      <c r="J1870" t="s">
        <v>638</v>
      </c>
      <c r="K1870">
        <v>60000</v>
      </c>
      <c r="L1870" t="s">
        <v>188</v>
      </c>
    </row>
    <row r="1871" spans="1:12" x14ac:dyDescent="0.4">
      <c r="A1871" t="s">
        <v>169</v>
      </c>
      <c r="B1871" t="s">
        <v>6</v>
      </c>
      <c r="C1871" t="s">
        <v>702</v>
      </c>
      <c r="D1871" t="s">
        <v>703</v>
      </c>
      <c r="E1871">
        <v>20019088</v>
      </c>
      <c r="F1871" t="s">
        <v>788</v>
      </c>
      <c r="G1871">
        <v>595306</v>
      </c>
      <c r="H1871" s="184">
        <v>44203</v>
      </c>
      <c r="I1871" s="184">
        <v>44225</v>
      </c>
      <c r="J1871" t="s">
        <v>638</v>
      </c>
      <c r="K1871">
        <v>60000</v>
      </c>
      <c r="L1871" t="s">
        <v>189</v>
      </c>
    </row>
    <row r="1872" spans="1:12" x14ac:dyDescent="0.4">
      <c r="A1872" t="s">
        <v>169</v>
      </c>
      <c r="B1872" t="s">
        <v>6</v>
      </c>
      <c r="C1872" t="s">
        <v>702</v>
      </c>
      <c r="D1872" t="s">
        <v>703</v>
      </c>
      <c r="E1872">
        <v>20019088</v>
      </c>
      <c r="F1872" t="s">
        <v>788</v>
      </c>
      <c r="G1872">
        <v>595306</v>
      </c>
      <c r="H1872" s="184">
        <v>44203</v>
      </c>
      <c r="I1872" s="184">
        <v>44225</v>
      </c>
      <c r="J1872" t="s">
        <v>638</v>
      </c>
      <c r="K1872">
        <v>60000</v>
      </c>
      <c r="L1872" t="s">
        <v>190</v>
      </c>
    </row>
    <row r="1873" spans="1:12" x14ac:dyDescent="0.4">
      <c r="A1873" t="s">
        <v>169</v>
      </c>
      <c r="B1873" t="s">
        <v>6</v>
      </c>
      <c r="C1873" t="s">
        <v>702</v>
      </c>
      <c r="D1873" t="s">
        <v>703</v>
      </c>
      <c r="E1873">
        <v>20019088</v>
      </c>
      <c r="F1873" t="s">
        <v>788</v>
      </c>
      <c r="G1873">
        <v>595306</v>
      </c>
      <c r="H1873" s="184">
        <v>44203</v>
      </c>
      <c r="I1873" s="184">
        <v>44225</v>
      </c>
      <c r="J1873" t="s">
        <v>638</v>
      </c>
      <c r="K1873">
        <v>60000</v>
      </c>
      <c r="L1873" t="s">
        <v>239</v>
      </c>
    </row>
    <row r="1874" spans="1:12" x14ac:dyDescent="0.4">
      <c r="A1874" t="s">
        <v>169</v>
      </c>
      <c r="B1874" t="s">
        <v>6</v>
      </c>
      <c r="C1874" t="s">
        <v>702</v>
      </c>
      <c r="D1874" t="s">
        <v>703</v>
      </c>
      <c r="E1874">
        <v>20019197</v>
      </c>
      <c r="F1874" t="s">
        <v>789</v>
      </c>
      <c r="G1874">
        <v>596475</v>
      </c>
      <c r="H1874" s="184">
        <v>44188</v>
      </c>
      <c r="I1874" s="184">
        <v>44189</v>
      </c>
      <c r="J1874" t="s">
        <v>576</v>
      </c>
      <c r="K1874">
        <v>60000</v>
      </c>
      <c r="L1874" t="s">
        <v>186</v>
      </c>
    </row>
    <row r="1875" spans="1:12" x14ac:dyDescent="0.4">
      <c r="A1875" t="s">
        <v>169</v>
      </c>
      <c r="B1875" t="s">
        <v>6</v>
      </c>
      <c r="C1875" t="s">
        <v>702</v>
      </c>
      <c r="D1875" t="s">
        <v>703</v>
      </c>
      <c r="E1875">
        <v>20019197</v>
      </c>
      <c r="F1875" t="s">
        <v>789</v>
      </c>
      <c r="G1875">
        <v>596475</v>
      </c>
      <c r="H1875" s="184">
        <v>44188</v>
      </c>
      <c r="I1875" s="184">
        <v>44189</v>
      </c>
      <c r="J1875" t="s">
        <v>576</v>
      </c>
      <c r="K1875">
        <v>60000</v>
      </c>
      <c r="L1875" t="s">
        <v>197</v>
      </c>
    </row>
    <row r="1876" spans="1:12" x14ac:dyDescent="0.4">
      <c r="A1876" t="s">
        <v>169</v>
      </c>
      <c r="B1876" t="s">
        <v>6</v>
      </c>
      <c r="C1876" t="s">
        <v>702</v>
      </c>
      <c r="D1876" t="s">
        <v>703</v>
      </c>
      <c r="E1876">
        <v>20019197</v>
      </c>
      <c r="F1876" t="s">
        <v>789</v>
      </c>
      <c r="G1876">
        <v>596475</v>
      </c>
      <c r="H1876" s="184">
        <v>44188</v>
      </c>
      <c r="I1876" s="184">
        <v>44189</v>
      </c>
      <c r="J1876" t="s">
        <v>576</v>
      </c>
      <c r="K1876">
        <v>60000</v>
      </c>
      <c r="L1876" t="s">
        <v>198</v>
      </c>
    </row>
    <row r="1877" spans="1:12" x14ac:dyDescent="0.4">
      <c r="A1877" t="s">
        <v>169</v>
      </c>
      <c r="B1877" t="s">
        <v>6</v>
      </c>
      <c r="C1877" t="s">
        <v>702</v>
      </c>
      <c r="D1877" t="s">
        <v>703</v>
      </c>
      <c r="E1877">
        <v>20019197</v>
      </c>
      <c r="F1877" t="s">
        <v>789</v>
      </c>
      <c r="G1877">
        <v>596475</v>
      </c>
      <c r="H1877" s="184">
        <v>44188</v>
      </c>
      <c r="I1877" s="184">
        <v>44189</v>
      </c>
      <c r="J1877" t="s">
        <v>576</v>
      </c>
      <c r="K1877">
        <v>60000</v>
      </c>
      <c r="L1877" t="s">
        <v>199</v>
      </c>
    </row>
    <row r="1878" spans="1:12" x14ac:dyDescent="0.4">
      <c r="A1878" t="s">
        <v>169</v>
      </c>
      <c r="B1878" t="s">
        <v>6</v>
      </c>
      <c r="C1878" t="s">
        <v>702</v>
      </c>
      <c r="D1878" t="s">
        <v>703</v>
      </c>
      <c r="E1878">
        <v>20019197</v>
      </c>
      <c r="F1878" t="s">
        <v>789</v>
      </c>
      <c r="G1878">
        <v>596475</v>
      </c>
      <c r="H1878" s="184">
        <v>44188</v>
      </c>
      <c r="I1878" s="184">
        <v>44189</v>
      </c>
      <c r="J1878" t="s">
        <v>576</v>
      </c>
      <c r="K1878">
        <v>60000</v>
      </c>
      <c r="L1878" t="s">
        <v>200</v>
      </c>
    </row>
    <row r="1879" spans="1:12" x14ac:dyDescent="0.4">
      <c r="A1879" t="s">
        <v>169</v>
      </c>
      <c r="B1879" t="s">
        <v>6</v>
      </c>
      <c r="C1879" t="s">
        <v>702</v>
      </c>
      <c r="D1879" t="s">
        <v>703</v>
      </c>
      <c r="E1879">
        <v>20019197</v>
      </c>
      <c r="F1879" t="s">
        <v>789</v>
      </c>
      <c r="G1879">
        <v>596475</v>
      </c>
      <c r="H1879" s="184">
        <v>44188</v>
      </c>
      <c r="I1879" s="184">
        <v>44189</v>
      </c>
      <c r="J1879" t="s">
        <v>576</v>
      </c>
      <c r="K1879">
        <v>60000</v>
      </c>
      <c r="L1879" t="s">
        <v>302</v>
      </c>
    </row>
    <row r="1880" spans="1:12" x14ac:dyDescent="0.4">
      <c r="A1880" t="s">
        <v>169</v>
      </c>
      <c r="B1880" t="s">
        <v>6</v>
      </c>
      <c r="C1880" t="s">
        <v>702</v>
      </c>
      <c r="D1880" t="s">
        <v>703</v>
      </c>
      <c r="E1880">
        <v>20019206</v>
      </c>
      <c r="F1880" t="s">
        <v>790</v>
      </c>
      <c r="G1880">
        <v>598129</v>
      </c>
      <c r="H1880" s="184">
        <v>44266</v>
      </c>
      <c r="I1880" s="184">
        <v>44280</v>
      </c>
      <c r="J1880" t="s">
        <v>791</v>
      </c>
      <c r="K1880">
        <v>60000</v>
      </c>
      <c r="L1880" t="s">
        <v>242</v>
      </c>
    </row>
    <row r="1881" spans="1:12" x14ac:dyDescent="0.4">
      <c r="A1881" t="s">
        <v>169</v>
      </c>
      <c r="B1881" t="s">
        <v>6</v>
      </c>
      <c r="C1881" t="s">
        <v>702</v>
      </c>
      <c r="D1881" t="s">
        <v>703</v>
      </c>
      <c r="E1881">
        <v>20019206</v>
      </c>
      <c r="F1881" t="s">
        <v>790</v>
      </c>
      <c r="G1881">
        <v>598129</v>
      </c>
      <c r="H1881" s="184">
        <v>44266</v>
      </c>
      <c r="I1881" s="184">
        <v>44280</v>
      </c>
      <c r="J1881" t="s">
        <v>791</v>
      </c>
      <c r="K1881">
        <v>60000</v>
      </c>
      <c r="L1881" t="s">
        <v>243</v>
      </c>
    </row>
    <row r="1882" spans="1:12" x14ac:dyDescent="0.4">
      <c r="A1882" t="s">
        <v>169</v>
      </c>
      <c r="B1882" t="s">
        <v>6</v>
      </c>
      <c r="C1882" t="s">
        <v>702</v>
      </c>
      <c r="D1882" t="s">
        <v>703</v>
      </c>
      <c r="E1882">
        <v>20019206</v>
      </c>
      <c r="F1882" t="s">
        <v>790</v>
      </c>
      <c r="G1882">
        <v>598129</v>
      </c>
      <c r="H1882" s="184">
        <v>44266</v>
      </c>
      <c r="I1882" s="184">
        <v>44280</v>
      </c>
      <c r="J1882" t="s">
        <v>791</v>
      </c>
      <c r="K1882">
        <v>60000</v>
      </c>
      <c r="L1882" t="s">
        <v>244</v>
      </c>
    </row>
    <row r="1883" spans="1:12" x14ac:dyDescent="0.4">
      <c r="A1883" t="s">
        <v>169</v>
      </c>
      <c r="B1883" t="s">
        <v>6</v>
      </c>
      <c r="C1883" t="s">
        <v>702</v>
      </c>
      <c r="D1883" t="s">
        <v>703</v>
      </c>
      <c r="E1883">
        <v>20019206</v>
      </c>
      <c r="F1883" t="s">
        <v>790</v>
      </c>
      <c r="G1883">
        <v>598129</v>
      </c>
      <c r="H1883" s="184">
        <v>44266</v>
      </c>
      <c r="I1883" s="184">
        <v>44280</v>
      </c>
      <c r="J1883" t="s">
        <v>791</v>
      </c>
      <c r="K1883">
        <v>60000</v>
      </c>
      <c r="L1883" t="s">
        <v>245</v>
      </c>
    </row>
    <row r="1884" spans="1:12" x14ac:dyDescent="0.4">
      <c r="A1884" t="s">
        <v>169</v>
      </c>
      <c r="B1884" t="s">
        <v>6</v>
      </c>
      <c r="C1884" t="s">
        <v>702</v>
      </c>
      <c r="D1884" t="s">
        <v>703</v>
      </c>
      <c r="E1884">
        <v>20019206</v>
      </c>
      <c r="F1884" t="s">
        <v>790</v>
      </c>
      <c r="G1884">
        <v>598129</v>
      </c>
      <c r="H1884" s="184">
        <v>44266</v>
      </c>
      <c r="I1884" s="184">
        <v>44280</v>
      </c>
      <c r="J1884" t="s">
        <v>791</v>
      </c>
      <c r="K1884">
        <v>60000</v>
      </c>
      <c r="L1884" t="s">
        <v>246</v>
      </c>
    </row>
    <row r="1885" spans="1:12" x14ac:dyDescent="0.4">
      <c r="A1885" t="s">
        <v>169</v>
      </c>
      <c r="B1885" t="s">
        <v>6</v>
      </c>
      <c r="C1885" t="s">
        <v>702</v>
      </c>
      <c r="D1885" t="s">
        <v>703</v>
      </c>
      <c r="E1885">
        <v>20019206</v>
      </c>
      <c r="F1885" t="s">
        <v>790</v>
      </c>
      <c r="G1885">
        <v>598129</v>
      </c>
      <c r="H1885" s="184">
        <v>44266</v>
      </c>
      <c r="I1885" s="184">
        <v>44280</v>
      </c>
      <c r="J1885" t="s">
        <v>791</v>
      </c>
      <c r="K1885">
        <v>60000</v>
      </c>
      <c r="L1885" t="s">
        <v>247</v>
      </c>
    </row>
    <row r="1886" spans="1:12" x14ac:dyDescent="0.4">
      <c r="A1886" t="s">
        <v>169</v>
      </c>
      <c r="B1886" t="s">
        <v>6</v>
      </c>
      <c r="C1886" t="s">
        <v>702</v>
      </c>
      <c r="D1886" t="s">
        <v>703</v>
      </c>
      <c r="E1886">
        <v>20020431</v>
      </c>
      <c r="F1886" t="s">
        <v>792</v>
      </c>
      <c r="G1886">
        <v>597593</v>
      </c>
      <c r="H1886" s="184">
        <v>44249</v>
      </c>
      <c r="I1886" s="184">
        <v>44251</v>
      </c>
      <c r="J1886" t="s">
        <v>304</v>
      </c>
      <c r="K1886">
        <v>60000</v>
      </c>
      <c r="L1886" t="s">
        <v>230</v>
      </c>
    </row>
    <row r="1887" spans="1:12" x14ac:dyDescent="0.4">
      <c r="A1887" t="s">
        <v>169</v>
      </c>
      <c r="B1887" t="s">
        <v>6</v>
      </c>
      <c r="C1887" t="s">
        <v>702</v>
      </c>
      <c r="D1887" t="s">
        <v>703</v>
      </c>
      <c r="E1887">
        <v>20020431</v>
      </c>
      <c r="F1887" t="s">
        <v>792</v>
      </c>
      <c r="G1887">
        <v>597593</v>
      </c>
      <c r="H1887" s="184">
        <v>44249</v>
      </c>
      <c r="I1887" s="184">
        <v>44251</v>
      </c>
      <c r="J1887" t="s">
        <v>304</v>
      </c>
      <c r="K1887">
        <v>60000</v>
      </c>
      <c r="L1887" t="s">
        <v>231</v>
      </c>
    </row>
    <row r="1888" spans="1:12" x14ac:dyDescent="0.4">
      <c r="A1888" t="s">
        <v>169</v>
      </c>
      <c r="B1888" t="s">
        <v>6</v>
      </c>
      <c r="C1888" t="s">
        <v>702</v>
      </c>
      <c r="D1888" t="s">
        <v>703</v>
      </c>
      <c r="E1888">
        <v>20020431</v>
      </c>
      <c r="F1888" t="s">
        <v>792</v>
      </c>
      <c r="G1888">
        <v>597593</v>
      </c>
      <c r="H1888" s="184">
        <v>44249</v>
      </c>
      <c r="I1888" s="184">
        <v>44251</v>
      </c>
      <c r="J1888" t="s">
        <v>304</v>
      </c>
      <c r="K1888">
        <v>60000</v>
      </c>
      <c r="L1888" t="s">
        <v>232</v>
      </c>
    </row>
    <row r="1889" spans="1:12" x14ac:dyDescent="0.4">
      <c r="A1889" t="s">
        <v>169</v>
      </c>
      <c r="B1889" t="s">
        <v>6</v>
      </c>
      <c r="C1889" t="s">
        <v>702</v>
      </c>
      <c r="D1889" t="s">
        <v>703</v>
      </c>
      <c r="E1889">
        <v>20020431</v>
      </c>
      <c r="F1889" t="s">
        <v>792</v>
      </c>
      <c r="G1889">
        <v>597593</v>
      </c>
      <c r="H1889" s="184">
        <v>44249</v>
      </c>
      <c r="I1889" s="184">
        <v>44251</v>
      </c>
      <c r="J1889" t="s">
        <v>304</v>
      </c>
      <c r="K1889">
        <v>60000</v>
      </c>
      <c r="L1889" t="s">
        <v>233</v>
      </c>
    </row>
    <row r="1890" spans="1:12" x14ac:dyDescent="0.4">
      <c r="A1890" t="s">
        <v>169</v>
      </c>
      <c r="B1890" t="s">
        <v>6</v>
      </c>
      <c r="C1890" t="s">
        <v>702</v>
      </c>
      <c r="D1890" t="s">
        <v>703</v>
      </c>
      <c r="E1890">
        <v>20020431</v>
      </c>
      <c r="F1890" t="s">
        <v>792</v>
      </c>
      <c r="G1890">
        <v>597593</v>
      </c>
      <c r="H1890" s="184">
        <v>44249</v>
      </c>
      <c r="I1890" s="184">
        <v>44251</v>
      </c>
      <c r="J1890" t="s">
        <v>304</v>
      </c>
      <c r="K1890">
        <v>60000</v>
      </c>
      <c r="L1890" t="s">
        <v>234</v>
      </c>
    </row>
    <row r="1891" spans="1:12" x14ac:dyDescent="0.4">
      <c r="A1891" t="s">
        <v>169</v>
      </c>
      <c r="B1891" t="s">
        <v>6</v>
      </c>
      <c r="C1891" t="s">
        <v>702</v>
      </c>
      <c r="D1891" t="s">
        <v>703</v>
      </c>
      <c r="E1891">
        <v>20020431</v>
      </c>
      <c r="F1891" t="s">
        <v>792</v>
      </c>
      <c r="G1891">
        <v>597593</v>
      </c>
      <c r="H1891" s="184">
        <v>44249</v>
      </c>
      <c r="I1891" s="184">
        <v>44251</v>
      </c>
      <c r="J1891" t="s">
        <v>304</v>
      </c>
      <c r="K1891">
        <v>60000</v>
      </c>
      <c r="L1891" t="s">
        <v>235</v>
      </c>
    </row>
    <row r="1892" spans="1:12" x14ac:dyDescent="0.4">
      <c r="A1892" t="s">
        <v>169</v>
      </c>
      <c r="B1892" t="s">
        <v>6</v>
      </c>
      <c r="C1892" t="s">
        <v>702</v>
      </c>
      <c r="D1892" t="s">
        <v>703</v>
      </c>
      <c r="E1892">
        <v>20020497</v>
      </c>
      <c r="F1892" t="s">
        <v>793</v>
      </c>
      <c r="G1892">
        <v>597954</v>
      </c>
      <c r="H1892" s="184">
        <v>44264</v>
      </c>
      <c r="I1892" s="184">
        <v>44278</v>
      </c>
      <c r="J1892" t="s">
        <v>794</v>
      </c>
      <c r="K1892">
        <v>60000</v>
      </c>
      <c r="L1892" t="s">
        <v>242</v>
      </c>
    </row>
    <row r="1893" spans="1:12" x14ac:dyDescent="0.4">
      <c r="A1893" t="s">
        <v>169</v>
      </c>
      <c r="B1893" t="s">
        <v>6</v>
      </c>
      <c r="C1893" t="s">
        <v>702</v>
      </c>
      <c r="D1893" t="s">
        <v>703</v>
      </c>
      <c r="E1893">
        <v>20020497</v>
      </c>
      <c r="F1893" t="s">
        <v>793</v>
      </c>
      <c r="G1893">
        <v>597954</v>
      </c>
      <c r="H1893" s="184">
        <v>44264</v>
      </c>
      <c r="I1893" s="184">
        <v>44278</v>
      </c>
      <c r="J1893" t="s">
        <v>794</v>
      </c>
      <c r="K1893">
        <v>60000</v>
      </c>
      <c r="L1893" t="s">
        <v>243</v>
      </c>
    </row>
    <row r="1894" spans="1:12" x14ac:dyDescent="0.4">
      <c r="A1894" t="s">
        <v>169</v>
      </c>
      <c r="B1894" t="s">
        <v>6</v>
      </c>
      <c r="C1894" t="s">
        <v>702</v>
      </c>
      <c r="D1894" t="s">
        <v>703</v>
      </c>
      <c r="E1894">
        <v>20020497</v>
      </c>
      <c r="F1894" t="s">
        <v>793</v>
      </c>
      <c r="G1894">
        <v>597954</v>
      </c>
      <c r="H1894" s="184">
        <v>44264</v>
      </c>
      <c r="I1894" s="184">
        <v>44278</v>
      </c>
      <c r="J1894" t="s">
        <v>794</v>
      </c>
      <c r="K1894">
        <v>60000</v>
      </c>
      <c r="L1894" t="s">
        <v>244</v>
      </c>
    </row>
    <row r="1895" spans="1:12" x14ac:dyDescent="0.4">
      <c r="A1895" t="s">
        <v>169</v>
      </c>
      <c r="B1895" t="s">
        <v>6</v>
      </c>
      <c r="C1895" t="s">
        <v>702</v>
      </c>
      <c r="D1895" t="s">
        <v>703</v>
      </c>
      <c r="E1895">
        <v>20020497</v>
      </c>
      <c r="F1895" t="s">
        <v>793</v>
      </c>
      <c r="G1895">
        <v>597954</v>
      </c>
      <c r="H1895" s="184">
        <v>44264</v>
      </c>
      <c r="I1895" s="184">
        <v>44278</v>
      </c>
      <c r="J1895" t="s">
        <v>794</v>
      </c>
      <c r="K1895">
        <v>60000</v>
      </c>
      <c r="L1895" t="s">
        <v>245</v>
      </c>
    </row>
    <row r="1896" spans="1:12" x14ac:dyDescent="0.4">
      <c r="A1896" t="s">
        <v>169</v>
      </c>
      <c r="B1896" t="s">
        <v>6</v>
      </c>
      <c r="C1896" t="s">
        <v>702</v>
      </c>
      <c r="D1896" t="s">
        <v>703</v>
      </c>
      <c r="E1896">
        <v>20020497</v>
      </c>
      <c r="F1896" t="s">
        <v>793</v>
      </c>
      <c r="G1896">
        <v>597954</v>
      </c>
      <c r="H1896" s="184">
        <v>44264</v>
      </c>
      <c r="I1896" s="184">
        <v>44278</v>
      </c>
      <c r="J1896" t="s">
        <v>794</v>
      </c>
      <c r="K1896">
        <v>60000</v>
      </c>
      <c r="L1896" t="s">
        <v>246</v>
      </c>
    </row>
    <row r="1897" spans="1:12" x14ac:dyDescent="0.4">
      <c r="A1897" t="s">
        <v>169</v>
      </c>
      <c r="B1897" t="s">
        <v>6</v>
      </c>
      <c r="C1897" t="s">
        <v>702</v>
      </c>
      <c r="D1897" t="s">
        <v>703</v>
      </c>
      <c r="E1897">
        <v>20020497</v>
      </c>
      <c r="F1897" t="s">
        <v>793</v>
      </c>
      <c r="G1897">
        <v>597954</v>
      </c>
      <c r="H1897" s="184">
        <v>44264</v>
      </c>
      <c r="I1897" s="184">
        <v>44278</v>
      </c>
      <c r="J1897" t="s">
        <v>794</v>
      </c>
      <c r="K1897">
        <v>60000</v>
      </c>
      <c r="L1897" t="s">
        <v>247</v>
      </c>
    </row>
    <row r="1898" spans="1:12" x14ac:dyDescent="0.4">
      <c r="A1898" t="s">
        <v>169</v>
      </c>
      <c r="B1898" t="s">
        <v>6</v>
      </c>
      <c r="C1898" t="s">
        <v>702</v>
      </c>
      <c r="D1898" t="s">
        <v>703</v>
      </c>
      <c r="E1898">
        <v>20020589</v>
      </c>
      <c r="F1898" t="s">
        <v>795</v>
      </c>
      <c r="G1898">
        <v>598509</v>
      </c>
      <c r="H1898" s="184">
        <v>44278</v>
      </c>
      <c r="I1898" s="184">
        <v>44294</v>
      </c>
      <c r="J1898" t="s">
        <v>796</v>
      </c>
      <c r="K1898">
        <v>60000</v>
      </c>
      <c r="L1898" t="s">
        <v>311</v>
      </c>
    </row>
    <row r="1899" spans="1:12" x14ac:dyDescent="0.4">
      <c r="A1899" t="s">
        <v>169</v>
      </c>
      <c r="B1899" t="s">
        <v>6</v>
      </c>
      <c r="C1899" t="s">
        <v>702</v>
      </c>
      <c r="D1899" t="s">
        <v>703</v>
      </c>
      <c r="E1899">
        <v>20020589</v>
      </c>
      <c r="F1899" t="s">
        <v>795</v>
      </c>
      <c r="G1899">
        <v>598509</v>
      </c>
      <c r="H1899" s="184">
        <v>44278</v>
      </c>
      <c r="I1899" s="184">
        <v>44294</v>
      </c>
      <c r="J1899" t="s">
        <v>796</v>
      </c>
      <c r="K1899">
        <v>60000</v>
      </c>
      <c r="L1899" t="s">
        <v>312</v>
      </c>
    </row>
    <row r="1900" spans="1:12" x14ac:dyDescent="0.4">
      <c r="A1900" t="s">
        <v>169</v>
      </c>
      <c r="B1900" t="s">
        <v>6</v>
      </c>
      <c r="C1900" t="s">
        <v>702</v>
      </c>
      <c r="D1900" t="s">
        <v>703</v>
      </c>
      <c r="E1900">
        <v>20020589</v>
      </c>
      <c r="F1900" t="s">
        <v>795</v>
      </c>
      <c r="G1900">
        <v>598509</v>
      </c>
      <c r="H1900" s="184">
        <v>44278</v>
      </c>
      <c r="I1900" s="184">
        <v>44294</v>
      </c>
      <c r="J1900" t="s">
        <v>796</v>
      </c>
      <c r="K1900">
        <v>60000</v>
      </c>
      <c r="L1900" t="s">
        <v>313</v>
      </c>
    </row>
    <row r="1901" spans="1:12" x14ac:dyDescent="0.4">
      <c r="A1901" t="s">
        <v>169</v>
      </c>
      <c r="B1901" t="s">
        <v>6</v>
      </c>
      <c r="C1901" t="s">
        <v>702</v>
      </c>
      <c r="D1901" t="s">
        <v>703</v>
      </c>
      <c r="E1901">
        <v>20020589</v>
      </c>
      <c r="F1901" t="s">
        <v>795</v>
      </c>
      <c r="G1901">
        <v>598509</v>
      </c>
      <c r="H1901" s="184">
        <v>44278</v>
      </c>
      <c r="I1901" s="184">
        <v>44294</v>
      </c>
      <c r="J1901" t="s">
        <v>796</v>
      </c>
      <c r="K1901">
        <v>60000</v>
      </c>
      <c r="L1901" t="s">
        <v>314</v>
      </c>
    </row>
    <row r="1902" spans="1:12" x14ac:dyDescent="0.4">
      <c r="A1902" t="s">
        <v>169</v>
      </c>
      <c r="B1902" t="s">
        <v>6</v>
      </c>
      <c r="C1902" t="s">
        <v>702</v>
      </c>
      <c r="D1902" t="s">
        <v>703</v>
      </c>
      <c r="E1902">
        <v>20020589</v>
      </c>
      <c r="F1902" t="s">
        <v>795</v>
      </c>
      <c r="G1902">
        <v>598509</v>
      </c>
      <c r="H1902" s="184">
        <v>44278</v>
      </c>
      <c r="I1902" s="184">
        <v>44294</v>
      </c>
      <c r="J1902" t="s">
        <v>796</v>
      </c>
      <c r="K1902">
        <v>60000</v>
      </c>
      <c r="L1902" t="s">
        <v>315</v>
      </c>
    </row>
    <row r="1903" spans="1:12" x14ac:dyDescent="0.4">
      <c r="A1903" t="s">
        <v>169</v>
      </c>
      <c r="B1903" t="s">
        <v>6</v>
      </c>
      <c r="C1903" t="s">
        <v>702</v>
      </c>
      <c r="D1903" t="s">
        <v>703</v>
      </c>
      <c r="E1903">
        <v>20020589</v>
      </c>
      <c r="F1903" t="s">
        <v>795</v>
      </c>
      <c r="G1903">
        <v>598509</v>
      </c>
      <c r="H1903" s="184">
        <v>44278</v>
      </c>
      <c r="I1903" s="184">
        <v>44294</v>
      </c>
      <c r="J1903" t="s">
        <v>796</v>
      </c>
      <c r="K1903">
        <v>60000</v>
      </c>
      <c r="L1903" t="s">
        <v>316</v>
      </c>
    </row>
    <row r="1904" spans="1:12" x14ac:dyDescent="0.4">
      <c r="A1904" t="s">
        <v>169</v>
      </c>
      <c r="B1904" t="s">
        <v>6</v>
      </c>
      <c r="C1904" t="s">
        <v>702</v>
      </c>
      <c r="D1904" t="s">
        <v>703</v>
      </c>
      <c r="E1904">
        <v>20020596</v>
      </c>
      <c r="F1904" t="s">
        <v>797</v>
      </c>
      <c r="G1904">
        <v>598082</v>
      </c>
      <c r="H1904" s="184">
        <v>44285</v>
      </c>
      <c r="I1904" s="184">
        <v>44307</v>
      </c>
      <c r="J1904" t="s">
        <v>798</v>
      </c>
      <c r="K1904">
        <v>60000</v>
      </c>
      <c r="L1904" t="s">
        <v>311</v>
      </c>
    </row>
    <row r="1905" spans="1:12" x14ac:dyDescent="0.4">
      <c r="A1905" t="s">
        <v>169</v>
      </c>
      <c r="B1905" t="s">
        <v>6</v>
      </c>
      <c r="C1905" t="s">
        <v>702</v>
      </c>
      <c r="D1905" t="s">
        <v>703</v>
      </c>
      <c r="E1905">
        <v>20020596</v>
      </c>
      <c r="F1905" t="s">
        <v>797</v>
      </c>
      <c r="G1905">
        <v>598082</v>
      </c>
      <c r="H1905" s="184">
        <v>44285</v>
      </c>
      <c r="I1905" s="184">
        <v>44307</v>
      </c>
      <c r="J1905" t="s">
        <v>798</v>
      </c>
      <c r="K1905">
        <v>60000</v>
      </c>
      <c r="L1905" t="s">
        <v>312</v>
      </c>
    </row>
    <row r="1906" spans="1:12" x14ac:dyDescent="0.4">
      <c r="A1906" t="s">
        <v>169</v>
      </c>
      <c r="B1906" t="s">
        <v>6</v>
      </c>
      <c r="C1906" t="s">
        <v>702</v>
      </c>
      <c r="D1906" t="s">
        <v>703</v>
      </c>
      <c r="E1906">
        <v>20020596</v>
      </c>
      <c r="F1906" t="s">
        <v>797</v>
      </c>
      <c r="G1906">
        <v>598082</v>
      </c>
      <c r="H1906" s="184">
        <v>44285</v>
      </c>
      <c r="I1906" s="184">
        <v>44307</v>
      </c>
      <c r="J1906" t="s">
        <v>798</v>
      </c>
      <c r="K1906">
        <v>60000</v>
      </c>
      <c r="L1906" t="s">
        <v>313</v>
      </c>
    </row>
    <row r="1907" spans="1:12" x14ac:dyDescent="0.4">
      <c r="A1907" t="s">
        <v>169</v>
      </c>
      <c r="B1907" t="s">
        <v>6</v>
      </c>
      <c r="C1907" t="s">
        <v>702</v>
      </c>
      <c r="D1907" t="s">
        <v>703</v>
      </c>
      <c r="E1907">
        <v>20020596</v>
      </c>
      <c r="F1907" t="s">
        <v>797</v>
      </c>
      <c r="G1907">
        <v>598082</v>
      </c>
      <c r="H1907" s="184">
        <v>44285</v>
      </c>
      <c r="I1907" s="184">
        <v>44307</v>
      </c>
      <c r="J1907" t="s">
        <v>798</v>
      </c>
      <c r="K1907">
        <v>60000</v>
      </c>
      <c r="L1907" t="s">
        <v>314</v>
      </c>
    </row>
    <row r="1908" spans="1:12" x14ac:dyDescent="0.4">
      <c r="A1908" t="s">
        <v>169</v>
      </c>
      <c r="B1908" t="s">
        <v>6</v>
      </c>
      <c r="C1908" t="s">
        <v>702</v>
      </c>
      <c r="D1908" t="s">
        <v>703</v>
      </c>
      <c r="E1908">
        <v>20020596</v>
      </c>
      <c r="F1908" t="s">
        <v>797</v>
      </c>
      <c r="G1908">
        <v>598082</v>
      </c>
      <c r="H1908" s="184">
        <v>44285</v>
      </c>
      <c r="I1908" s="184">
        <v>44307</v>
      </c>
      <c r="J1908" t="s">
        <v>798</v>
      </c>
      <c r="K1908">
        <v>60000</v>
      </c>
      <c r="L1908" t="s">
        <v>315</v>
      </c>
    </row>
    <row r="1909" spans="1:12" x14ac:dyDescent="0.4">
      <c r="A1909" t="s">
        <v>169</v>
      </c>
      <c r="B1909" t="s">
        <v>6</v>
      </c>
      <c r="C1909" t="s">
        <v>702</v>
      </c>
      <c r="D1909" t="s">
        <v>703</v>
      </c>
      <c r="E1909">
        <v>20020596</v>
      </c>
      <c r="F1909" t="s">
        <v>797</v>
      </c>
      <c r="G1909">
        <v>598082</v>
      </c>
      <c r="H1909" s="184">
        <v>44285</v>
      </c>
      <c r="I1909" s="184">
        <v>44307</v>
      </c>
      <c r="J1909" t="s">
        <v>798</v>
      </c>
      <c r="K1909">
        <v>60000</v>
      </c>
      <c r="L1909" t="s">
        <v>316</v>
      </c>
    </row>
    <row r="1910" spans="1:12" x14ac:dyDescent="0.4">
      <c r="A1910" t="s">
        <v>169</v>
      </c>
      <c r="B1910" t="s">
        <v>6</v>
      </c>
      <c r="C1910" t="s">
        <v>702</v>
      </c>
      <c r="D1910" t="s">
        <v>703</v>
      </c>
      <c r="E1910">
        <v>20020749</v>
      </c>
      <c r="F1910" t="s">
        <v>799</v>
      </c>
      <c r="G1910">
        <v>599376</v>
      </c>
      <c r="H1910" s="184"/>
      <c r="I1910" s="184"/>
      <c r="J1910" t="s">
        <v>800</v>
      </c>
      <c r="K1910">
        <v>60000</v>
      </c>
      <c r="L1910" t="s">
        <v>258</v>
      </c>
    </row>
    <row r="1911" spans="1:12" x14ac:dyDescent="0.4">
      <c r="A1911" t="s">
        <v>169</v>
      </c>
      <c r="B1911" t="s">
        <v>6</v>
      </c>
      <c r="C1911" t="s">
        <v>702</v>
      </c>
      <c r="D1911" t="s">
        <v>703</v>
      </c>
      <c r="E1911">
        <v>20020749</v>
      </c>
      <c r="F1911" t="s">
        <v>799</v>
      </c>
      <c r="G1911">
        <v>599376</v>
      </c>
      <c r="H1911" s="184"/>
      <c r="I1911" s="184"/>
      <c r="J1911" t="s">
        <v>800</v>
      </c>
      <c r="K1911">
        <v>60000</v>
      </c>
      <c r="L1911" t="s">
        <v>259</v>
      </c>
    </row>
    <row r="1912" spans="1:12" x14ac:dyDescent="0.4">
      <c r="A1912" t="s">
        <v>169</v>
      </c>
      <c r="B1912" t="s">
        <v>6</v>
      </c>
      <c r="C1912" t="s">
        <v>702</v>
      </c>
      <c r="D1912" t="s">
        <v>703</v>
      </c>
      <c r="E1912">
        <v>20020749</v>
      </c>
      <c r="F1912" t="s">
        <v>799</v>
      </c>
      <c r="G1912">
        <v>599376</v>
      </c>
      <c r="H1912" s="184"/>
      <c r="I1912" s="184"/>
      <c r="J1912" t="s">
        <v>800</v>
      </c>
      <c r="K1912">
        <v>60000</v>
      </c>
      <c r="L1912" t="s">
        <v>260</v>
      </c>
    </row>
    <row r="1913" spans="1:12" x14ac:dyDescent="0.4">
      <c r="A1913" t="s">
        <v>169</v>
      </c>
      <c r="B1913" t="s">
        <v>6</v>
      </c>
      <c r="C1913" t="s">
        <v>702</v>
      </c>
      <c r="D1913" t="s">
        <v>703</v>
      </c>
      <c r="E1913">
        <v>20020749</v>
      </c>
      <c r="F1913" t="s">
        <v>799</v>
      </c>
      <c r="G1913">
        <v>599376</v>
      </c>
      <c r="H1913" s="184"/>
      <c r="I1913" s="184"/>
      <c r="J1913" t="s">
        <v>800</v>
      </c>
      <c r="K1913">
        <v>60000</v>
      </c>
      <c r="L1913" t="s">
        <v>261</v>
      </c>
    </row>
    <row r="1914" spans="1:12" x14ac:dyDescent="0.4">
      <c r="A1914" t="s">
        <v>169</v>
      </c>
      <c r="B1914" t="s">
        <v>6</v>
      </c>
      <c r="C1914" t="s">
        <v>702</v>
      </c>
      <c r="D1914" t="s">
        <v>703</v>
      </c>
      <c r="E1914">
        <v>20020749</v>
      </c>
      <c r="F1914" t="s">
        <v>799</v>
      </c>
      <c r="G1914">
        <v>599376</v>
      </c>
      <c r="H1914" s="184"/>
      <c r="I1914" s="184"/>
      <c r="J1914" t="s">
        <v>800</v>
      </c>
      <c r="K1914">
        <v>60000</v>
      </c>
      <c r="L1914" t="s">
        <v>262</v>
      </c>
    </row>
    <row r="1915" spans="1:12" x14ac:dyDescent="0.4">
      <c r="A1915" t="s">
        <v>169</v>
      </c>
      <c r="B1915" t="s">
        <v>6</v>
      </c>
      <c r="C1915" t="s">
        <v>702</v>
      </c>
      <c r="D1915" t="s">
        <v>703</v>
      </c>
      <c r="E1915">
        <v>20020749</v>
      </c>
      <c r="F1915" t="s">
        <v>799</v>
      </c>
      <c r="G1915">
        <v>599376</v>
      </c>
      <c r="H1915" s="184"/>
      <c r="I1915" s="184"/>
      <c r="J1915" t="s">
        <v>800</v>
      </c>
      <c r="K1915">
        <v>60000</v>
      </c>
      <c r="L1915" t="s">
        <v>263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9FA81-8A73-457A-AC17-99F246C4E67F}">
  <dimension ref="A1:F67"/>
  <sheetViews>
    <sheetView workbookViewId="0"/>
  </sheetViews>
  <sheetFormatPr defaultRowHeight="18.75" x14ac:dyDescent="0.4"/>
  <cols>
    <col min="1" max="1" width="21.375" bestFit="1" customWidth="1"/>
    <col min="2" max="2" width="11.25" bestFit="1" customWidth="1"/>
    <col min="3" max="3" width="13" bestFit="1" customWidth="1"/>
    <col min="4" max="4" width="15.375" bestFit="1" customWidth="1"/>
    <col min="5" max="5" width="24.25" bestFit="1" customWidth="1"/>
    <col min="6" max="6" width="8.5" bestFit="1" customWidth="1"/>
  </cols>
  <sheetData>
    <row r="1" spans="1:6" x14ac:dyDescent="0.4">
      <c r="A1" s="1" t="s">
        <v>142</v>
      </c>
      <c r="B1" s="1" t="s">
        <v>143</v>
      </c>
      <c r="C1" s="1" t="s">
        <v>0</v>
      </c>
      <c r="D1" s="1" t="s">
        <v>144</v>
      </c>
      <c r="E1" s="1" t="s">
        <v>145</v>
      </c>
      <c r="F1" s="1" t="s">
        <v>146</v>
      </c>
    </row>
    <row r="2" spans="1:6" x14ac:dyDescent="0.4">
      <c r="A2" t="s">
        <v>163</v>
      </c>
      <c r="B2" t="s">
        <v>155</v>
      </c>
      <c r="C2" t="s">
        <v>1</v>
      </c>
      <c r="D2">
        <v>40</v>
      </c>
      <c r="E2" t="s">
        <v>161</v>
      </c>
      <c r="F2">
        <v>50000</v>
      </c>
    </row>
    <row r="3" spans="1:6" x14ac:dyDescent="0.4">
      <c r="A3" t="s">
        <v>163</v>
      </c>
      <c r="B3" t="s">
        <v>155</v>
      </c>
      <c r="C3" t="s">
        <v>1</v>
      </c>
      <c r="D3">
        <v>2</v>
      </c>
      <c r="E3" t="s">
        <v>160</v>
      </c>
      <c r="F3">
        <v>225000</v>
      </c>
    </row>
    <row r="4" spans="1:6" x14ac:dyDescent="0.4">
      <c r="A4" t="s">
        <v>147</v>
      </c>
      <c r="B4" t="s">
        <v>165</v>
      </c>
      <c r="C4" t="s">
        <v>2</v>
      </c>
      <c r="D4">
        <v>99</v>
      </c>
      <c r="E4" t="s">
        <v>151</v>
      </c>
      <c r="F4">
        <v>0</v>
      </c>
    </row>
    <row r="5" spans="1:6" x14ac:dyDescent="0.4">
      <c r="A5" t="s">
        <v>158</v>
      </c>
      <c r="B5" t="s">
        <v>165</v>
      </c>
      <c r="C5" t="s">
        <v>2</v>
      </c>
      <c r="D5">
        <v>97</v>
      </c>
      <c r="E5" t="s">
        <v>159</v>
      </c>
      <c r="F5">
        <v>29760</v>
      </c>
    </row>
    <row r="6" spans="1:6" x14ac:dyDescent="0.4">
      <c r="A6" t="s">
        <v>158</v>
      </c>
      <c r="B6" t="s">
        <v>165</v>
      </c>
      <c r="C6" t="s">
        <v>2</v>
      </c>
      <c r="D6">
        <v>99</v>
      </c>
      <c r="E6" t="s">
        <v>151</v>
      </c>
      <c r="F6">
        <v>58080</v>
      </c>
    </row>
    <row r="7" spans="1:6" x14ac:dyDescent="0.4">
      <c r="A7" t="s">
        <v>158</v>
      </c>
      <c r="B7" t="s">
        <v>165</v>
      </c>
      <c r="C7" t="s">
        <v>2</v>
      </c>
      <c r="D7">
        <v>2</v>
      </c>
      <c r="E7" t="s">
        <v>160</v>
      </c>
      <c r="F7">
        <v>68000</v>
      </c>
    </row>
    <row r="8" spans="1:6" x14ac:dyDescent="0.4">
      <c r="A8" t="s">
        <v>158</v>
      </c>
      <c r="B8" t="s">
        <v>165</v>
      </c>
      <c r="C8" t="s">
        <v>2</v>
      </c>
      <c r="D8">
        <v>1</v>
      </c>
      <c r="E8" t="s">
        <v>154</v>
      </c>
      <c r="F8">
        <v>134400</v>
      </c>
    </row>
    <row r="9" spans="1:6" x14ac:dyDescent="0.4">
      <c r="A9" t="s">
        <v>158</v>
      </c>
      <c r="B9" t="s">
        <v>165</v>
      </c>
      <c r="C9" t="s">
        <v>2</v>
      </c>
      <c r="D9">
        <v>40</v>
      </c>
      <c r="E9" t="s">
        <v>161</v>
      </c>
      <c r="F9">
        <v>200000</v>
      </c>
    </row>
    <row r="10" spans="1:6" x14ac:dyDescent="0.4">
      <c r="A10" t="s">
        <v>158</v>
      </c>
      <c r="B10" t="s">
        <v>165</v>
      </c>
      <c r="C10" t="s">
        <v>2</v>
      </c>
      <c r="D10">
        <v>27</v>
      </c>
      <c r="E10" t="s">
        <v>162</v>
      </c>
      <c r="F10">
        <v>1104600</v>
      </c>
    </row>
    <row r="11" spans="1:6" x14ac:dyDescent="0.4">
      <c r="A11" t="s">
        <v>163</v>
      </c>
      <c r="B11" t="s">
        <v>165</v>
      </c>
      <c r="C11" t="s">
        <v>2</v>
      </c>
      <c r="D11">
        <v>28</v>
      </c>
      <c r="E11" t="s">
        <v>157</v>
      </c>
      <c r="F11">
        <v>0</v>
      </c>
    </row>
    <row r="12" spans="1:6" x14ac:dyDescent="0.4">
      <c r="A12" t="s">
        <v>163</v>
      </c>
      <c r="B12" t="s">
        <v>165</v>
      </c>
      <c r="C12" t="s">
        <v>2</v>
      </c>
      <c r="D12">
        <v>40</v>
      </c>
      <c r="E12" t="s">
        <v>161</v>
      </c>
      <c r="F12">
        <v>0</v>
      </c>
    </row>
    <row r="13" spans="1:6" x14ac:dyDescent="0.4">
      <c r="A13" t="s">
        <v>163</v>
      </c>
      <c r="B13" t="s">
        <v>165</v>
      </c>
      <c r="C13" t="s">
        <v>2</v>
      </c>
      <c r="D13">
        <v>99</v>
      </c>
      <c r="E13" t="s">
        <v>151</v>
      </c>
      <c r="F13">
        <v>2560</v>
      </c>
    </row>
    <row r="14" spans="1:6" x14ac:dyDescent="0.4">
      <c r="A14" t="s">
        <v>163</v>
      </c>
      <c r="B14" t="s">
        <v>165</v>
      </c>
      <c r="C14" t="s">
        <v>2</v>
      </c>
      <c r="D14">
        <v>97</v>
      </c>
      <c r="E14" t="s">
        <v>159</v>
      </c>
      <c r="F14">
        <v>5000</v>
      </c>
    </row>
    <row r="15" spans="1:6" x14ac:dyDescent="0.4">
      <c r="A15" t="s">
        <v>163</v>
      </c>
      <c r="B15" t="s">
        <v>165</v>
      </c>
      <c r="C15" t="s">
        <v>2</v>
      </c>
      <c r="D15">
        <v>7</v>
      </c>
      <c r="E15" t="s">
        <v>156</v>
      </c>
      <c r="F15">
        <v>6000</v>
      </c>
    </row>
    <row r="16" spans="1:6" x14ac:dyDescent="0.4">
      <c r="A16" t="s">
        <v>163</v>
      </c>
      <c r="B16" t="s">
        <v>165</v>
      </c>
      <c r="C16" t="s">
        <v>2</v>
      </c>
      <c r="D16">
        <v>7</v>
      </c>
      <c r="E16" t="s">
        <v>156</v>
      </c>
      <c r="F16">
        <v>16000</v>
      </c>
    </row>
    <row r="17" spans="1:6" x14ac:dyDescent="0.4">
      <c r="A17" t="s">
        <v>163</v>
      </c>
      <c r="B17" t="s">
        <v>165</v>
      </c>
      <c r="C17" t="s">
        <v>2</v>
      </c>
      <c r="D17">
        <v>3</v>
      </c>
      <c r="E17" t="s">
        <v>15</v>
      </c>
      <c r="F17">
        <v>60000</v>
      </c>
    </row>
    <row r="18" spans="1:6" x14ac:dyDescent="0.4">
      <c r="A18" t="s">
        <v>163</v>
      </c>
      <c r="B18" t="s">
        <v>165</v>
      </c>
      <c r="C18" t="s">
        <v>2</v>
      </c>
      <c r="D18">
        <v>97</v>
      </c>
      <c r="E18" t="s">
        <v>159</v>
      </c>
      <c r="F18">
        <v>128668</v>
      </c>
    </row>
    <row r="19" spans="1:6" x14ac:dyDescent="0.4">
      <c r="A19" t="s">
        <v>163</v>
      </c>
      <c r="B19" t="s">
        <v>165</v>
      </c>
      <c r="C19" t="s">
        <v>2</v>
      </c>
      <c r="D19">
        <v>40</v>
      </c>
      <c r="E19" t="s">
        <v>161</v>
      </c>
      <c r="F19">
        <v>169000</v>
      </c>
    </row>
    <row r="20" spans="1:6" x14ac:dyDescent="0.4">
      <c r="A20" t="s">
        <v>163</v>
      </c>
      <c r="B20" t="s">
        <v>165</v>
      </c>
      <c r="C20" t="s">
        <v>2</v>
      </c>
      <c r="D20">
        <v>99</v>
      </c>
      <c r="E20" t="s">
        <v>151</v>
      </c>
      <c r="F20">
        <v>198000</v>
      </c>
    </row>
    <row r="21" spans="1:6" x14ac:dyDescent="0.4">
      <c r="A21" t="s">
        <v>163</v>
      </c>
      <c r="B21" t="s">
        <v>165</v>
      </c>
      <c r="C21" t="s">
        <v>2</v>
      </c>
      <c r="D21">
        <v>40</v>
      </c>
      <c r="E21" t="s">
        <v>161</v>
      </c>
      <c r="F21">
        <v>250000</v>
      </c>
    </row>
    <row r="22" spans="1:6" x14ac:dyDescent="0.4">
      <c r="A22" t="s">
        <v>163</v>
      </c>
      <c r="B22" t="s">
        <v>165</v>
      </c>
      <c r="C22" t="s">
        <v>2</v>
      </c>
      <c r="D22">
        <v>7</v>
      </c>
      <c r="E22" t="s">
        <v>156</v>
      </c>
      <c r="F22">
        <v>255600</v>
      </c>
    </row>
    <row r="23" spans="1:6" x14ac:dyDescent="0.4">
      <c r="A23" t="s">
        <v>163</v>
      </c>
      <c r="B23" t="s">
        <v>165</v>
      </c>
      <c r="C23" t="s">
        <v>2</v>
      </c>
      <c r="D23">
        <v>1</v>
      </c>
      <c r="E23" t="s">
        <v>154</v>
      </c>
      <c r="F23">
        <v>318000</v>
      </c>
    </row>
    <row r="24" spans="1:6" x14ac:dyDescent="0.4">
      <c r="A24" t="s">
        <v>163</v>
      </c>
      <c r="B24" t="s">
        <v>165</v>
      </c>
      <c r="C24" t="s">
        <v>2</v>
      </c>
      <c r="D24">
        <v>2</v>
      </c>
      <c r="E24" t="s">
        <v>160</v>
      </c>
      <c r="F24">
        <v>551200</v>
      </c>
    </row>
    <row r="25" spans="1:6" x14ac:dyDescent="0.4">
      <c r="A25" t="s">
        <v>163</v>
      </c>
      <c r="B25" t="s">
        <v>165</v>
      </c>
      <c r="C25" t="s">
        <v>2</v>
      </c>
      <c r="D25">
        <v>2</v>
      </c>
      <c r="E25" t="s">
        <v>160</v>
      </c>
      <c r="F25">
        <v>1154900</v>
      </c>
    </row>
    <row r="26" spans="1:6" x14ac:dyDescent="0.4">
      <c r="A26" t="s">
        <v>158</v>
      </c>
      <c r="B26" t="s">
        <v>166</v>
      </c>
      <c r="C26" t="s">
        <v>3</v>
      </c>
      <c r="D26">
        <v>1</v>
      </c>
      <c r="E26" t="s">
        <v>154</v>
      </c>
      <c r="F26">
        <v>0</v>
      </c>
    </row>
    <row r="27" spans="1:6" x14ac:dyDescent="0.4">
      <c r="A27" t="s">
        <v>158</v>
      </c>
      <c r="B27" t="s">
        <v>166</v>
      </c>
      <c r="C27" t="s">
        <v>3</v>
      </c>
      <c r="D27">
        <v>99</v>
      </c>
      <c r="E27" t="s">
        <v>151</v>
      </c>
      <c r="F27">
        <v>114080</v>
      </c>
    </row>
    <row r="28" spans="1:6" x14ac:dyDescent="0.4">
      <c r="A28" t="s">
        <v>158</v>
      </c>
      <c r="B28" t="s">
        <v>166</v>
      </c>
      <c r="C28" t="s">
        <v>3</v>
      </c>
      <c r="D28">
        <v>97</v>
      </c>
      <c r="E28" t="s">
        <v>159</v>
      </c>
      <c r="F28">
        <v>156544</v>
      </c>
    </row>
    <row r="29" spans="1:6" x14ac:dyDescent="0.4">
      <c r="A29" t="s">
        <v>158</v>
      </c>
      <c r="B29" t="s">
        <v>166</v>
      </c>
      <c r="C29" t="s">
        <v>3</v>
      </c>
      <c r="D29">
        <v>3</v>
      </c>
      <c r="E29" t="s">
        <v>15</v>
      </c>
      <c r="F29">
        <v>360000</v>
      </c>
    </row>
    <row r="30" spans="1:6" x14ac:dyDescent="0.4">
      <c r="A30" t="s">
        <v>158</v>
      </c>
      <c r="B30" t="s">
        <v>166</v>
      </c>
      <c r="C30" t="s">
        <v>3</v>
      </c>
      <c r="D30">
        <v>40</v>
      </c>
      <c r="E30" t="s">
        <v>161</v>
      </c>
      <c r="F30">
        <v>520000</v>
      </c>
    </row>
    <row r="31" spans="1:6" x14ac:dyDescent="0.4">
      <c r="A31" t="s">
        <v>158</v>
      </c>
      <c r="B31" t="s">
        <v>166</v>
      </c>
      <c r="C31" t="s">
        <v>3</v>
      </c>
      <c r="D31">
        <v>2</v>
      </c>
      <c r="E31" t="s">
        <v>160</v>
      </c>
      <c r="F31">
        <v>768400</v>
      </c>
    </row>
    <row r="32" spans="1:6" x14ac:dyDescent="0.4">
      <c r="A32" t="s">
        <v>158</v>
      </c>
      <c r="B32" t="s">
        <v>166</v>
      </c>
      <c r="C32" t="s">
        <v>3</v>
      </c>
      <c r="D32">
        <v>27</v>
      </c>
      <c r="E32" t="s">
        <v>162</v>
      </c>
      <c r="F32">
        <v>2209200</v>
      </c>
    </row>
    <row r="33" spans="1:6" x14ac:dyDescent="0.4">
      <c r="A33" t="s">
        <v>163</v>
      </c>
      <c r="B33" t="s">
        <v>166</v>
      </c>
      <c r="C33" t="s">
        <v>3</v>
      </c>
      <c r="D33">
        <v>1</v>
      </c>
      <c r="E33" t="s">
        <v>154</v>
      </c>
      <c r="F33">
        <v>0</v>
      </c>
    </row>
    <row r="34" spans="1:6" x14ac:dyDescent="0.4">
      <c r="A34" t="s">
        <v>163</v>
      </c>
      <c r="B34" t="s">
        <v>166</v>
      </c>
      <c r="C34" t="s">
        <v>3</v>
      </c>
      <c r="D34">
        <v>28</v>
      </c>
      <c r="E34" t="s">
        <v>157</v>
      </c>
      <c r="F34">
        <v>0</v>
      </c>
    </row>
    <row r="35" spans="1:6" x14ac:dyDescent="0.4">
      <c r="A35" t="s">
        <v>163</v>
      </c>
      <c r="B35" t="s">
        <v>166</v>
      </c>
      <c r="C35" t="s">
        <v>3</v>
      </c>
      <c r="D35">
        <v>1</v>
      </c>
      <c r="E35" t="s">
        <v>154</v>
      </c>
      <c r="F35">
        <v>58000</v>
      </c>
    </row>
    <row r="36" spans="1:6" x14ac:dyDescent="0.4">
      <c r="A36" t="s">
        <v>163</v>
      </c>
      <c r="B36" t="s">
        <v>166</v>
      </c>
      <c r="C36" t="s">
        <v>3</v>
      </c>
      <c r="D36">
        <v>3</v>
      </c>
      <c r="E36" t="s">
        <v>15</v>
      </c>
      <c r="F36">
        <v>60000</v>
      </c>
    </row>
    <row r="37" spans="1:6" x14ac:dyDescent="0.4">
      <c r="A37" t="s">
        <v>163</v>
      </c>
      <c r="B37" t="s">
        <v>166</v>
      </c>
      <c r="C37" t="s">
        <v>3</v>
      </c>
      <c r="D37">
        <v>97</v>
      </c>
      <c r="E37" t="s">
        <v>159</v>
      </c>
      <c r="F37">
        <v>143320</v>
      </c>
    </row>
    <row r="38" spans="1:6" x14ac:dyDescent="0.4">
      <c r="A38" t="s">
        <v>163</v>
      </c>
      <c r="B38" t="s">
        <v>166</v>
      </c>
      <c r="C38" t="s">
        <v>3</v>
      </c>
      <c r="D38">
        <v>99</v>
      </c>
      <c r="E38" t="s">
        <v>151</v>
      </c>
      <c r="F38">
        <v>152180</v>
      </c>
    </row>
    <row r="39" spans="1:6" x14ac:dyDescent="0.4">
      <c r="A39" t="s">
        <v>163</v>
      </c>
      <c r="B39" t="s">
        <v>166</v>
      </c>
      <c r="C39" t="s">
        <v>3</v>
      </c>
      <c r="D39">
        <v>40</v>
      </c>
      <c r="E39" t="s">
        <v>161</v>
      </c>
      <c r="F39">
        <v>346000</v>
      </c>
    </row>
    <row r="40" spans="1:6" x14ac:dyDescent="0.4">
      <c r="A40" t="s">
        <v>163</v>
      </c>
      <c r="B40" t="s">
        <v>166</v>
      </c>
      <c r="C40" t="s">
        <v>3</v>
      </c>
      <c r="D40">
        <v>2</v>
      </c>
      <c r="E40" t="s">
        <v>160</v>
      </c>
      <c r="F40">
        <v>2732960</v>
      </c>
    </row>
    <row r="41" spans="1:6" x14ac:dyDescent="0.4">
      <c r="A41" t="s">
        <v>158</v>
      </c>
      <c r="B41" t="s">
        <v>167</v>
      </c>
      <c r="C41" t="s">
        <v>4</v>
      </c>
      <c r="D41">
        <v>97</v>
      </c>
      <c r="E41" t="s">
        <v>159</v>
      </c>
      <c r="F41">
        <v>178942</v>
      </c>
    </row>
    <row r="42" spans="1:6" x14ac:dyDescent="0.4">
      <c r="A42" t="s">
        <v>158</v>
      </c>
      <c r="B42" t="s">
        <v>167</v>
      </c>
      <c r="C42" t="s">
        <v>4</v>
      </c>
      <c r="D42">
        <v>99</v>
      </c>
      <c r="E42" t="s">
        <v>151</v>
      </c>
      <c r="F42">
        <v>179680</v>
      </c>
    </row>
    <row r="43" spans="1:6" x14ac:dyDescent="0.4">
      <c r="A43" t="s">
        <v>158</v>
      </c>
      <c r="B43" t="s">
        <v>167</v>
      </c>
      <c r="C43" t="s">
        <v>4</v>
      </c>
      <c r="D43">
        <v>40</v>
      </c>
      <c r="E43" t="s">
        <v>161</v>
      </c>
      <c r="F43">
        <v>200000</v>
      </c>
    </row>
    <row r="44" spans="1:6" x14ac:dyDescent="0.4">
      <c r="A44" t="s">
        <v>158</v>
      </c>
      <c r="B44" t="s">
        <v>167</v>
      </c>
      <c r="C44" t="s">
        <v>4</v>
      </c>
      <c r="D44">
        <v>2</v>
      </c>
      <c r="E44" t="s">
        <v>160</v>
      </c>
      <c r="F44">
        <v>947288</v>
      </c>
    </row>
    <row r="45" spans="1:6" x14ac:dyDescent="0.4">
      <c r="A45" t="s">
        <v>158</v>
      </c>
      <c r="B45" t="s">
        <v>167</v>
      </c>
      <c r="C45" t="s">
        <v>4</v>
      </c>
      <c r="D45">
        <v>1</v>
      </c>
      <c r="E45" t="s">
        <v>154</v>
      </c>
      <c r="F45">
        <v>1118600</v>
      </c>
    </row>
    <row r="46" spans="1:6" x14ac:dyDescent="0.4">
      <c r="A46" t="s">
        <v>158</v>
      </c>
      <c r="B46" t="s">
        <v>167</v>
      </c>
      <c r="C46" t="s">
        <v>4</v>
      </c>
      <c r="D46">
        <v>27</v>
      </c>
      <c r="E46" t="s">
        <v>162</v>
      </c>
      <c r="F46">
        <v>2682600</v>
      </c>
    </row>
    <row r="47" spans="1:6" x14ac:dyDescent="0.4">
      <c r="A47" t="s">
        <v>163</v>
      </c>
      <c r="B47" t="s">
        <v>167</v>
      </c>
      <c r="C47" t="s">
        <v>4</v>
      </c>
      <c r="D47">
        <v>28</v>
      </c>
      <c r="E47" t="s">
        <v>157</v>
      </c>
      <c r="F47">
        <v>0</v>
      </c>
    </row>
    <row r="48" spans="1:6" x14ac:dyDescent="0.4">
      <c r="A48" t="s">
        <v>163</v>
      </c>
      <c r="B48" t="s">
        <v>167</v>
      </c>
      <c r="C48" t="s">
        <v>4</v>
      </c>
      <c r="D48">
        <v>1</v>
      </c>
      <c r="E48" t="s">
        <v>154</v>
      </c>
      <c r="F48">
        <v>1600</v>
      </c>
    </row>
    <row r="49" spans="1:6" x14ac:dyDescent="0.4">
      <c r="A49" t="s">
        <v>163</v>
      </c>
      <c r="B49" t="s">
        <v>167</v>
      </c>
      <c r="C49" t="s">
        <v>4</v>
      </c>
      <c r="D49">
        <v>97</v>
      </c>
      <c r="E49" t="s">
        <v>159</v>
      </c>
      <c r="F49">
        <v>10000</v>
      </c>
    </row>
    <row r="50" spans="1:6" x14ac:dyDescent="0.4">
      <c r="A50" t="s">
        <v>163</v>
      </c>
      <c r="B50" t="s">
        <v>167</v>
      </c>
      <c r="C50" t="s">
        <v>4</v>
      </c>
      <c r="D50">
        <v>28</v>
      </c>
      <c r="E50" t="s">
        <v>157</v>
      </c>
      <c r="F50">
        <v>46600</v>
      </c>
    </row>
    <row r="51" spans="1:6" x14ac:dyDescent="0.4">
      <c r="A51" t="s">
        <v>163</v>
      </c>
      <c r="B51" t="s">
        <v>167</v>
      </c>
      <c r="C51" t="s">
        <v>4</v>
      </c>
      <c r="D51">
        <v>99</v>
      </c>
      <c r="E51" t="s">
        <v>151</v>
      </c>
      <c r="F51">
        <v>55440</v>
      </c>
    </row>
    <row r="52" spans="1:6" x14ac:dyDescent="0.4">
      <c r="A52" t="s">
        <v>163</v>
      </c>
      <c r="B52" t="s">
        <v>167</v>
      </c>
      <c r="C52" t="s">
        <v>4</v>
      </c>
      <c r="D52">
        <v>40</v>
      </c>
      <c r="E52" t="s">
        <v>161</v>
      </c>
      <c r="F52">
        <v>102000</v>
      </c>
    </row>
    <row r="53" spans="1:6" x14ac:dyDescent="0.4">
      <c r="A53" t="s">
        <v>163</v>
      </c>
      <c r="B53" t="s">
        <v>167</v>
      </c>
      <c r="C53" t="s">
        <v>4</v>
      </c>
      <c r="D53">
        <v>3</v>
      </c>
      <c r="E53" t="s">
        <v>15</v>
      </c>
      <c r="F53">
        <v>120000</v>
      </c>
    </row>
    <row r="54" spans="1:6" x14ac:dyDescent="0.4">
      <c r="A54" t="s">
        <v>163</v>
      </c>
      <c r="B54" t="s">
        <v>167</v>
      </c>
      <c r="C54" t="s">
        <v>4</v>
      </c>
      <c r="D54">
        <v>2</v>
      </c>
      <c r="E54" t="s">
        <v>160</v>
      </c>
      <c r="F54">
        <v>208000</v>
      </c>
    </row>
    <row r="55" spans="1:6" x14ac:dyDescent="0.4">
      <c r="A55" t="s">
        <v>163</v>
      </c>
      <c r="B55" t="s">
        <v>167</v>
      </c>
      <c r="C55" t="s">
        <v>4</v>
      </c>
      <c r="D55">
        <v>7</v>
      </c>
      <c r="E55" t="s">
        <v>156</v>
      </c>
      <c r="F55">
        <v>283200</v>
      </c>
    </row>
    <row r="56" spans="1:6" x14ac:dyDescent="0.4">
      <c r="A56" t="s">
        <v>163</v>
      </c>
      <c r="B56" t="s">
        <v>167</v>
      </c>
      <c r="C56" t="s">
        <v>4</v>
      </c>
      <c r="D56">
        <v>2</v>
      </c>
      <c r="E56" t="s">
        <v>160</v>
      </c>
      <c r="F56">
        <v>1800000</v>
      </c>
    </row>
    <row r="57" spans="1:6" x14ac:dyDescent="0.4">
      <c r="A57" t="s">
        <v>163</v>
      </c>
      <c r="B57" t="s">
        <v>168</v>
      </c>
      <c r="C57" t="s">
        <v>5</v>
      </c>
      <c r="D57">
        <v>28</v>
      </c>
      <c r="E57" t="s">
        <v>157</v>
      </c>
      <c r="F57">
        <v>0</v>
      </c>
    </row>
    <row r="58" spans="1:6" x14ac:dyDescent="0.4">
      <c r="A58" t="s">
        <v>163</v>
      </c>
      <c r="B58" t="s">
        <v>168</v>
      </c>
      <c r="C58" t="s">
        <v>5</v>
      </c>
      <c r="D58">
        <v>99</v>
      </c>
      <c r="E58" t="s">
        <v>151</v>
      </c>
      <c r="F58">
        <v>2000</v>
      </c>
    </row>
    <row r="59" spans="1:6" x14ac:dyDescent="0.4">
      <c r="A59" t="s">
        <v>163</v>
      </c>
      <c r="B59" t="s">
        <v>168</v>
      </c>
      <c r="C59" t="s">
        <v>5</v>
      </c>
      <c r="D59">
        <v>99</v>
      </c>
      <c r="E59" t="s">
        <v>151</v>
      </c>
      <c r="F59">
        <v>30000</v>
      </c>
    </row>
    <row r="60" spans="1:6" x14ac:dyDescent="0.4">
      <c r="A60" t="s">
        <v>163</v>
      </c>
      <c r="B60" t="s">
        <v>168</v>
      </c>
      <c r="C60" t="s">
        <v>5</v>
      </c>
      <c r="D60">
        <v>7</v>
      </c>
      <c r="E60" t="s">
        <v>156</v>
      </c>
      <c r="F60">
        <v>118800</v>
      </c>
    </row>
    <row r="61" spans="1:6" x14ac:dyDescent="0.4">
      <c r="A61" t="s">
        <v>163</v>
      </c>
      <c r="B61" t="s">
        <v>168</v>
      </c>
      <c r="C61" t="s">
        <v>5</v>
      </c>
      <c r="D61">
        <v>2</v>
      </c>
      <c r="E61" t="s">
        <v>160</v>
      </c>
      <c r="F61">
        <v>231600</v>
      </c>
    </row>
    <row r="62" spans="1:6" x14ac:dyDescent="0.4">
      <c r="A62" t="s">
        <v>163</v>
      </c>
      <c r="B62" t="s">
        <v>168</v>
      </c>
      <c r="C62" t="s">
        <v>5</v>
      </c>
      <c r="D62">
        <v>2</v>
      </c>
      <c r="E62" t="s">
        <v>160</v>
      </c>
      <c r="F62">
        <v>2031700</v>
      </c>
    </row>
    <row r="63" spans="1:6" x14ac:dyDescent="0.4">
      <c r="A63" t="s">
        <v>163</v>
      </c>
      <c r="B63" t="s">
        <v>169</v>
      </c>
      <c r="C63" t="s">
        <v>6</v>
      </c>
      <c r="D63">
        <v>28</v>
      </c>
      <c r="E63" t="s">
        <v>157</v>
      </c>
      <c r="F63">
        <v>-2000</v>
      </c>
    </row>
    <row r="64" spans="1:6" x14ac:dyDescent="0.4">
      <c r="A64" t="s">
        <v>163</v>
      </c>
      <c r="B64" t="s">
        <v>169</v>
      </c>
      <c r="C64" t="s">
        <v>6</v>
      </c>
      <c r="D64">
        <v>28</v>
      </c>
      <c r="E64" t="s">
        <v>157</v>
      </c>
      <c r="F64">
        <v>0</v>
      </c>
    </row>
    <row r="65" spans="1:6" x14ac:dyDescent="0.4">
      <c r="A65" t="s">
        <v>163</v>
      </c>
      <c r="B65" t="s">
        <v>169</v>
      </c>
      <c r="C65" t="s">
        <v>6</v>
      </c>
      <c r="D65">
        <v>40</v>
      </c>
      <c r="E65" t="s">
        <v>161</v>
      </c>
      <c r="F65">
        <v>12000</v>
      </c>
    </row>
    <row r="66" spans="1:6" x14ac:dyDescent="0.4">
      <c r="A66" t="s">
        <v>163</v>
      </c>
      <c r="B66" t="s">
        <v>169</v>
      </c>
      <c r="C66" t="s">
        <v>6</v>
      </c>
      <c r="D66">
        <v>7</v>
      </c>
      <c r="E66" t="s">
        <v>156</v>
      </c>
      <c r="F66">
        <v>90000</v>
      </c>
    </row>
    <row r="67" spans="1:6" x14ac:dyDescent="0.4">
      <c r="A67" t="s">
        <v>163</v>
      </c>
      <c r="B67" t="s">
        <v>169</v>
      </c>
      <c r="C67" t="s">
        <v>6</v>
      </c>
      <c r="D67">
        <v>2</v>
      </c>
      <c r="E67" t="s">
        <v>160</v>
      </c>
      <c r="F67">
        <v>130000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9ABEF-0642-4254-B200-A66589456667}">
  <dimension ref="A1:F148"/>
  <sheetViews>
    <sheetView workbookViewId="0"/>
  </sheetViews>
  <sheetFormatPr defaultRowHeight="18.75" x14ac:dyDescent="0.4"/>
  <cols>
    <col min="1" max="1" width="21.375" bestFit="1" customWidth="1"/>
    <col min="2" max="2" width="11.25" bestFit="1" customWidth="1"/>
    <col min="3" max="3" width="17.25" bestFit="1" customWidth="1"/>
    <col min="4" max="4" width="15.375" bestFit="1" customWidth="1"/>
    <col min="5" max="5" width="24.25" bestFit="1" customWidth="1"/>
    <col min="6" max="6" width="9.5" bestFit="1" customWidth="1"/>
  </cols>
  <sheetData>
    <row r="1" spans="1:6" x14ac:dyDescent="0.4">
      <c r="A1" s="1" t="s">
        <v>142</v>
      </c>
      <c r="B1" s="1" t="s">
        <v>143</v>
      </c>
      <c r="C1" s="1" t="s">
        <v>0</v>
      </c>
      <c r="D1" s="1" t="s">
        <v>144</v>
      </c>
      <c r="E1" s="1" t="s">
        <v>145</v>
      </c>
      <c r="F1" s="1" t="s">
        <v>146</v>
      </c>
    </row>
    <row r="2" spans="1:6" x14ac:dyDescent="0.4">
      <c r="A2" t="s">
        <v>147</v>
      </c>
      <c r="B2" t="s">
        <v>148</v>
      </c>
      <c r="C2" t="s">
        <v>149</v>
      </c>
      <c r="D2">
        <v>202</v>
      </c>
      <c r="E2" t="s">
        <v>150</v>
      </c>
      <c r="F2">
        <v>11200</v>
      </c>
    </row>
    <row r="3" spans="1:6" x14ac:dyDescent="0.4">
      <c r="A3" t="s">
        <v>147</v>
      </c>
      <c r="B3" t="s">
        <v>148</v>
      </c>
      <c r="C3" t="s">
        <v>149</v>
      </c>
      <c r="D3">
        <v>201</v>
      </c>
      <c r="E3" t="s">
        <v>14</v>
      </c>
      <c r="F3">
        <v>34000</v>
      </c>
    </row>
    <row r="4" spans="1:6" x14ac:dyDescent="0.4">
      <c r="A4" t="s">
        <v>147</v>
      </c>
      <c r="B4" t="s">
        <v>148</v>
      </c>
      <c r="C4" t="s">
        <v>149</v>
      </c>
      <c r="D4">
        <v>99</v>
      </c>
      <c r="E4" t="s">
        <v>151</v>
      </c>
      <c r="F4">
        <v>6110580</v>
      </c>
    </row>
    <row r="5" spans="1:6" x14ac:dyDescent="0.4">
      <c r="A5" t="s">
        <v>147</v>
      </c>
      <c r="B5" t="s">
        <v>152</v>
      </c>
      <c r="C5" t="s">
        <v>153</v>
      </c>
      <c r="D5">
        <v>1</v>
      </c>
      <c r="E5" t="s">
        <v>154</v>
      </c>
      <c r="F5">
        <v>23000</v>
      </c>
    </row>
    <row r="6" spans="1:6" x14ac:dyDescent="0.4">
      <c r="A6" t="s">
        <v>147</v>
      </c>
      <c r="B6" t="s">
        <v>155</v>
      </c>
      <c r="C6" t="s">
        <v>1</v>
      </c>
      <c r="D6">
        <v>99</v>
      </c>
      <c r="E6" t="s">
        <v>151</v>
      </c>
      <c r="F6">
        <v>17680</v>
      </c>
    </row>
    <row r="7" spans="1:6" x14ac:dyDescent="0.4">
      <c r="A7" t="s">
        <v>147</v>
      </c>
      <c r="B7" t="s">
        <v>155</v>
      </c>
      <c r="C7" t="s">
        <v>1</v>
      </c>
      <c r="D7">
        <v>7</v>
      </c>
      <c r="E7" t="s">
        <v>156</v>
      </c>
      <c r="F7">
        <v>228100</v>
      </c>
    </row>
    <row r="8" spans="1:6" x14ac:dyDescent="0.4">
      <c r="A8" t="s">
        <v>147</v>
      </c>
      <c r="B8" t="s">
        <v>155</v>
      </c>
      <c r="C8" t="s">
        <v>1</v>
      </c>
      <c r="D8">
        <v>1</v>
      </c>
      <c r="E8" t="s">
        <v>154</v>
      </c>
      <c r="F8">
        <v>743020</v>
      </c>
    </row>
    <row r="9" spans="1:6" x14ac:dyDescent="0.4">
      <c r="A9" t="s">
        <v>147</v>
      </c>
      <c r="B9" t="s">
        <v>155</v>
      </c>
      <c r="C9" t="s">
        <v>1</v>
      </c>
      <c r="D9">
        <v>28</v>
      </c>
      <c r="E9" t="s">
        <v>157</v>
      </c>
      <c r="F9">
        <v>13923700</v>
      </c>
    </row>
    <row r="10" spans="1:6" x14ac:dyDescent="0.4">
      <c r="A10" t="s">
        <v>158</v>
      </c>
      <c r="B10" t="s">
        <v>155</v>
      </c>
      <c r="C10" t="s">
        <v>1</v>
      </c>
      <c r="D10">
        <v>1</v>
      </c>
      <c r="E10" t="s">
        <v>154</v>
      </c>
      <c r="F10">
        <v>0</v>
      </c>
    </row>
    <row r="11" spans="1:6" x14ac:dyDescent="0.4">
      <c r="A11" t="s">
        <v>158</v>
      </c>
      <c r="B11" t="s">
        <v>155</v>
      </c>
      <c r="C11" t="s">
        <v>1</v>
      </c>
      <c r="D11">
        <v>97</v>
      </c>
      <c r="E11" t="s">
        <v>159</v>
      </c>
      <c r="F11">
        <v>20224</v>
      </c>
    </row>
    <row r="12" spans="1:6" x14ac:dyDescent="0.4">
      <c r="A12" t="s">
        <v>158</v>
      </c>
      <c r="B12" t="s">
        <v>155</v>
      </c>
      <c r="C12" t="s">
        <v>1</v>
      </c>
      <c r="D12">
        <v>99</v>
      </c>
      <c r="E12" t="s">
        <v>151</v>
      </c>
      <c r="F12">
        <v>30240</v>
      </c>
    </row>
    <row r="13" spans="1:6" x14ac:dyDescent="0.4">
      <c r="A13" t="s">
        <v>158</v>
      </c>
      <c r="B13" t="s">
        <v>155</v>
      </c>
      <c r="C13" t="s">
        <v>1</v>
      </c>
      <c r="D13">
        <v>2</v>
      </c>
      <c r="E13" t="s">
        <v>160</v>
      </c>
      <c r="F13">
        <v>180760</v>
      </c>
    </row>
    <row r="14" spans="1:6" x14ac:dyDescent="0.4">
      <c r="A14" t="s">
        <v>158</v>
      </c>
      <c r="B14" t="s">
        <v>155</v>
      </c>
      <c r="C14" t="s">
        <v>1</v>
      </c>
      <c r="D14">
        <v>40</v>
      </c>
      <c r="E14" t="s">
        <v>161</v>
      </c>
      <c r="F14">
        <v>250000</v>
      </c>
    </row>
    <row r="15" spans="1:6" x14ac:dyDescent="0.4">
      <c r="A15" t="s">
        <v>158</v>
      </c>
      <c r="B15" t="s">
        <v>155</v>
      </c>
      <c r="C15" t="s">
        <v>1</v>
      </c>
      <c r="D15">
        <v>27</v>
      </c>
      <c r="E15" t="s">
        <v>162</v>
      </c>
      <c r="F15">
        <v>1104600</v>
      </c>
    </row>
    <row r="16" spans="1:6" x14ac:dyDescent="0.4">
      <c r="A16" t="s">
        <v>163</v>
      </c>
      <c r="B16" t="s">
        <v>155</v>
      </c>
      <c r="C16" t="s">
        <v>1</v>
      </c>
      <c r="D16">
        <v>28</v>
      </c>
      <c r="E16" t="s">
        <v>157</v>
      </c>
      <c r="F16">
        <v>0</v>
      </c>
    </row>
    <row r="17" spans="1:6" x14ac:dyDescent="0.4">
      <c r="A17" t="s">
        <v>163</v>
      </c>
      <c r="B17" t="s">
        <v>155</v>
      </c>
      <c r="C17" t="s">
        <v>1</v>
      </c>
      <c r="D17">
        <v>201</v>
      </c>
      <c r="E17" t="s">
        <v>14</v>
      </c>
      <c r="F17">
        <v>0</v>
      </c>
    </row>
    <row r="18" spans="1:6" x14ac:dyDescent="0.4">
      <c r="A18" t="s">
        <v>163</v>
      </c>
      <c r="B18" t="s">
        <v>155</v>
      </c>
      <c r="C18" t="s">
        <v>1</v>
      </c>
      <c r="D18">
        <v>1</v>
      </c>
      <c r="E18" t="s">
        <v>154</v>
      </c>
      <c r="F18">
        <v>8000</v>
      </c>
    </row>
    <row r="19" spans="1:6" x14ac:dyDescent="0.4">
      <c r="A19" t="s">
        <v>163</v>
      </c>
      <c r="B19" t="s">
        <v>155</v>
      </c>
      <c r="C19" t="s">
        <v>1</v>
      </c>
      <c r="D19">
        <v>3</v>
      </c>
      <c r="E19" t="s">
        <v>15</v>
      </c>
      <c r="F19">
        <v>60000</v>
      </c>
    </row>
    <row r="20" spans="1:6" x14ac:dyDescent="0.4">
      <c r="A20" t="s">
        <v>163</v>
      </c>
      <c r="B20" t="s">
        <v>155</v>
      </c>
      <c r="C20" t="s">
        <v>1</v>
      </c>
      <c r="D20">
        <v>50</v>
      </c>
      <c r="E20" t="s">
        <v>164</v>
      </c>
      <c r="F20">
        <v>60000</v>
      </c>
    </row>
    <row r="21" spans="1:6" x14ac:dyDescent="0.4">
      <c r="A21" t="s">
        <v>163</v>
      </c>
      <c r="B21" t="s">
        <v>155</v>
      </c>
      <c r="C21" t="s">
        <v>1</v>
      </c>
      <c r="D21">
        <v>99</v>
      </c>
      <c r="E21" t="s">
        <v>151</v>
      </c>
      <c r="F21">
        <v>153300</v>
      </c>
    </row>
    <row r="22" spans="1:6" x14ac:dyDescent="0.4">
      <c r="A22" t="s">
        <v>163</v>
      </c>
      <c r="B22" t="s">
        <v>155</v>
      </c>
      <c r="C22" t="s">
        <v>1</v>
      </c>
      <c r="D22">
        <v>97</v>
      </c>
      <c r="E22" t="s">
        <v>159</v>
      </c>
      <c r="F22">
        <v>234770</v>
      </c>
    </row>
    <row r="23" spans="1:6" x14ac:dyDescent="0.4">
      <c r="A23" t="s">
        <v>163</v>
      </c>
      <c r="B23" t="s">
        <v>155</v>
      </c>
      <c r="C23" t="s">
        <v>1</v>
      </c>
      <c r="D23">
        <v>40</v>
      </c>
      <c r="E23" t="s">
        <v>161</v>
      </c>
      <c r="F23">
        <v>392000</v>
      </c>
    </row>
    <row r="24" spans="1:6" x14ac:dyDescent="0.4">
      <c r="A24" t="s">
        <v>163</v>
      </c>
      <c r="B24" t="s">
        <v>155</v>
      </c>
      <c r="C24" t="s">
        <v>1</v>
      </c>
      <c r="D24">
        <v>1</v>
      </c>
      <c r="E24" t="s">
        <v>154</v>
      </c>
      <c r="F24">
        <v>918220</v>
      </c>
    </row>
    <row r="25" spans="1:6" x14ac:dyDescent="0.4">
      <c r="A25" t="s">
        <v>163</v>
      </c>
      <c r="B25" t="s">
        <v>155</v>
      </c>
      <c r="C25" t="s">
        <v>1</v>
      </c>
      <c r="D25">
        <v>2</v>
      </c>
      <c r="E25" t="s">
        <v>160</v>
      </c>
      <c r="F25">
        <v>2596900</v>
      </c>
    </row>
    <row r="26" spans="1:6" x14ac:dyDescent="0.4">
      <c r="A26" t="s">
        <v>147</v>
      </c>
      <c r="B26" t="s">
        <v>165</v>
      </c>
      <c r="C26" t="s">
        <v>2</v>
      </c>
      <c r="D26">
        <v>97</v>
      </c>
      <c r="E26" t="s">
        <v>159</v>
      </c>
      <c r="F26">
        <v>260900</v>
      </c>
    </row>
    <row r="27" spans="1:6" x14ac:dyDescent="0.4">
      <c r="A27" t="s">
        <v>147</v>
      </c>
      <c r="B27" t="s">
        <v>165</v>
      </c>
      <c r="C27" t="s">
        <v>2</v>
      </c>
      <c r="D27">
        <v>7</v>
      </c>
      <c r="E27" t="s">
        <v>156</v>
      </c>
      <c r="F27">
        <v>303900</v>
      </c>
    </row>
    <row r="28" spans="1:6" x14ac:dyDescent="0.4">
      <c r="A28" t="s">
        <v>147</v>
      </c>
      <c r="B28" t="s">
        <v>165</v>
      </c>
      <c r="C28" t="s">
        <v>2</v>
      </c>
      <c r="D28">
        <v>99</v>
      </c>
      <c r="E28" t="s">
        <v>151</v>
      </c>
      <c r="F28">
        <v>529140</v>
      </c>
    </row>
    <row r="29" spans="1:6" x14ac:dyDescent="0.4">
      <c r="A29" t="s">
        <v>147</v>
      </c>
      <c r="B29" t="s">
        <v>165</v>
      </c>
      <c r="C29" t="s">
        <v>2</v>
      </c>
      <c r="D29">
        <v>40</v>
      </c>
      <c r="E29" t="s">
        <v>161</v>
      </c>
      <c r="F29">
        <v>1006000</v>
      </c>
    </row>
    <row r="30" spans="1:6" x14ac:dyDescent="0.4">
      <c r="A30" t="s">
        <v>147</v>
      </c>
      <c r="B30" t="s">
        <v>165</v>
      </c>
      <c r="C30" t="s">
        <v>2</v>
      </c>
      <c r="D30">
        <v>3</v>
      </c>
      <c r="E30" t="s">
        <v>15</v>
      </c>
      <c r="F30">
        <v>1020000</v>
      </c>
    </row>
    <row r="31" spans="1:6" x14ac:dyDescent="0.4">
      <c r="A31" t="s">
        <v>147</v>
      </c>
      <c r="B31" t="s">
        <v>165</v>
      </c>
      <c r="C31" t="s">
        <v>2</v>
      </c>
      <c r="D31">
        <v>2</v>
      </c>
      <c r="E31" t="s">
        <v>160</v>
      </c>
      <c r="F31">
        <v>1552799</v>
      </c>
    </row>
    <row r="32" spans="1:6" x14ac:dyDescent="0.4">
      <c r="A32" t="s">
        <v>147</v>
      </c>
      <c r="B32" t="s">
        <v>165</v>
      </c>
      <c r="C32" t="s">
        <v>2</v>
      </c>
      <c r="D32">
        <v>1</v>
      </c>
      <c r="E32" t="s">
        <v>154</v>
      </c>
      <c r="F32">
        <v>2601810</v>
      </c>
    </row>
    <row r="33" spans="1:6" x14ac:dyDescent="0.4">
      <c r="A33" t="s">
        <v>147</v>
      </c>
      <c r="B33" t="s">
        <v>165</v>
      </c>
      <c r="C33" t="s">
        <v>2</v>
      </c>
      <c r="D33">
        <v>27</v>
      </c>
      <c r="E33" t="s">
        <v>162</v>
      </c>
      <c r="F33">
        <v>5005197</v>
      </c>
    </row>
    <row r="34" spans="1:6" x14ac:dyDescent="0.4">
      <c r="A34" t="s">
        <v>147</v>
      </c>
      <c r="B34" t="s">
        <v>165</v>
      </c>
      <c r="C34" t="s">
        <v>2</v>
      </c>
      <c r="D34">
        <v>28</v>
      </c>
      <c r="E34" t="s">
        <v>157</v>
      </c>
      <c r="F34">
        <v>25685500</v>
      </c>
    </row>
    <row r="35" spans="1:6" x14ac:dyDescent="0.4">
      <c r="A35" t="s">
        <v>158</v>
      </c>
      <c r="B35" t="s">
        <v>165</v>
      </c>
      <c r="C35" t="s">
        <v>2</v>
      </c>
      <c r="D35">
        <v>1</v>
      </c>
      <c r="E35" t="s">
        <v>154</v>
      </c>
      <c r="F35">
        <v>0</v>
      </c>
    </row>
    <row r="36" spans="1:6" x14ac:dyDescent="0.4">
      <c r="A36" t="s">
        <v>158</v>
      </c>
      <c r="B36" t="s">
        <v>165</v>
      </c>
      <c r="C36" t="s">
        <v>2</v>
      </c>
      <c r="D36">
        <v>40</v>
      </c>
      <c r="E36" t="s">
        <v>161</v>
      </c>
      <c r="F36">
        <v>200000</v>
      </c>
    </row>
    <row r="37" spans="1:6" x14ac:dyDescent="0.4">
      <c r="A37" t="s">
        <v>158</v>
      </c>
      <c r="B37" t="s">
        <v>165</v>
      </c>
      <c r="C37" t="s">
        <v>2</v>
      </c>
      <c r="D37">
        <v>28</v>
      </c>
      <c r="E37" t="s">
        <v>157</v>
      </c>
      <c r="F37">
        <v>360000</v>
      </c>
    </row>
    <row r="38" spans="1:6" x14ac:dyDescent="0.4">
      <c r="A38" t="s">
        <v>158</v>
      </c>
      <c r="B38" t="s">
        <v>165</v>
      </c>
      <c r="C38" t="s">
        <v>2</v>
      </c>
      <c r="D38">
        <v>27</v>
      </c>
      <c r="E38" t="s">
        <v>162</v>
      </c>
      <c r="F38">
        <v>1104600</v>
      </c>
    </row>
    <row r="39" spans="1:6" x14ac:dyDescent="0.4">
      <c r="A39" t="s">
        <v>163</v>
      </c>
      <c r="B39" t="s">
        <v>165</v>
      </c>
      <c r="C39" t="s">
        <v>2</v>
      </c>
      <c r="D39">
        <v>28</v>
      </c>
      <c r="E39" t="s">
        <v>157</v>
      </c>
      <c r="F39">
        <v>15700</v>
      </c>
    </row>
    <row r="40" spans="1:6" x14ac:dyDescent="0.4">
      <c r="A40" t="s">
        <v>163</v>
      </c>
      <c r="B40" t="s">
        <v>165</v>
      </c>
      <c r="C40" t="s">
        <v>2</v>
      </c>
      <c r="D40">
        <v>40</v>
      </c>
      <c r="E40" t="s">
        <v>161</v>
      </c>
      <c r="F40">
        <v>50000</v>
      </c>
    </row>
    <row r="41" spans="1:6" x14ac:dyDescent="0.4">
      <c r="A41" t="s">
        <v>163</v>
      </c>
      <c r="B41" t="s">
        <v>165</v>
      </c>
      <c r="C41" t="s">
        <v>2</v>
      </c>
      <c r="D41">
        <v>1</v>
      </c>
      <c r="E41" t="s">
        <v>154</v>
      </c>
      <c r="F41">
        <v>134400</v>
      </c>
    </row>
    <row r="42" spans="1:6" x14ac:dyDescent="0.4">
      <c r="A42" t="s">
        <v>163</v>
      </c>
      <c r="B42" t="s">
        <v>165</v>
      </c>
      <c r="C42" t="s">
        <v>2</v>
      </c>
      <c r="D42">
        <v>2</v>
      </c>
      <c r="E42" t="s">
        <v>160</v>
      </c>
      <c r="F42">
        <v>140000</v>
      </c>
    </row>
    <row r="43" spans="1:6" x14ac:dyDescent="0.4">
      <c r="A43" t="s">
        <v>147</v>
      </c>
      <c r="B43" t="s">
        <v>166</v>
      </c>
      <c r="C43" t="s">
        <v>3</v>
      </c>
      <c r="D43">
        <v>3</v>
      </c>
      <c r="E43" t="s">
        <v>15</v>
      </c>
      <c r="F43">
        <v>180000</v>
      </c>
    </row>
    <row r="44" spans="1:6" x14ac:dyDescent="0.4">
      <c r="A44" t="s">
        <v>147</v>
      </c>
      <c r="B44" t="s">
        <v>166</v>
      </c>
      <c r="C44" t="s">
        <v>3</v>
      </c>
      <c r="D44">
        <v>99</v>
      </c>
      <c r="E44" t="s">
        <v>151</v>
      </c>
      <c r="F44">
        <v>236190</v>
      </c>
    </row>
    <row r="45" spans="1:6" x14ac:dyDescent="0.4">
      <c r="A45" t="s">
        <v>147</v>
      </c>
      <c r="B45" t="s">
        <v>166</v>
      </c>
      <c r="C45" t="s">
        <v>3</v>
      </c>
      <c r="D45">
        <v>97</v>
      </c>
      <c r="E45" t="s">
        <v>159</v>
      </c>
      <c r="F45">
        <v>255392</v>
      </c>
    </row>
    <row r="46" spans="1:6" x14ac:dyDescent="0.4">
      <c r="A46" t="s">
        <v>147</v>
      </c>
      <c r="B46" t="s">
        <v>166</v>
      </c>
      <c r="C46" t="s">
        <v>3</v>
      </c>
      <c r="D46">
        <v>7</v>
      </c>
      <c r="E46" t="s">
        <v>156</v>
      </c>
      <c r="F46">
        <v>277300</v>
      </c>
    </row>
    <row r="47" spans="1:6" x14ac:dyDescent="0.4">
      <c r="A47" t="s">
        <v>147</v>
      </c>
      <c r="B47" t="s">
        <v>166</v>
      </c>
      <c r="C47" t="s">
        <v>3</v>
      </c>
      <c r="D47">
        <v>40</v>
      </c>
      <c r="E47" t="s">
        <v>161</v>
      </c>
      <c r="F47">
        <v>856976</v>
      </c>
    </row>
    <row r="48" spans="1:6" x14ac:dyDescent="0.4">
      <c r="A48" t="s">
        <v>147</v>
      </c>
      <c r="B48" t="s">
        <v>166</v>
      </c>
      <c r="C48" t="s">
        <v>3</v>
      </c>
      <c r="D48">
        <v>27</v>
      </c>
      <c r="E48" t="s">
        <v>162</v>
      </c>
      <c r="F48">
        <v>2209200</v>
      </c>
    </row>
    <row r="49" spans="1:6" x14ac:dyDescent="0.4">
      <c r="A49" t="s">
        <v>147</v>
      </c>
      <c r="B49" t="s">
        <v>166</v>
      </c>
      <c r="C49" t="s">
        <v>3</v>
      </c>
      <c r="D49">
        <v>1</v>
      </c>
      <c r="E49" t="s">
        <v>154</v>
      </c>
      <c r="F49">
        <v>2346683</v>
      </c>
    </row>
    <row r="50" spans="1:6" x14ac:dyDescent="0.4">
      <c r="A50" t="s">
        <v>147</v>
      </c>
      <c r="B50" t="s">
        <v>166</v>
      </c>
      <c r="C50" t="s">
        <v>3</v>
      </c>
      <c r="D50">
        <v>2</v>
      </c>
      <c r="E50" t="s">
        <v>160</v>
      </c>
      <c r="F50">
        <v>3337200</v>
      </c>
    </row>
    <row r="51" spans="1:6" x14ac:dyDescent="0.4">
      <c r="A51" t="s">
        <v>147</v>
      </c>
      <c r="B51" t="s">
        <v>166</v>
      </c>
      <c r="C51" t="s">
        <v>3</v>
      </c>
      <c r="D51">
        <v>28</v>
      </c>
      <c r="E51" t="s">
        <v>157</v>
      </c>
      <c r="F51">
        <v>35783400</v>
      </c>
    </row>
    <row r="52" spans="1:6" x14ac:dyDescent="0.4">
      <c r="A52" t="s">
        <v>158</v>
      </c>
      <c r="B52" t="s">
        <v>166</v>
      </c>
      <c r="C52" t="s">
        <v>3</v>
      </c>
      <c r="D52">
        <v>99</v>
      </c>
      <c r="E52" t="s">
        <v>151</v>
      </c>
      <c r="F52">
        <v>74000</v>
      </c>
    </row>
    <row r="53" spans="1:6" x14ac:dyDescent="0.4">
      <c r="A53" t="s">
        <v>158</v>
      </c>
      <c r="B53" t="s">
        <v>166</v>
      </c>
      <c r="C53" t="s">
        <v>3</v>
      </c>
      <c r="D53">
        <v>97</v>
      </c>
      <c r="E53" t="s">
        <v>159</v>
      </c>
      <c r="F53">
        <v>124332</v>
      </c>
    </row>
    <row r="54" spans="1:6" x14ac:dyDescent="0.4">
      <c r="A54" t="s">
        <v>158</v>
      </c>
      <c r="B54" t="s">
        <v>166</v>
      </c>
      <c r="C54" t="s">
        <v>3</v>
      </c>
      <c r="D54">
        <v>1</v>
      </c>
      <c r="E54" t="s">
        <v>154</v>
      </c>
      <c r="F54">
        <v>158400</v>
      </c>
    </row>
    <row r="55" spans="1:6" x14ac:dyDescent="0.4">
      <c r="A55" t="s">
        <v>158</v>
      </c>
      <c r="B55" t="s">
        <v>166</v>
      </c>
      <c r="C55" t="s">
        <v>3</v>
      </c>
      <c r="D55">
        <v>40</v>
      </c>
      <c r="E55" t="s">
        <v>161</v>
      </c>
      <c r="F55">
        <v>363912</v>
      </c>
    </row>
    <row r="56" spans="1:6" x14ac:dyDescent="0.4">
      <c r="A56" t="s">
        <v>158</v>
      </c>
      <c r="B56" t="s">
        <v>166</v>
      </c>
      <c r="C56" t="s">
        <v>3</v>
      </c>
      <c r="D56">
        <v>3</v>
      </c>
      <c r="E56" t="s">
        <v>15</v>
      </c>
      <c r="F56">
        <v>420000</v>
      </c>
    </row>
    <row r="57" spans="1:6" x14ac:dyDescent="0.4">
      <c r="A57" t="s">
        <v>158</v>
      </c>
      <c r="B57" t="s">
        <v>166</v>
      </c>
      <c r="C57" t="s">
        <v>3</v>
      </c>
      <c r="D57">
        <v>2</v>
      </c>
      <c r="E57" t="s">
        <v>160</v>
      </c>
      <c r="F57">
        <v>1091840</v>
      </c>
    </row>
    <row r="58" spans="1:6" x14ac:dyDescent="0.4">
      <c r="A58" t="s">
        <v>158</v>
      </c>
      <c r="B58" t="s">
        <v>166</v>
      </c>
      <c r="C58" t="s">
        <v>3</v>
      </c>
      <c r="D58">
        <v>27</v>
      </c>
      <c r="E58" t="s">
        <v>162</v>
      </c>
      <c r="F58">
        <v>2671500</v>
      </c>
    </row>
    <row r="59" spans="1:6" x14ac:dyDescent="0.4">
      <c r="A59" t="s">
        <v>163</v>
      </c>
      <c r="B59" t="s">
        <v>166</v>
      </c>
      <c r="C59" t="s">
        <v>3</v>
      </c>
      <c r="D59">
        <v>1</v>
      </c>
      <c r="E59" t="s">
        <v>154</v>
      </c>
      <c r="F59">
        <v>0</v>
      </c>
    </row>
    <row r="60" spans="1:6" x14ac:dyDescent="0.4">
      <c r="A60" t="s">
        <v>163</v>
      </c>
      <c r="B60" t="s">
        <v>166</v>
      </c>
      <c r="C60" t="s">
        <v>3</v>
      </c>
      <c r="D60">
        <v>7</v>
      </c>
      <c r="E60" t="s">
        <v>156</v>
      </c>
      <c r="F60">
        <v>12000</v>
      </c>
    </row>
    <row r="61" spans="1:6" x14ac:dyDescent="0.4">
      <c r="A61" t="s">
        <v>163</v>
      </c>
      <c r="B61" t="s">
        <v>166</v>
      </c>
      <c r="C61" t="s">
        <v>3</v>
      </c>
      <c r="D61">
        <v>97</v>
      </c>
      <c r="E61" t="s">
        <v>159</v>
      </c>
      <c r="F61">
        <v>17640</v>
      </c>
    </row>
    <row r="62" spans="1:6" x14ac:dyDescent="0.4">
      <c r="A62" t="s">
        <v>163</v>
      </c>
      <c r="B62" t="s">
        <v>166</v>
      </c>
      <c r="C62" t="s">
        <v>3</v>
      </c>
      <c r="D62">
        <v>28</v>
      </c>
      <c r="E62" t="s">
        <v>157</v>
      </c>
      <c r="F62">
        <v>23600</v>
      </c>
    </row>
    <row r="63" spans="1:6" x14ac:dyDescent="0.4">
      <c r="A63" t="s">
        <v>163</v>
      </c>
      <c r="B63" t="s">
        <v>166</v>
      </c>
      <c r="C63" t="s">
        <v>3</v>
      </c>
      <c r="D63">
        <v>40</v>
      </c>
      <c r="E63" t="s">
        <v>161</v>
      </c>
      <c r="F63">
        <v>50000</v>
      </c>
    </row>
    <row r="64" spans="1:6" x14ac:dyDescent="0.4">
      <c r="A64" t="s">
        <v>163</v>
      </c>
      <c r="B64" t="s">
        <v>166</v>
      </c>
      <c r="C64" t="s">
        <v>3</v>
      </c>
      <c r="D64">
        <v>7</v>
      </c>
      <c r="E64" t="s">
        <v>156</v>
      </c>
      <c r="F64">
        <v>126000</v>
      </c>
    </row>
    <row r="65" spans="1:6" x14ac:dyDescent="0.4">
      <c r="A65" t="s">
        <v>163</v>
      </c>
      <c r="B65" t="s">
        <v>166</v>
      </c>
      <c r="C65" t="s">
        <v>3</v>
      </c>
      <c r="D65">
        <v>40</v>
      </c>
      <c r="E65" t="s">
        <v>161</v>
      </c>
      <c r="F65">
        <v>178000</v>
      </c>
    </row>
    <row r="66" spans="1:6" x14ac:dyDescent="0.4">
      <c r="A66" t="s">
        <v>163</v>
      </c>
      <c r="B66" t="s">
        <v>166</v>
      </c>
      <c r="C66" t="s">
        <v>3</v>
      </c>
      <c r="D66">
        <v>97</v>
      </c>
      <c r="E66" t="s">
        <v>159</v>
      </c>
      <c r="F66">
        <v>264984</v>
      </c>
    </row>
    <row r="67" spans="1:6" x14ac:dyDescent="0.4">
      <c r="A67" t="s">
        <v>163</v>
      </c>
      <c r="B67" t="s">
        <v>166</v>
      </c>
      <c r="C67" t="s">
        <v>3</v>
      </c>
      <c r="D67">
        <v>1</v>
      </c>
      <c r="E67" t="s">
        <v>154</v>
      </c>
      <c r="F67">
        <v>292800</v>
      </c>
    </row>
    <row r="68" spans="1:6" x14ac:dyDescent="0.4">
      <c r="A68" t="s">
        <v>163</v>
      </c>
      <c r="B68" t="s">
        <v>166</v>
      </c>
      <c r="C68" t="s">
        <v>3</v>
      </c>
      <c r="D68">
        <v>2</v>
      </c>
      <c r="E68" t="s">
        <v>160</v>
      </c>
      <c r="F68">
        <v>520000</v>
      </c>
    </row>
    <row r="69" spans="1:6" x14ac:dyDescent="0.4">
      <c r="A69" t="s">
        <v>163</v>
      </c>
      <c r="B69" t="s">
        <v>166</v>
      </c>
      <c r="C69" t="s">
        <v>3</v>
      </c>
      <c r="D69">
        <v>99</v>
      </c>
      <c r="E69" t="s">
        <v>151</v>
      </c>
      <c r="F69">
        <v>688360</v>
      </c>
    </row>
    <row r="70" spans="1:6" x14ac:dyDescent="0.4">
      <c r="A70" t="s">
        <v>163</v>
      </c>
      <c r="B70" t="s">
        <v>166</v>
      </c>
      <c r="C70" t="s">
        <v>3</v>
      </c>
      <c r="D70">
        <v>2</v>
      </c>
      <c r="E70" t="s">
        <v>160</v>
      </c>
      <c r="F70">
        <v>3547780</v>
      </c>
    </row>
    <row r="71" spans="1:6" x14ac:dyDescent="0.4">
      <c r="A71" t="s">
        <v>147</v>
      </c>
      <c r="B71" t="s">
        <v>167</v>
      </c>
      <c r="C71" t="s">
        <v>4</v>
      </c>
      <c r="D71">
        <v>97</v>
      </c>
      <c r="E71" t="s">
        <v>159</v>
      </c>
      <c r="F71">
        <v>81060</v>
      </c>
    </row>
    <row r="72" spans="1:6" x14ac:dyDescent="0.4">
      <c r="A72" t="s">
        <v>147</v>
      </c>
      <c r="B72" t="s">
        <v>167</v>
      </c>
      <c r="C72" t="s">
        <v>4</v>
      </c>
      <c r="D72">
        <v>40</v>
      </c>
      <c r="E72" t="s">
        <v>161</v>
      </c>
      <c r="F72">
        <v>82000</v>
      </c>
    </row>
    <row r="73" spans="1:6" x14ac:dyDescent="0.4">
      <c r="A73" t="s">
        <v>147</v>
      </c>
      <c r="B73" t="s">
        <v>167</v>
      </c>
      <c r="C73" t="s">
        <v>4</v>
      </c>
      <c r="D73">
        <v>99</v>
      </c>
      <c r="E73" t="s">
        <v>151</v>
      </c>
      <c r="F73">
        <v>128740</v>
      </c>
    </row>
    <row r="74" spans="1:6" x14ac:dyDescent="0.4">
      <c r="A74" t="s">
        <v>147</v>
      </c>
      <c r="B74" t="s">
        <v>167</v>
      </c>
      <c r="C74" t="s">
        <v>4</v>
      </c>
      <c r="D74">
        <v>201</v>
      </c>
      <c r="E74" t="s">
        <v>14</v>
      </c>
      <c r="F74">
        <v>180000</v>
      </c>
    </row>
    <row r="75" spans="1:6" x14ac:dyDescent="0.4">
      <c r="A75" t="s">
        <v>147</v>
      </c>
      <c r="B75" t="s">
        <v>167</v>
      </c>
      <c r="C75" t="s">
        <v>4</v>
      </c>
      <c r="D75">
        <v>3</v>
      </c>
      <c r="E75" t="s">
        <v>15</v>
      </c>
      <c r="F75">
        <v>240000</v>
      </c>
    </row>
    <row r="76" spans="1:6" x14ac:dyDescent="0.4">
      <c r="A76" t="s">
        <v>147</v>
      </c>
      <c r="B76" t="s">
        <v>167</v>
      </c>
      <c r="C76" t="s">
        <v>4</v>
      </c>
      <c r="D76">
        <v>7</v>
      </c>
      <c r="E76" t="s">
        <v>156</v>
      </c>
      <c r="F76">
        <v>622300</v>
      </c>
    </row>
    <row r="77" spans="1:6" x14ac:dyDescent="0.4">
      <c r="A77" t="s">
        <v>147</v>
      </c>
      <c r="B77" t="s">
        <v>167</v>
      </c>
      <c r="C77" t="s">
        <v>4</v>
      </c>
      <c r="D77">
        <v>1</v>
      </c>
      <c r="E77" t="s">
        <v>154</v>
      </c>
      <c r="F77">
        <v>1000190</v>
      </c>
    </row>
    <row r="78" spans="1:6" x14ac:dyDescent="0.4">
      <c r="A78" t="s">
        <v>147</v>
      </c>
      <c r="B78" t="s">
        <v>167</v>
      </c>
      <c r="C78" t="s">
        <v>4</v>
      </c>
      <c r="D78">
        <v>2</v>
      </c>
      <c r="E78" t="s">
        <v>160</v>
      </c>
      <c r="F78">
        <v>1579000</v>
      </c>
    </row>
    <row r="79" spans="1:6" x14ac:dyDescent="0.4">
      <c r="A79" t="s">
        <v>147</v>
      </c>
      <c r="B79" t="s">
        <v>167</v>
      </c>
      <c r="C79" t="s">
        <v>4</v>
      </c>
      <c r="D79">
        <v>28</v>
      </c>
      <c r="E79" t="s">
        <v>157</v>
      </c>
      <c r="F79">
        <v>26369300</v>
      </c>
    </row>
    <row r="80" spans="1:6" x14ac:dyDescent="0.4">
      <c r="A80" t="s">
        <v>163</v>
      </c>
      <c r="B80" t="s">
        <v>167</v>
      </c>
      <c r="C80" t="s">
        <v>4</v>
      </c>
      <c r="D80">
        <v>1</v>
      </c>
      <c r="E80" t="s">
        <v>154</v>
      </c>
      <c r="F80">
        <v>10000</v>
      </c>
    </row>
    <row r="81" spans="1:6" x14ac:dyDescent="0.4">
      <c r="A81" t="s">
        <v>163</v>
      </c>
      <c r="B81" t="s">
        <v>167</v>
      </c>
      <c r="C81" t="s">
        <v>4</v>
      </c>
      <c r="D81">
        <v>7</v>
      </c>
      <c r="E81" t="s">
        <v>156</v>
      </c>
      <c r="F81">
        <v>12000</v>
      </c>
    </row>
    <row r="82" spans="1:6" x14ac:dyDescent="0.4">
      <c r="A82" t="s">
        <v>163</v>
      </c>
      <c r="B82" t="s">
        <v>167</v>
      </c>
      <c r="C82" t="s">
        <v>4</v>
      </c>
      <c r="D82">
        <v>28</v>
      </c>
      <c r="E82" t="s">
        <v>157</v>
      </c>
      <c r="F82">
        <v>19500</v>
      </c>
    </row>
    <row r="83" spans="1:6" x14ac:dyDescent="0.4">
      <c r="A83" t="s">
        <v>163</v>
      </c>
      <c r="B83" t="s">
        <v>167</v>
      </c>
      <c r="C83" t="s">
        <v>4</v>
      </c>
      <c r="D83">
        <v>99</v>
      </c>
      <c r="E83" t="s">
        <v>151</v>
      </c>
      <c r="F83">
        <v>41000</v>
      </c>
    </row>
    <row r="84" spans="1:6" x14ac:dyDescent="0.4">
      <c r="A84" t="s">
        <v>163</v>
      </c>
      <c r="B84" t="s">
        <v>167</v>
      </c>
      <c r="C84" t="s">
        <v>4</v>
      </c>
      <c r="D84">
        <v>99</v>
      </c>
      <c r="E84" t="s">
        <v>151</v>
      </c>
      <c r="F84">
        <v>45880</v>
      </c>
    </row>
    <row r="85" spans="1:6" x14ac:dyDescent="0.4">
      <c r="A85" t="s">
        <v>163</v>
      </c>
      <c r="B85" t="s">
        <v>167</v>
      </c>
      <c r="C85" t="s">
        <v>4</v>
      </c>
      <c r="D85">
        <v>97</v>
      </c>
      <c r="E85" t="s">
        <v>159</v>
      </c>
      <c r="F85">
        <v>92648</v>
      </c>
    </row>
    <row r="86" spans="1:6" x14ac:dyDescent="0.4">
      <c r="A86" t="s">
        <v>163</v>
      </c>
      <c r="B86" t="s">
        <v>167</v>
      </c>
      <c r="C86" t="s">
        <v>4</v>
      </c>
      <c r="D86">
        <v>97</v>
      </c>
      <c r="E86" t="s">
        <v>159</v>
      </c>
      <c r="F86">
        <v>99460</v>
      </c>
    </row>
    <row r="87" spans="1:6" x14ac:dyDescent="0.4">
      <c r="A87" t="s">
        <v>163</v>
      </c>
      <c r="B87" t="s">
        <v>167</v>
      </c>
      <c r="C87" t="s">
        <v>4</v>
      </c>
      <c r="D87">
        <v>40</v>
      </c>
      <c r="E87" t="s">
        <v>161</v>
      </c>
      <c r="F87">
        <v>140000</v>
      </c>
    </row>
    <row r="88" spans="1:6" x14ac:dyDescent="0.4">
      <c r="A88" t="s">
        <v>163</v>
      </c>
      <c r="B88" t="s">
        <v>167</v>
      </c>
      <c r="C88" t="s">
        <v>4</v>
      </c>
      <c r="D88">
        <v>1</v>
      </c>
      <c r="E88" t="s">
        <v>154</v>
      </c>
      <c r="F88">
        <v>168000</v>
      </c>
    </row>
    <row r="89" spans="1:6" x14ac:dyDescent="0.4">
      <c r="A89" t="s">
        <v>163</v>
      </c>
      <c r="B89" t="s">
        <v>167</v>
      </c>
      <c r="C89" t="s">
        <v>4</v>
      </c>
      <c r="D89">
        <v>40</v>
      </c>
      <c r="E89" t="s">
        <v>161</v>
      </c>
      <c r="F89">
        <v>402000</v>
      </c>
    </row>
    <row r="90" spans="1:6" x14ac:dyDescent="0.4">
      <c r="A90" t="s">
        <v>163</v>
      </c>
      <c r="B90" t="s">
        <v>167</v>
      </c>
      <c r="C90" t="s">
        <v>4</v>
      </c>
      <c r="D90">
        <v>7</v>
      </c>
      <c r="E90" t="s">
        <v>156</v>
      </c>
      <c r="F90">
        <v>438000</v>
      </c>
    </row>
    <row r="91" spans="1:6" x14ac:dyDescent="0.4">
      <c r="A91" t="s">
        <v>163</v>
      </c>
      <c r="B91" t="s">
        <v>167</v>
      </c>
      <c r="C91" t="s">
        <v>4</v>
      </c>
      <c r="D91">
        <v>2</v>
      </c>
      <c r="E91" t="s">
        <v>160</v>
      </c>
      <c r="F91">
        <v>836800</v>
      </c>
    </row>
    <row r="92" spans="1:6" x14ac:dyDescent="0.4">
      <c r="A92" t="s">
        <v>163</v>
      </c>
      <c r="B92" t="s">
        <v>167</v>
      </c>
      <c r="C92" t="s">
        <v>4</v>
      </c>
      <c r="D92">
        <v>2</v>
      </c>
      <c r="E92" t="s">
        <v>160</v>
      </c>
      <c r="F92">
        <v>2192976</v>
      </c>
    </row>
    <row r="93" spans="1:6" x14ac:dyDescent="0.4">
      <c r="A93" t="s">
        <v>147</v>
      </c>
      <c r="B93" t="s">
        <v>168</v>
      </c>
      <c r="C93" t="s">
        <v>5</v>
      </c>
      <c r="D93">
        <v>99</v>
      </c>
      <c r="E93" t="s">
        <v>151</v>
      </c>
      <c r="F93">
        <v>44960</v>
      </c>
    </row>
    <row r="94" spans="1:6" x14ac:dyDescent="0.4">
      <c r="A94" t="s">
        <v>147</v>
      </c>
      <c r="B94" t="s">
        <v>168</v>
      </c>
      <c r="C94" t="s">
        <v>5</v>
      </c>
      <c r="D94">
        <v>97</v>
      </c>
      <c r="E94" t="s">
        <v>159</v>
      </c>
      <c r="F94">
        <v>82600</v>
      </c>
    </row>
    <row r="95" spans="1:6" x14ac:dyDescent="0.4">
      <c r="A95" t="s">
        <v>147</v>
      </c>
      <c r="B95" t="s">
        <v>168</v>
      </c>
      <c r="C95" t="s">
        <v>5</v>
      </c>
      <c r="D95">
        <v>40</v>
      </c>
      <c r="E95" t="s">
        <v>161</v>
      </c>
      <c r="F95">
        <v>230000</v>
      </c>
    </row>
    <row r="96" spans="1:6" x14ac:dyDescent="0.4">
      <c r="A96" t="s">
        <v>147</v>
      </c>
      <c r="B96" t="s">
        <v>168</v>
      </c>
      <c r="C96" t="s">
        <v>5</v>
      </c>
      <c r="D96">
        <v>7</v>
      </c>
      <c r="E96" t="s">
        <v>156</v>
      </c>
      <c r="F96">
        <v>438100</v>
      </c>
    </row>
    <row r="97" spans="1:6" x14ac:dyDescent="0.4">
      <c r="A97" t="s">
        <v>147</v>
      </c>
      <c r="B97" t="s">
        <v>168</v>
      </c>
      <c r="C97" t="s">
        <v>5</v>
      </c>
      <c r="D97">
        <v>2</v>
      </c>
      <c r="E97" t="s">
        <v>160</v>
      </c>
      <c r="F97">
        <v>552000</v>
      </c>
    </row>
    <row r="98" spans="1:6" x14ac:dyDescent="0.4">
      <c r="A98" t="s">
        <v>147</v>
      </c>
      <c r="B98" t="s">
        <v>168</v>
      </c>
      <c r="C98" t="s">
        <v>5</v>
      </c>
      <c r="D98">
        <v>1</v>
      </c>
      <c r="E98" t="s">
        <v>154</v>
      </c>
      <c r="F98">
        <v>1093020</v>
      </c>
    </row>
    <row r="99" spans="1:6" x14ac:dyDescent="0.4">
      <c r="A99" t="s">
        <v>147</v>
      </c>
      <c r="B99" t="s">
        <v>168</v>
      </c>
      <c r="C99" t="s">
        <v>5</v>
      </c>
      <c r="D99">
        <v>28</v>
      </c>
      <c r="E99" t="s">
        <v>157</v>
      </c>
      <c r="F99">
        <v>14199800</v>
      </c>
    </row>
    <row r="100" spans="1:6" x14ac:dyDescent="0.4">
      <c r="A100" t="s">
        <v>158</v>
      </c>
      <c r="B100" t="s">
        <v>168</v>
      </c>
      <c r="C100" t="s">
        <v>5</v>
      </c>
      <c r="D100">
        <v>99</v>
      </c>
      <c r="E100" t="s">
        <v>151</v>
      </c>
      <c r="F100">
        <v>15160</v>
      </c>
    </row>
    <row r="101" spans="1:6" x14ac:dyDescent="0.4">
      <c r="A101" t="s">
        <v>158</v>
      </c>
      <c r="B101" t="s">
        <v>168</v>
      </c>
      <c r="C101" t="s">
        <v>5</v>
      </c>
      <c r="D101">
        <v>97</v>
      </c>
      <c r="E101" t="s">
        <v>159</v>
      </c>
      <c r="F101">
        <v>59420</v>
      </c>
    </row>
    <row r="102" spans="1:6" x14ac:dyDescent="0.4">
      <c r="A102" t="s">
        <v>158</v>
      </c>
      <c r="B102" t="s">
        <v>168</v>
      </c>
      <c r="C102" t="s">
        <v>5</v>
      </c>
      <c r="D102">
        <v>2</v>
      </c>
      <c r="E102" t="s">
        <v>160</v>
      </c>
      <c r="F102">
        <v>130000</v>
      </c>
    </row>
    <row r="103" spans="1:6" x14ac:dyDescent="0.4">
      <c r="A103" t="s">
        <v>158</v>
      </c>
      <c r="B103" t="s">
        <v>168</v>
      </c>
      <c r="C103" t="s">
        <v>5</v>
      </c>
      <c r="D103">
        <v>1</v>
      </c>
      <c r="E103" t="s">
        <v>154</v>
      </c>
      <c r="F103">
        <v>134400</v>
      </c>
    </row>
    <row r="104" spans="1:6" x14ac:dyDescent="0.4">
      <c r="A104" t="s">
        <v>158</v>
      </c>
      <c r="B104" t="s">
        <v>168</v>
      </c>
      <c r="C104" t="s">
        <v>5</v>
      </c>
      <c r="D104">
        <v>40</v>
      </c>
      <c r="E104" t="s">
        <v>161</v>
      </c>
      <c r="F104">
        <v>200000</v>
      </c>
    </row>
    <row r="105" spans="1:6" x14ac:dyDescent="0.4">
      <c r="A105" t="s">
        <v>158</v>
      </c>
      <c r="B105" t="s">
        <v>168</v>
      </c>
      <c r="C105" t="s">
        <v>5</v>
      </c>
      <c r="D105">
        <v>27</v>
      </c>
      <c r="E105" t="s">
        <v>162</v>
      </c>
      <c r="F105">
        <v>1104600</v>
      </c>
    </row>
    <row r="106" spans="1:6" x14ac:dyDescent="0.4">
      <c r="A106" t="s">
        <v>163</v>
      </c>
      <c r="B106" t="s">
        <v>168</v>
      </c>
      <c r="C106" t="s">
        <v>5</v>
      </c>
      <c r="D106">
        <v>40</v>
      </c>
      <c r="E106" t="s">
        <v>161</v>
      </c>
      <c r="F106">
        <v>10000</v>
      </c>
    </row>
    <row r="107" spans="1:6" x14ac:dyDescent="0.4">
      <c r="A107" t="s">
        <v>163</v>
      </c>
      <c r="B107" t="s">
        <v>168</v>
      </c>
      <c r="C107" t="s">
        <v>5</v>
      </c>
      <c r="D107">
        <v>97</v>
      </c>
      <c r="E107" t="s">
        <v>159</v>
      </c>
      <c r="F107">
        <v>10400</v>
      </c>
    </row>
    <row r="108" spans="1:6" x14ac:dyDescent="0.4">
      <c r="A108" t="s">
        <v>163</v>
      </c>
      <c r="B108" t="s">
        <v>168</v>
      </c>
      <c r="C108" t="s">
        <v>5</v>
      </c>
      <c r="D108">
        <v>7</v>
      </c>
      <c r="E108" t="s">
        <v>156</v>
      </c>
      <c r="F108">
        <v>13600</v>
      </c>
    </row>
    <row r="109" spans="1:6" x14ac:dyDescent="0.4">
      <c r="A109" t="s">
        <v>163</v>
      </c>
      <c r="B109" t="s">
        <v>168</v>
      </c>
      <c r="C109" t="s">
        <v>5</v>
      </c>
      <c r="D109">
        <v>7</v>
      </c>
      <c r="E109" t="s">
        <v>156</v>
      </c>
      <c r="F109">
        <v>15000</v>
      </c>
    </row>
    <row r="110" spans="1:6" x14ac:dyDescent="0.4">
      <c r="A110" t="s">
        <v>163</v>
      </c>
      <c r="B110" t="s">
        <v>168</v>
      </c>
      <c r="C110" t="s">
        <v>5</v>
      </c>
      <c r="D110">
        <v>50</v>
      </c>
      <c r="E110" t="s">
        <v>164</v>
      </c>
      <c r="F110">
        <v>15500</v>
      </c>
    </row>
    <row r="111" spans="1:6" x14ac:dyDescent="0.4">
      <c r="A111" t="s">
        <v>163</v>
      </c>
      <c r="B111" t="s">
        <v>168</v>
      </c>
      <c r="C111" t="s">
        <v>5</v>
      </c>
      <c r="D111">
        <v>3</v>
      </c>
      <c r="E111" t="s">
        <v>15</v>
      </c>
      <c r="F111">
        <v>60000</v>
      </c>
    </row>
    <row r="112" spans="1:6" x14ac:dyDescent="0.4">
      <c r="A112" t="s">
        <v>163</v>
      </c>
      <c r="B112" t="s">
        <v>168</v>
      </c>
      <c r="C112" t="s">
        <v>5</v>
      </c>
      <c r="D112">
        <v>99</v>
      </c>
      <c r="E112" t="s">
        <v>151</v>
      </c>
      <c r="F112">
        <v>115620</v>
      </c>
    </row>
    <row r="113" spans="1:6" x14ac:dyDescent="0.4">
      <c r="A113" t="s">
        <v>163</v>
      </c>
      <c r="B113" t="s">
        <v>168</v>
      </c>
      <c r="C113" t="s">
        <v>5</v>
      </c>
      <c r="D113">
        <v>7</v>
      </c>
      <c r="E113" t="s">
        <v>156</v>
      </c>
      <c r="F113">
        <v>237600</v>
      </c>
    </row>
    <row r="114" spans="1:6" x14ac:dyDescent="0.4">
      <c r="A114" t="s">
        <v>163</v>
      </c>
      <c r="B114" t="s">
        <v>168</v>
      </c>
      <c r="C114" t="s">
        <v>5</v>
      </c>
      <c r="D114">
        <v>1</v>
      </c>
      <c r="E114" t="s">
        <v>154</v>
      </c>
      <c r="F114">
        <v>332400</v>
      </c>
    </row>
    <row r="115" spans="1:6" x14ac:dyDescent="0.4">
      <c r="A115" t="s">
        <v>163</v>
      </c>
      <c r="B115" t="s">
        <v>168</v>
      </c>
      <c r="C115" t="s">
        <v>5</v>
      </c>
      <c r="D115">
        <v>97</v>
      </c>
      <c r="E115" t="s">
        <v>159</v>
      </c>
      <c r="F115">
        <v>336244</v>
      </c>
    </row>
    <row r="116" spans="1:6" x14ac:dyDescent="0.4">
      <c r="A116" t="s">
        <v>163</v>
      </c>
      <c r="B116" t="s">
        <v>168</v>
      </c>
      <c r="C116" t="s">
        <v>5</v>
      </c>
      <c r="D116">
        <v>2</v>
      </c>
      <c r="E116" t="s">
        <v>160</v>
      </c>
      <c r="F116">
        <v>400000</v>
      </c>
    </row>
    <row r="117" spans="1:6" x14ac:dyDescent="0.4">
      <c r="A117" t="s">
        <v>163</v>
      </c>
      <c r="B117" t="s">
        <v>168</v>
      </c>
      <c r="C117" t="s">
        <v>5</v>
      </c>
      <c r="D117">
        <v>40</v>
      </c>
      <c r="E117" t="s">
        <v>161</v>
      </c>
      <c r="F117">
        <v>406000</v>
      </c>
    </row>
    <row r="118" spans="1:6" x14ac:dyDescent="0.4">
      <c r="A118" t="s">
        <v>163</v>
      </c>
      <c r="B118" t="s">
        <v>168</v>
      </c>
      <c r="C118" t="s">
        <v>5</v>
      </c>
      <c r="D118">
        <v>28</v>
      </c>
      <c r="E118" t="s">
        <v>157</v>
      </c>
      <c r="F118">
        <v>1352400</v>
      </c>
    </row>
    <row r="119" spans="1:6" x14ac:dyDescent="0.4">
      <c r="A119" t="s">
        <v>163</v>
      </c>
      <c r="B119" t="s">
        <v>168</v>
      </c>
      <c r="C119" t="s">
        <v>5</v>
      </c>
      <c r="D119">
        <v>28</v>
      </c>
      <c r="E119" t="s">
        <v>157</v>
      </c>
      <c r="F119">
        <v>1519800</v>
      </c>
    </row>
    <row r="120" spans="1:6" x14ac:dyDescent="0.4">
      <c r="A120" t="s">
        <v>163</v>
      </c>
      <c r="B120" t="s">
        <v>168</v>
      </c>
      <c r="C120" t="s">
        <v>5</v>
      </c>
      <c r="D120">
        <v>2</v>
      </c>
      <c r="E120" t="s">
        <v>160</v>
      </c>
      <c r="F120">
        <v>1829400</v>
      </c>
    </row>
    <row r="121" spans="1:6" x14ac:dyDescent="0.4">
      <c r="A121" t="s">
        <v>147</v>
      </c>
      <c r="B121" t="s">
        <v>169</v>
      </c>
      <c r="C121" t="s">
        <v>6</v>
      </c>
      <c r="D121">
        <v>97</v>
      </c>
      <c r="E121" t="s">
        <v>159</v>
      </c>
      <c r="F121">
        <v>-5100</v>
      </c>
    </row>
    <row r="122" spans="1:6" x14ac:dyDescent="0.4">
      <c r="A122" t="s">
        <v>147</v>
      </c>
      <c r="B122" t="s">
        <v>169</v>
      </c>
      <c r="C122" t="s">
        <v>6</v>
      </c>
      <c r="D122">
        <v>99</v>
      </c>
      <c r="E122" t="s">
        <v>151</v>
      </c>
      <c r="F122">
        <v>11840</v>
      </c>
    </row>
    <row r="123" spans="1:6" x14ac:dyDescent="0.4">
      <c r="A123" t="s">
        <v>147</v>
      </c>
      <c r="B123" t="s">
        <v>169</v>
      </c>
      <c r="C123" t="s">
        <v>6</v>
      </c>
      <c r="D123">
        <v>40</v>
      </c>
      <c r="E123" t="s">
        <v>161</v>
      </c>
      <c r="F123">
        <v>27000</v>
      </c>
    </row>
    <row r="124" spans="1:6" x14ac:dyDescent="0.4">
      <c r="A124" t="s">
        <v>147</v>
      </c>
      <c r="B124" t="s">
        <v>169</v>
      </c>
      <c r="C124" t="s">
        <v>6</v>
      </c>
      <c r="D124">
        <v>7</v>
      </c>
      <c r="E124" t="s">
        <v>156</v>
      </c>
      <c r="F124">
        <v>28000</v>
      </c>
    </row>
    <row r="125" spans="1:6" x14ac:dyDescent="0.4">
      <c r="A125" t="s">
        <v>147</v>
      </c>
      <c r="B125" t="s">
        <v>169</v>
      </c>
      <c r="C125" t="s">
        <v>6</v>
      </c>
      <c r="D125">
        <v>3</v>
      </c>
      <c r="E125" t="s">
        <v>15</v>
      </c>
      <c r="F125">
        <v>120000</v>
      </c>
    </row>
    <row r="126" spans="1:6" x14ac:dyDescent="0.4">
      <c r="A126" t="s">
        <v>147</v>
      </c>
      <c r="B126" t="s">
        <v>169</v>
      </c>
      <c r="C126" t="s">
        <v>6</v>
      </c>
      <c r="D126">
        <v>2</v>
      </c>
      <c r="E126" t="s">
        <v>160</v>
      </c>
      <c r="F126">
        <v>941000</v>
      </c>
    </row>
    <row r="127" spans="1:6" x14ac:dyDescent="0.4">
      <c r="A127" t="s">
        <v>147</v>
      </c>
      <c r="B127" t="s">
        <v>169</v>
      </c>
      <c r="C127" t="s">
        <v>6</v>
      </c>
      <c r="D127">
        <v>1</v>
      </c>
      <c r="E127" t="s">
        <v>154</v>
      </c>
      <c r="F127">
        <v>1572390</v>
      </c>
    </row>
    <row r="128" spans="1:6" x14ac:dyDescent="0.4">
      <c r="A128" t="s">
        <v>147</v>
      </c>
      <c r="B128" t="s">
        <v>169</v>
      </c>
      <c r="C128" t="s">
        <v>6</v>
      </c>
      <c r="D128">
        <v>28</v>
      </c>
      <c r="E128" t="s">
        <v>157</v>
      </c>
      <c r="F128">
        <v>17457600</v>
      </c>
    </row>
    <row r="129" spans="1:6" x14ac:dyDescent="0.4">
      <c r="A129" t="s">
        <v>158</v>
      </c>
      <c r="B129" t="s">
        <v>169</v>
      </c>
      <c r="C129" t="s">
        <v>6</v>
      </c>
      <c r="D129">
        <v>99</v>
      </c>
      <c r="E129" t="s">
        <v>151</v>
      </c>
      <c r="F129">
        <v>60000</v>
      </c>
    </row>
    <row r="130" spans="1:6" x14ac:dyDescent="0.4">
      <c r="A130" t="s">
        <v>158</v>
      </c>
      <c r="B130" t="s">
        <v>169</v>
      </c>
      <c r="C130" t="s">
        <v>6</v>
      </c>
      <c r="D130">
        <v>97</v>
      </c>
      <c r="E130" t="s">
        <v>159</v>
      </c>
      <c r="F130">
        <v>105776</v>
      </c>
    </row>
    <row r="131" spans="1:6" x14ac:dyDescent="0.4">
      <c r="A131" t="s">
        <v>158</v>
      </c>
      <c r="B131" t="s">
        <v>169</v>
      </c>
      <c r="C131" t="s">
        <v>6</v>
      </c>
      <c r="D131">
        <v>1</v>
      </c>
      <c r="E131" t="s">
        <v>154</v>
      </c>
      <c r="F131">
        <v>134400</v>
      </c>
    </row>
    <row r="132" spans="1:6" x14ac:dyDescent="0.4">
      <c r="A132" t="s">
        <v>158</v>
      </c>
      <c r="B132" t="s">
        <v>169</v>
      </c>
      <c r="C132" t="s">
        <v>6</v>
      </c>
      <c r="D132">
        <v>3</v>
      </c>
      <c r="E132" t="s">
        <v>15</v>
      </c>
      <c r="F132">
        <v>360000</v>
      </c>
    </row>
    <row r="133" spans="1:6" x14ac:dyDescent="0.4">
      <c r="A133" t="s">
        <v>158</v>
      </c>
      <c r="B133" t="s">
        <v>169</v>
      </c>
      <c r="C133" t="s">
        <v>6</v>
      </c>
      <c r="D133">
        <v>40</v>
      </c>
      <c r="E133" t="s">
        <v>161</v>
      </c>
      <c r="F133">
        <v>650000</v>
      </c>
    </row>
    <row r="134" spans="1:6" x14ac:dyDescent="0.4">
      <c r="A134" t="s">
        <v>158</v>
      </c>
      <c r="B134" t="s">
        <v>169</v>
      </c>
      <c r="C134" t="s">
        <v>6</v>
      </c>
      <c r="D134">
        <v>2</v>
      </c>
      <c r="E134" t="s">
        <v>160</v>
      </c>
      <c r="F134">
        <v>1141720</v>
      </c>
    </row>
    <row r="135" spans="1:6" x14ac:dyDescent="0.4">
      <c r="A135" t="s">
        <v>158</v>
      </c>
      <c r="B135" t="s">
        <v>169</v>
      </c>
      <c r="C135" t="s">
        <v>6</v>
      </c>
      <c r="D135">
        <v>27</v>
      </c>
      <c r="E135" t="s">
        <v>162</v>
      </c>
      <c r="F135">
        <v>3510512</v>
      </c>
    </row>
    <row r="136" spans="1:6" x14ac:dyDescent="0.4">
      <c r="A136" t="s">
        <v>163</v>
      </c>
      <c r="B136" t="s">
        <v>169</v>
      </c>
      <c r="C136" t="s">
        <v>6</v>
      </c>
      <c r="D136">
        <v>28</v>
      </c>
      <c r="E136" t="s">
        <v>157</v>
      </c>
      <c r="F136">
        <v>0</v>
      </c>
    </row>
    <row r="137" spans="1:6" x14ac:dyDescent="0.4">
      <c r="A137" t="s">
        <v>163</v>
      </c>
      <c r="B137" t="s">
        <v>169</v>
      </c>
      <c r="C137" t="s">
        <v>6</v>
      </c>
      <c r="D137">
        <v>1</v>
      </c>
      <c r="E137" t="s">
        <v>154</v>
      </c>
      <c r="F137">
        <v>2000</v>
      </c>
    </row>
    <row r="138" spans="1:6" x14ac:dyDescent="0.4">
      <c r="A138" t="s">
        <v>163</v>
      </c>
      <c r="B138" t="s">
        <v>169</v>
      </c>
      <c r="C138" t="s">
        <v>6</v>
      </c>
      <c r="D138">
        <v>99</v>
      </c>
      <c r="E138" t="s">
        <v>151</v>
      </c>
      <c r="F138">
        <v>4800</v>
      </c>
    </row>
    <row r="139" spans="1:6" x14ac:dyDescent="0.4">
      <c r="A139" t="s">
        <v>163</v>
      </c>
      <c r="B139" t="s">
        <v>169</v>
      </c>
      <c r="C139" t="s">
        <v>6</v>
      </c>
      <c r="D139">
        <v>99</v>
      </c>
      <c r="E139" t="s">
        <v>151</v>
      </c>
      <c r="F139">
        <v>30000</v>
      </c>
    </row>
    <row r="140" spans="1:6" x14ac:dyDescent="0.4">
      <c r="A140" t="s">
        <v>163</v>
      </c>
      <c r="B140" t="s">
        <v>169</v>
      </c>
      <c r="C140" t="s">
        <v>6</v>
      </c>
      <c r="D140">
        <v>97</v>
      </c>
      <c r="E140" t="s">
        <v>159</v>
      </c>
      <c r="F140">
        <v>110624</v>
      </c>
    </row>
    <row r="141" spans="1:6" x14ac:dyDescent="0.4">
      <c r="A141" t="s">
        <v>163</v>
      </c>
      <c r="B141" t="s">
        <v>169</v>
      </c>
      <c r="C141" t="s">
        <v>6</v>
      </c>
      <c r="D141">
        <v>97</v>
      </c>
      <c r="E141" t="s">
        <v>159</v>
      </c>
      <c r="F141">
        <v>120870</v>
      </c>
    </row>
    <row r="142" spans="1:6" x14ac:dyDescent="0.4">
      <c r="A142" t="s">
        <v>163</v>
      </c>
      <c r="B142" t="s">
        <v>169</v>
      </c>
      <c r="C142" t="s">
        <v>6</v>
      </c>
      <c r="D142">
        <v>7</v>
      </c>
      <c r="E142" t="s">
        <v>156</v>
      </c>
      <c r="F142">
        <v>180000</v>
      </c>
    </row>
    <row r="143" spans="1:6" x14ac:dyDescent="0.4">
      <c r="A143" t="s">
        <v>163</v>
      </c>
      <c r="B143" t="s">
        <v>169</v>
      </c>
      <c r="C143" t="s">
        <v>6</v>
      </c>
      <c r="D143">
        <v>40</v>
      </c>
      <c r="E143" t="s">
        <v>161</v>
      </c>
      <c r="F143">
        <v>414200</v>
      </c>
    </row>
    <row r="144" spans="1:6" x14ac:dyDescent="0.4">
      <c r="A144" t="s">
        <v>163</v>
      </c>
      <c r="B144" t="s">
        <v>169</v>
      </c>
      <c r="C144" t="s">
        <v>6</v>
      </c>
      <c r="D144">
        <v>7</v>
      </c>
      <c r="E144" t="s">
        <v>156</v>
      </c>
      <c r="F144">
        <v>417600</v>
      </c>
    </row>
    <row r="145" spans="1:6" x14ac:dyDescent="0.4">
      <c r="A145" t="s">
        <v>163</v>
      </c>
      <c r="B145" t="s">
        <v>169</v>
      </c>
      <c r="C145" t="s">
        <v>6</v>
      </c>
      <c r="D145">
        <v>40</v>
      </c>
      <c r="E145" t="s">
        <v>161</v>
      </c>
      <c r="F145">
        <v>520081</v>
      </c>
    </row>
    <row r="146" spans="1:6" x14ac:dyDescent="0.4">
      <c r="A146" t="s">
        <v>163</v>
      </c>
      <c r="B146" t="s">
        <v>169</v>
      </c>
      <c r="C146" t="s">
        <v>6</v>
      </c>
      <c r="D146">
        <v>2</v>
      </c>
      <c r="E146" t="s">
        <v>160</v>
      </c>
      <c r="F146">
        <v>938456</v>
      </c>
    </row>
    <row r="147" spans="1:6" x14ac:dyDescent="0.4">
      <c r="A147" t="s">
        <v>163</v>
      </c>
      <c r="B147" t="s">
        <v>169</v>
      </c>
      <c r="C147" t="s">
        <v>6</v>
      </c>
      <c r="D147">
        <v>2</v>
      </c>
      <c r="E147" t="s">
        <v>160</v>
      </c>
      <c r="F147">
        <v>1996120</v>
      </c>
    </row>
    <row r="148" spans="1:6" x14ac:dyDescent="0.4">
      <c r="A148" t="s">
        <v>163</v>
      </c>
      <c r="B148" t="s">
        <v>169</v>
      </c>
      <c r="C148" t="s">
        <v>6</v>
      </c>
      <c r="D148">
        <v>28</v>
      </c>
      <c r="E148" t="s">
        <v>157</v>
      </c>
      <c r="F148">
        <v>4850900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B63EB-8755-4049-81D3-74224F0C486A}">
  <sheetPr codeName="Sheet2"/>
  <dimension ref="B2:Y23"/>
  <sheetViews>
    <sheetView zoomScale="85" zoomScaleNormal="85" workbookViewId="0">
      <selection activeCell="G8" sqref="G8"/>
    </sheetView>
  </sheetViews>
  <sheetFormatPr defaultRowHeight="18.75" x14ac:dyDescent="0.4"/>
  <cols>
    <col min="1" max="1" width="1.875" customWidth="1"/>
    <col min="2" max="2" width="11.625" customWidth="1"/>
    <col min="3" max="3" width="8" bestFit="1" customWidth="1"/>
    <col min="4" max="4" width="6.375" bestFit="1" customWidth="1"/>
    <col min="5" max="5" width="3.75" bestFit="1" customWidth="1"/>
    <col min="6" max="6" width="5.75" bestFit="1" customWidth="1"/>
    <col min="7" max="7" width="8.25" bestFit="1" customWidth="1"/>
    <col min="8" max="8" width="3.75" bestFit="1" customWidth="1"/>
    <col min="9" max="9" width="5.75" bestFit="1" customWidth="1"/>
    <col min="10" max="10" width="8.25" bestFit="1" customWidth="1"/>
    <col min="11" max="11" width="4.5" bestFit="1" customWidth="1"/>
    <col min="12" max="12" width="5.75" bestFit="1" customWidth="1"/>
    <col min="13" max="13" width="8.25" bestFit="1" customWidth="1"/>
    <col min="14" max="14" width="3.75" bestFit="1" customWidth="1"/>
    <col min="15" max="15" width="5.75" bestFit="1" customWidth="1"/>
    <col min="16" max="16" width="8.25" bestFit="1" customWidth="1"/>
    <col min="17" max="17" width="3.75" bestFit="1" customWidth="1"/>
    <col min="18" max="18" width="5.75" bestFit="1" customWidth="1"/>
    <col min="19" max="19" width="9.25" bestFit="1" customWidth="1"/>
    <col min="20" max="20" width="7.375" bestFit="1" customWidth="1"/>
    <col min="21" max="21" width="5.75" bestFit="1" customWidth="1"/>
    <col min="22" max="22" width="8.25" bestFit="1" customWidth="1"/>
    <col min="23" max="23" width="4.5" bestFit="1" customWidth="1"/>
    <col min="24" max="24" width="5.75" bestFit="1" customWidth="1"/>
    <col min="25" max="25" width="9.75" customWidth="1"/>
    <col min="26" max="26" width="2.5" bestFit="1" customWidth="1"/>
  </cols>
  <sheetData>
    <row r="2" spans="2:25" ht="22.5" x14ac:dyDescent="0.4">
      <c r="B2" s="92" t="s">
        <v>120</v>
      </c>
      <c r="D2" s="1"/>
      <c r="G2" s="111"/>
      <c r="H2" s="110"/>
      <c r="M2" s="93"/>
      <c r="Y2" s="113" t="s">
        <v>3227</v>
      </c>
    </row>
    <row r="3" spans="2:25" ht="19.5" thickBot="1" x14ac:dyDescent="0.45">
      <c r="Y3" s="112" t="s">
        <v>111</v>
      </c>
    </row>
    <row r="4" spans="2:25" x14ac:dyDescent="0.4">
      <c r="B4" s="200" t="s">
        <v>97</v>
      </c>
      <c r="C4" s="201"/>
      <c r="D4" s="202"/>
      <c r="E4" s="191" t="s">
        <v>114</v>
      </c>
      <c r="F4" s="192"/>
      <c r="G4" s="194"/>
      <c r="H4" s="191" t="s">
        <v>113</v>
      </c>
      <c r="I4" s="192"/>
      <c r="J4" s="194"/>
      <c r="K4" s="191" t="s">
        <v>112</v>
      </c>
      <c r="L4" s="192"/>
      <c r="M4" s="194"/>
      <c r="N4" s="191" t="s">
        <v>42</v>
      </c>
      <c r="O4" s="192"/>
      <c r="P4" s="194"/>
      <c r="Q4" s="191" t="s">
        <v>43</v>
      </c>
      <c r="R4" s="192"/>
      <c r="S4" s="194"/>
      <c r="T4" s="191" t="s">
        <v>115</v>
      </c>
      <c r="U4" s="192"/>
      <c r="V4" s="194"/>
      <c r="W4" s="191" t="s">
        <v>98</v>
      </c>
      <c r="X4" s="192"/>
      <c r="Y4" s="193"/>
    </row>
    <row r="5" spans="2:25" ht="19.5" thickBot="1" x14ac:dyDescent="0.45">
      <c r="B5" s="203"/>
      <c r="C5" s="204"/>
      <c r="D5" s="205"/>
      <c r="E5" s="139" t="s">
        <v>100</v>
      </c>
      <c r="F5" s="132" t="s">
        <v>99</v>
      </c>
      <c r="G5" s="140"/>
      <c r="H5" s="139" t="s">
        <v>100</v>
      </c>
      <c r="I5" s="132" t="s">
        <v>101</v>
      </c>
      <c r="J5" s="140"/>
      <c r="K5" s="139" t="s">
        <v>100</v>
      </c>
      <c r="L5" s="132" t="s">
        <v>101</v>
      </c>
      <c r="M5" s="140"/>
      <c r="N5" s="139" t="s">
        <v>100</v>
      </c>
      <c r="O5" s="132" t="s">
        <v>101</v>
      </c>
      <c r="P5" s="140"/>
      <c r="Q5" s="139" t="s">
        <v>100</v>
      </c>
      <c r="R5" s="132" t="s">
        <v>101</v>
      </c>
      <c r="S5" s="140"/>
      <c r="T5" s="139" t="s">
        <v>100</v>
      </c>
      <c r="U5" s="132" t="s">
        <v>101</v>
      </c>
      <c r="V5" s="140"/>
      <c r="W5" s="139" t="s">
        <v>100</v>
      </c>
      <c r="X5" s="132" t="s">
        <v>101</v>
      </c>
      <c r="Y5" s="109"/>
    </row>
    <row r="6" spans="2:25" ht="18.75" customHeight="1" x14ac:dyDescent="0.4">
      <c r="B6" s="185" t="s">
        <v>118</v>
      </c>
      <c r="C6" s="188" t="s">
        <v>102</v>
      </c>
      <c r="D6" s="94" t="s">
        <v>103</v>
      </c>
      <c r="E6" s="116">
        <v>2</v>
      </c>
      <c r="F6" s="116">
        <v>5</v>
      </c>
      <c r="G6" s="117">
        <v>19960</v>
      </c>
      <c r="H6" s="116">
        <v>4</v>
      </c>
      <c r="I6" s="118">
        <v>7</v>
      </c>
      <c r="J6" s="116">
        <v>37160</v>
      </c>
      <c r="K6" s="117">
        <v>7</v>
      </c>
      <c r="L6" s="116">
        <v>11</v>
      </c>
      <c r="M6" s="117">
        <v>46606</v>
      </c>
      <c r="N6" s="116">
        <v>3</v>
      </c>
      <c r="O6" s="116">
        <v>6</v>
      </c>
      <c r="P6" s="117">
        <v>24436</v>
      </c>
      <c r="Q6" s="116">
        <v>7</v>
      </c>
      <c r="R6" s="116">
        <v>11</v>
      </c>
      <c r="S6" s="117">
        <v>40342</v>
      </c>
      <c r="T6" s="116">
        <v>8</v>
      </c>
      <c r="U6" s="116">
        <v>4</v>
      </c>
      <c r="V6" s="117">
        <v>33257</v>
      </c>
      <c r="W6" s="116">
        <f t="shared" ref="W6:Y8" si="0">E6+H6+K6+N6+Q6+T6</f>
        <v>31</v>
      </c>
      <c r="X6" s="116">
        <f t="shared" si="0"/>
        <v>44</v>
      </c>
      <c r="Y6" s="124">
        <f t="shared" si="0"/>
        <v>201761</v>
      </c>
    </row>
    <row r="7" spans="2:25" x14ac:dyDescent="0.4">
      <c r="B7" s="186"/>
      <c r="C7" s="189"/>
      <c r="D7" s="133" t="s">
        <v>104</v>
      </c>
      <c r="E7" s="134">
        <v>2</v>
      </c>
      <c r="F7" s="134">
        <v>5</v>
      </c>
      <c r="G7" s="135">
        <v>20700</v>
      </c>
      <c r="H7" s="134">
        <v>5</v>
      </c>
      <c r="I7" s="135">
        <v>7</v>
      </c>
      <c r="J7" s="135">
        <v>37800</v>
      </c>
      <c r="K7" s="135">
        <v>4</v>
      </c>
      <c r="L7" s="134">
        <v>16</v>
      </c>
      <c r="M7" s="135">
        <v>49500</v>
      </c>
      <c r="N7" s="134">
        <v>1</v>
      </c>
      <c r="O7" s="134">
        <v>6</v>
      </c>
      <c r="P7" s="135">
        <v>24500</v>
      </c>
      <c r="Q7" s="134">
        <v>5</v>
      </c>
      <c r="R7" s="134">
        <v>12</v>
      </c>
      <c r="S7" s="135">
        <v>40500</v>
      </c>
      <c r="T7" s="134">
        <v>0</v>
      </c>
      <c r="U7" s="134">
        <v>13</v>
      </c>
      <c r="V7" s="135">
        <v>33300</v>
      </c>
      <c r="W7" s="136">
        <f t="shared" si="0"/>
        <v>17</v>
      </c>
      <c r="X7" s="136">
        <f t="shared" si="0"/>
        <v>59</v>
      </c>
      <c r="Y7" s="137">
        <f t="shared" si="0"/>
        <v>206300</v>
      </c>
    </row>
    <row r="8" spans="2:25" x14ac:dyDescent="0.4">
      <c r="B8" s="186"/>
      <c r="C8" s="189"/>
      <c r="D8" s="97" t="s">
        <v>110</v>
      </c>
      <c r="E8" s="120">
        <v>1</v>
      </c>
      <c r="F8" s="120">
        <v>5</v>
      </c>
      <c r="G8" s="121">
        <v>20862</v>
      </c>
      <c r="H8" s="119">
        <v>5</v>
      </c>
      <c r="I8" s="122">
        <v>7</v>
      </c>
      <c r="J8" s="123">
        <v>39550</v>
      </c>
      <c r="K8" s="120">
        <v>4</v>
      </c>
      <c r="L8" s="119">
        <v>16</v>
      </c>
      <c r="M8" s="121">
        <v>55987</v>
      </c>
      <c r="N8" s="119">
        <v>1</v>
      </c>
      <c r="O8" s="119">
        <v>6</v>
      </c>
      <c r="P8" s="121">
        <v>25043</v>
      </c>
      <c r="Q8" s="119">
        <v>3</v>
      </c>
      <c r="R8" s="119">
        <v>12</v>
      </c>
      <c r="S8" s="121">
        <v>35581</v>
      </c>
      <c r="T8" s="119">
        <v>0</v>
      </c>
      <c r="U8" s="119">
        <v>13</v>
      </c>
      <c r="V8" s="121">
        <v>34721</v>
      </c>
      <c r="W8" s="123">
        <f t="shared" si="0"/>
        <v>14</v>
      </c>
      <c r="X8" s="123">
        <f t="shared" si="0"/>
        <v>59</v>
      </c>
      <c r="Y8" s="125">
        <f t="shared" si="0"/>
        <v>211744</v>
      </c>
    </row>
    <row r="9" spans="2:25" x14ac:dyDescent="0.4">
      <c r="B9" s="186"/>
      <c r="C9" s="189"/>
      <c r="D9" s="98" t="s">
        <v>106</v>
      </c>
      <c r="E9" s="99">
        <f>E8-E6</f>
        <v>-1</v>
      </c>
      <c r="F9" s="99">
        <f>F8-F6</f>
        <v>0</v>
      </c>
      <c r="G9" s="103">
        <f t="shared" ref="G9" si="1">G8-G6</f>
        <v>902</v>
      </c>
      <c r="H9" s="99">
        <f>H8-H6</f>
        <v>1</v>
      </c>
      <c r="I9" s="99">
        <f t="shared" ref="I9:J9" si="2">I8-I6</f>
        <v>0</v>
      </c>
      <c r="J9" s="103">
        <f t="shared" si="2"/>
        <v>2390</v>
      </c>
      <c r="K9" s="103">
        <f>K8-K6</f>
        <v>-3</v>
      </c>
      <c r="L9" s="99">
        <f t="shared" ref="L9:S9" si="3">L8-L6</f>
        <v>5</v>
      </c>
      <c r="M9" s="103">
        <f t="shared" si="3"/>
        <v>9381</v>
      </c>
      <c r="N9" s="99">
        <f>N8-N6</f>
        <v>-2</v>
      </c>
      <c r="O9" s="99">
        <f t="shared" si="3"/>
        <v>0</v>
      </c>
      <c r="P9" s="103">
        <f t="shared" si="3"/>
        <v>607</v>
      </c>
      <c r="Q9" s="99">
        <f>Q8-Q6</f>
        <v>-4</v>
      </c>
      <c r="R9" s="99">
        <f t="shared" si="3"/>
        <v>1</v>
      </c>
      <c r="S9" s="103">
        <f t="shared" si="3"/>
        <v>-4761</v>
      </c>
      <c r="T9" s="99">
        <f>T8-T6</f>
        <v>-8</v>
      </c>
      <c r="U9" s="99">
        <f t="shared" ref="U9:V9" si="4">U8-U6</f>
        <v>9</v>
      </c>
      <c r="V9" s="103">
        <f t="shared" si="4"/>
        <v>1464</v>
      </c>
      <c r="W9" s="99">
        <f>W8-W6</f>
        <v>-17</v>
      </c>
      <c r="X9" s="99">
        <f t="shared" ref="X9:Y9" si="5">X8-X6</f>
        <v>15</v>
      </c>
      <c r="Y9" s="107">
        <f t="shared" si="5"/>
        <v>9983</v>
      </c>
    </row>
    <row r="10" spans="2:25" x14ac:dyDescent="0.4">
      <c r="B10" s="186"/>
      <c r="C10" s="190"/>
      <c r="D10" s="100" t="s">
        <v>107</v>
      </c>
      <c r="E10" s="223">
        <f>IF(G6&lt;&gt;0,IF(G8&lt;&gt;0, G8/G6, 0),0)</f>
        <v>1.045190380761523</v>
      </c>
      <c r="F10" s="224"/>
      <c r="G10" s="225"/>
      <c r="H10" s="223">
        <f>IF(J6&lt;&gt;0,IF(J8&lt;&gt;0, J8/J6, 0),0)</f>
        <v>1.0643164693218514</v>
      </c>
      <c r="I10" s="224"/>
      <c r="J10" s="225"/>
      <c r="K10" s="223">
        <f>IF(M6&lt;&gt;0,IF(M8&lt;&gt;0, M8/M6, 0),0)</f>
        <v>1.2012830965970047</v>
      </c>
      <c r="L10" s="224"/>
      <c r="M10" s="225"/>
      <c r="N10" s="223">
        <f>IF(P6&lt;&gt;0,IF(P8&lt;&gt;0, P8/P6, 0),0)</f>
        <v>1.0248403994107056</v>
      </c>
      <c r="O10" s="224"/>
      <c r="P10" s="225"/>
      <c r="Q10" s="223">
        <f>IF(S6&lt;&gt;0,IF(S8&lt;&gt;0, S8/S6, 0),0)</f>
        <v>0.88198403648802737</v>
      </c>
      <c r="R10" s="224"/>
      <c r="S10" s="225"/>
      <c r="T10" s="223">
        <f>IF(V6&lt;&gt;0,IF(V8&lt;&gt;0, V8/V6, 0),0)</f>
        <v>1.0440208076495174</v>
      </c>
      <c r="U10" s="224"/>
      <c r="V10" s="225"/>
      <c r="W10" s="223">
        <f>IF(Y6&lt;&gt;0,IF(Y8&lt;&gt;0, Y8/Y6, 0),0)</f>
        <v>1.049479334460079</v>
      </c>
      <c r="X10" s="224"/>
      <c r="Y10" s="226"/>
    </row>
    <row r="11" spans="2:25" x14ac:dyDescent="0.4">
      <c r="B11" s="186"/>
      <c r="C11" s="197" t="s">
        <v>108</v>
      </c>
      <c r="D11" s="104" t="s">
        <v>103</v>
      </c>
      <c r="E11" s="208">
        <v>-6924</v>
      </c>
      <c r="F11" s="208"/>
      <c r="G11" s="213"/>
      <c r="H11" s="208">
        <v>-749</v>
      </c>
      <c r="I11" s="208"/>
      <c r="J11" s="213"/>
      <c r="K11" s="208">
        <v>3861</v>
      </c>
      <c r="L11" s="208"/>
      <c r="M11" s="213"/>
      <c r="N11" s="217">
        <v>2283</v>
      </c>
      <c r="O11" s="208"/>
      <c r="P11" s="213"/>
      <c r="Q11" s="217">
        <v>4613</v>
      </c>
      <c r="R11" s="208"/>
      <c r="S11" s="213"/>
      <c r="T11" s="208">
        <v>-11356</v>
      </c>
      <c r="U11" s="208"/>
      <c r="V11" s="213"/>
      <c r="W11" s="208">
        <f>SUM(E11,H11,K11,N11,Q11,T11)</f>
        <v>-8272</v>
      </c>
      <c r="X11" s="208"/>
      <c r="Y11" s="209"/>
    </row>
    <row r="12" spans="2:25" x14ac:dyDescent="0.4">
      <c r="B12" s="186"/>
      <c r="C12" s="198"/>
      <c r="D12" s="138" t="s">
        <v>109</v>
      </c>
      <c r="E12" s="210">
        <v>-8400</v>
      </c>
      <c r="F12" s="210"/>
      <c r="G12" s="214"/>
      <c r="H12" s="210">
        <v>70</v>
      </c>
      <c r="I12" s="210"/>
      <c r="J12" s="214"/>
      <c r="K12" s="210">
        <v>4000</v>
      </c>
      <c r="L12" s="210"/>
      <c r="M12" s="214"/>
      <c r="N12" s="218">
        <v>2300</v>
      </c>
      <c r="O12" s="210"/>
      <c r="P12" s="214"/>
      <c r="Q12" s="218">
        <v>-1000</v>
      </c>
      <c r="R12" s="210"/>
      <c r="S12" s="214"/>
      <c r="T12" s="210">
        <v>-7000</v>
      </c>
      <c r="U12" s="210"/>
      <c r="V12" s="214"/>
      <c r="W12" s="210">
        <f>SUM(E12,H12,K12,N12,Q12,T12)</f>
        <v>-10030</v>
      </c>
      <c r="X12" s="210"/>
      <c r="Y12" s="211"/>
    </row>
    <row r="13" spans="2:25" x14ac:dyDescent="0.4">
      <c r="B13" s="186"/>
      <c r="C13" s="198"/>
      <c r="D13" s="98" t="s">
        <v>106</v>
      </c>
      <c r="E13" s="195">
        <f t="shared" ref="E13" si="6">E12-E11</f>
        <v>-1476</v>
      </c>
      <c r="F13" s="195"/>
      <c r="G13" s="196"/>
      <c r="H13" s="195">
        <f t="shared" ref="H13" si="7">H12-H11</f>
        <v>819</v>
      </c>
      <c r="I13" s="195"/>
      <c r="J13" s="196"/>
      <c r="K13" s="195">
        <f t="shared" ref="K13" si="8">K12-K11</f>
        <v>139</v>
      </c>
      <c r="L13" s="195"/>
      <c r="M13" s="196"/>
      <c r="N13" s="227">
        <f>N12-N11</f>
        <v>17</v>
      </c>
      <c r="O13" s="195"/>
      <c r="P13" s="196"/>
      <c r="Q13" s="227">
        <f>Q12-Q11</f>
        <v>-5613</v>
      </c>
      <c r="R13" s="195"/>
      <c r="S13" s="196"/>
      <c r="T13" s="195">
        <f t="shared" ref="T13" si="9">T12-T11</f>
        <v>4356</v>
      </c>
      <c r="U13" s="195"/>
      <c r="V13" s="196"/>
      <c r="W13" s="195">
        <f t="shared" ref="W13" si="10">W12-W11</f>
        <v>-1758</v>
      </c>
      <c r="X13" s="195"/>
      <c r="Y13" s="212"/>
    </row>
    <row r="14" spans="2:25" ht="19.5" thickBot="1" x14ac:dyDescent="0.45">
      <c r="B14" s="187"/>
      <c r="C14" s="199"/>
      <c r="D14" s="102" t="s">
        <v>107</v>
      </c>
      <c r="E14" s="206">
        <f>IF(E11&lt;&gt;0,IF(E12&lt;&gt;0,E12/E11,0),0)</f>
        <v>1.2131715771230502</v>
      </c>
      <c r="F14" s="206"/>
      <c r="G14" s="215"/>
      <c r="H14" s="206">
        <f>IF(H11&lt;&gt;0,IF(H12&lt;&gt;0,H12/H11,0),0)</f>
        <v>-9.3457943925233641E-2</v>
      </c>
      <c r="I14" s="206"/>
      <c r="J14" s="215"/>
      <c r="K14" s="206">
        <f>IF(K11&lt;&gt;0,IF(K12&lt;&gt;0,K12/K11,0),0)</f>
        <v>1.0360010360010361</v>
      </c>
      <c r="L14" s="206"/>
      <c r="M14" s="215"/>
      <c r="N14" s="216">
        <f>IF(N11&lt;&gt;0,IF(N12&lt;&gt;0,N12/N11,0),0)</f>
        <v>1.0074463425317564</v>
      </c>
      <c r="O14" s="206"/>
      <c r="P14" s="215"/>
      <c r="Q14" s="216">
        <f>IF(Q11&lt;&gt;0,IF(Q12&lt;&gt;0,Q12/Q11,0),0)</f>
        <v>-0.21677866897897247</v>
      </c>
      <c r="R14" s="206"/>
      <c r="S14" s="215"/>
      <c r="T14" s="206">
        <f>IF(T11&lt;&gt;0,IF(T12&lt;&gt;0,T12/T11,0),0)</f>
        <v>0.61641423036280385</v>
      </c>
      <c r="U14" s="206"/>
      <c r="V14" s="215"/>
      <c r="W14" s="206">
        <f>IF(W11&lt;&gt;0,IF(W12&lt;&gt;0,W12/W11,0),0)</f>
        <v>1.2125241779497098</v>
      </c>
      <c r="X14" s="206"/>
      <c r="Y14" s="207"/>
    </row>
    <row r="15" spans="2:25" ht="18.75" customHeight="1" x14ac:dyDescent="0.4">
      <c r="B15" s="185" t="s">
        <v>119</v>
      </c>
      <c r="C15" s="188" t="s">
        <v>102</v>
      </c>
      <c r="D15" s="94" t="s">
        <v>103</v>
      </c>
      <c r="E15" s="116">
        <v>1</v>
      </c>
      <c r="F15" s="116">
        <v>5</v>
      </c>
      <c r="G15" s="117">
        <v>18514</v>
      </c>
      <c r="H15" s="116">
        <v>4</v>
      </c>
      <c r="I15" s="118">
        <v>7</v>
      </c>
      <c r="J15" s="116">
        <v>37236</v>
      </c>
      <c r="K15" s="117">
        <v>7</v>
      </c>
      <c r="L15" s="116">
        <v>10</v>
      </c>
      <c r="M15" s="117">
        <v>46757</v>
      </c>
      <c r="N15" s="116">
        <v>3</v>
      </c>
      <c r="O15" s="116">
        <v>6</v>
      </c>
      <c r="P15" s="117">
        <v>24552</v>
      </c>
      <c r="Q15" s="116">
        <v>7</v>
      </c>
      <c r="R15" s="116">
        <v>11</v>
      </c>
      <c r="S15" s="117">
        <v>41796</v>
      </c>
      <c r="T15" s="116">
        <v>9</v>
      </c>
      <c r="U15" s="116">
        <v>5</v>
      </c>
      <c r="V15" s="117">
        <v>36561</v>
      </c>
      <c r="W15" s="116">
        <f t="shared" ref="W15:Y16" si="11">E15+H15+K15+N15+Q15+T15</f>
        <v>31</v>
      </c>
      <c r="X15" s="116">
        <f t="shared" si="11"/>
        <v>44</v>
      </c>
      <c r="Y15" s="124">
        <f t="shared" si="11"/>
        <v>205416</v>
      </c>
    </row>
    <row r="16" spans="2:25" x14ac:dyDescent="0.4">
      <c r="B16" s="186"/>
      <c r="C16" s="189"/>
      <c r="D16" s="97" t="s">
        <v>110</v>
      </c>
      <c r="E16" s="120">
        <v>0</v>
      </c>
      <c r="F16" s="120">
        <v>1</v>
      </c>
      <c r="G16" s="121">
        <v>1193</v>
      </c>
      <c r="H16" s="119">
        <v>1</v>
      </c>
      <c r="I16" s="122">
        <v>2</v>
      </c>
      <c r="J16" s="123">
        <v>6775</v>
      </c>
      <c r="K16" s="120">
        <v>2</v>
      </c>
      <c r="L16" s="119">
        <v>5</v>
      </c>
      <c r="M16" s="121">
        <v>11933</v>
      </c>
      <c r="N16" s="119">
        <v>0</v>
      </c>
      <c r="O16" s="119">
        <v>3</v>
      </c>
      <c r="P16" s="121">
        <v>6344</v>
      </c>
      <c r="Q16" s="119">
        <v>0</v>
      </c>
      <c r="R16" s="119">
        <v>2</v>
      </c>
      <c r="S16" s="121">
        <v>2108</v>
      </c>
      <c r="T16" s="119">
        <v>2</v>
      </c>
      <c r="U16" s="119">
        <v>6</v>
      </c>
      <c r="V16" s="121">
        <v>14958</v>
      </c>
      <c r="W16" s="123">
        <f t="shared" si="11"/>
        <v>5</v>
      </c>
      <c r="X16" s="123">
        <f t="shared" si="11"/>
        <v>19</v>
      </c>
      <c r="Y16" s="125">
        <f t="shared" si="11"/>
        <v>43311</v>
      </c>
    </row>
    <row r="17" spans="2:25" x14ac:dyDescent="0.4">
      <c r="B17" s="186"/>
      <c r="C17" s="189"/>
      <c r="D17" s="98" t="s">
        <v>106</v>
      </c>
      <c r="E17" s="99">
        <f t="shared" ref="E17:Y17" si="12">E16-E15</f>
        <v>-1</v>
      </c>
      <c r="F17" s="99">
        <f t="shared" si="12"/>
        <v>-4</v>
      </c>
      <c r="G17" s="103">
        <f t="shared" si="12"/>
        <v>-17321</v>
      </c>
      <c r="H17" s="99">
        <f t="shared" si="12"/>
        <v>-3</v>
      </c>
      <c r="I17" s="99">
        <f t="shared" si="12"/>
        <v>-5</v>
      </c>
      <c r="J17" s="103">
        <f t="shared" si="12"/>
        <v>-30461</v>
      </c>
      <c r="K17" s="103">
        <f t="shared" si="12"/>
        <v>-5</v>
      </c>
      <c r="L17" s="99">
        <f t="shared" si="12"/>
        <v>-5</v>
      </c>
      <c r="M17" s="103">
        <f t="shared" si="12"/>
        <v>-34824</v>
      </c>
      <c r="N17" s="99">
        <f t="shared" si="12"/>
        <v>-3</v>
      </c>
      <c r="O17" s="99">
        <f t="shared" si="12"/>
        <v>-3</v>
      </c>
      <c r="P17" s="103">
        <f t="shared" si="12"/>
        <v>-18208</v>
      </c>
      <c r="Q17" s="99">
        <f t="shared" si="12"/>
        <v>-7</v>
      </c>
      <c r="R17" s="99">
        <f t="shared" si="12"/>
        <v>-9</v>
      </c>
      <c r="S17" s="103">
        <f t="shared" si="12"/>
        <v>-39688</v>
      </c>
      <c r="T17" s="99">
        <f t="shared" si="12"/>
        <v>-7</v>
      </c>
      <c r="U17" s="99">
        <f t="shared" si="12"/>
        <v>1</v>
      </c>
      <c r="V17" s="103">
        <f t="shared" si="12"/>
        <v>-21603</v>
      </c>
      <c r="W17" s="99">
        <f t="shared" si="12"/>
        <v>-26</v>
      </c>
      <c r="X17" s="99">
        <f t="shared" si="12"/>
        <v>-25</v>
      </c>
      <c r="Y17" s="107">
        <f t="shared" si="12"/>
        <v>-162105</v>
      </c>
    </row>
    <row r="18" spans="2:25" x14ac:dyDescent="0.4">
      <c r="B18" s="186"/>
      <c r="C18" s="190"/>
      <c r="D18" s="100" t="s">
        <v>107</v>
      </c>
      <c r="E18" s="223">
        <f>IF(G15&lt;&gt;0,IF(G16&lt;&gt;0, G16/G15, 0),0)</f>
        <v>6.4437722804364259E-2</v>
      </c>
      <c r="F18" s="224"/>
      <c r="G18" s="225"/>
      <c r="H18" s="223">
        <f>IF(J15&lt;&gt;0,IF(J16&lt;&gt;0, J16/J15, 0),0)</f>
        <v>0.18194757761306263</v>
      </c>
      <c r="I18" s="224"/>
      <c r="J18" s="225"/>
      <c r="K18" s="223">
        <f>IF(M15&lt;&gt;0,IF(M16&lt;&gt;0, M16/M15, 0),0)</f>
        <v>0.25521312316872341</v>
      </c>
      <c r="L18" s="224"/>
      <c r="M18" s="225"/>
      <c r="N18" s="223">
        <f>IF(P15&lt;&gt;0,IF(P16&lt;&gt;0, P16/P15, 0),0)</f>
        <v>0.25839035516454872</v>
      </c>
      <c r="O18" s="224"/>
      <c r="P18" s="225"/>
      <c r="Q18" s="223">
        <f>IF(S15&lt;&gt;0,IF(S16&lt;&gt;0, S16/S15, 0),0)</f>
        <v>5.0435448368264905E-2</v>
      </c>
      <c r="R18" s="224"/>
      <c r="S18" s="225"/>
      <c r="T18" s="223">
        <f>IF(V15&lt;&gt;0,IF(V16&lt;&gt;0, V16/V15, 0),0)</f>
        <v>0.40912447690161646</v>
      </c>
      <c r="U18" s="224"/>
      <c r="V18" s="225"/>
      <c r="W18" s="223">
        <f>IF(Y15&lt;&gt;0,IF(Y16&lt;&gt;0, Y16/Y15, 0),0)</f>
        <v>0.2108453090314289</v>
      </c>
      <c r="X18" s="224"/>
      <c r="Y18" s="226"/>
    </row>
    <row r="19" spans="2:25" ht="19.5" thickBot="1" x14ac:dyDescent="0.45">
      <c r="B19" s="187"/>
      <c r="C19" s="142" t="s">
        <v>108</v>
      </c>
      <c r="D19" s="141" t="s">
        <v>103</v>
      </c>
      <c r="E19" s="219">
        <v>-13673</v>
      </c>
      <c r="F19" s="219"/>
      <c r="G19" s="220"/>
      <c r="H19" s="219">
        <v>-7998</v>
      </c>
      <c r="I19" s="219"/>
      <c r="J19" s="220"/>
      <c r="K19" s="219">
        <v>-5759</v>
      </c>
      <c r="L19" s="219"/>
      <c r="M19" s="220"/>
      <c r="N19" s="221">
        <v>-2356</v>
      </c>
      <c r="O19" s="219"/>
      <c r="P19" s="220"/>
      <c r="Q19" s="221">
        <v>-1209</v>
      </c>
      <c r="R19" s="219"/>
      <c r="S19" s="220"/>
      <c r="T19" s="219">
        <v>-4689</v>
      </c>
      <c r="U19" s="219"/>
      <c r="V19" s="220"/>
      <c r="W19" s="219">
        <f>SUM(E19,H19,K19,N19,Q19,T19)</f>
        <v>-35684</v>
      </c>
      <c r="X19" s="219"/>
      <c r="Y19" s="222"/>
    </row>
    <row r="21" spans="2:25" x14ac:dyDescent="0.4">
      <c r="Y21" s="93" t="s">
        <v>141</v>
      </c>
    </row>
    <row r="23" spans="2:25" x14ac:dyDescent="0.4">
      <c r="T23" s="183"/>
    </row>
  </sheetData>
  <dataConsolidate/>
  <mergeCells count="62">
    <mergeCell ref="E10:G10"/>
    <mergeCell ref="H10:J10"/>
    <mergeCell ref="K10:M10"/>
    <mergeCell ref="N10:P10"/>
    <mergeCell ref="Q10:S10"/>
    <mergeCell ref="T10:V10"/>
    <mergeCell ref="W10:Y10"/>
    <mergeCell ref="E18:G18"/>
    <mergeCell ref="H18:J18"/>
    <mergeCell ref="K18:M18"/>
    <mergeCell ref="N18:P18"/>
    <mergeCell ref="Q18:S18"/>
    <mergeCell ref="T18:V18"/>
    <mergeCell ref="W18:Y18"/>
    <mergeCell ref="H13:J13"/>
    <mergeCell ref="K13:M13"/>
    <mergeCell ref="N13:P13"/>
    <mergeCell ref="Q13:S13"/>
    <mergeCell ref="T13:V13"/>
    <mergeCell ref="K11:M11"/>
    <mergeCell ref="K12:M12"/>
    <mergeCell ref="E19:G19"/>
    <mergeCell ref="H19:J19"/>
    <mergeCell ref="K19:M19"/>
    <mergeCell ref="N19:P19"/>
    <mergeCell ref="W19:Y19"/>
    <mergeCell ref="Q19:S19"/>
    <mergeCell ref="T19:V19"/>
    <mergeCell ref="N11:P11"/>
    <mergeCell ref="N12:P12"/>
    <mergeCell ref="Q11:S11"/>
    <mergeCell ref="Q12:S12"/>
    <mergeCell ref="E11:G11"/>
    <mergeCell ref="E12:G12"/>
    <mergeCell ref="H11:J11"/>
    <mergeCell ref="H12:J12"/>
    <mergeCell ref="E14:G14"/>
    <mergeCell ref="H14:J14"/>
    <mergeCell ref="K14:M14"/>
    <mergeCell ref="N14:P14"/>
    <mergeCell ref="Q14:S14"/>
    <mergeCell ref="W12:Y12"/>
    <mergeCell ref="W13:Y13"/>
    <mergeCell ref="T11:V11"/>
    <mergeCell ref="T12:V12"/>
    <mergeCell ref="T14:V14"/>
    <mergeCell ref="B15:B19"/>
    <mergeCell ref="C15:C18"/>
    <mergeCell ref="W4:Y4"/>
    <mergeCell ref="Q4:S4"/>
    <mergeCell ref="T4:V4"/>
    <mergeCell ref="E4:G4"/>
    <mergeCell ref="H4:J4"/>
    <mergeCell ref="K4:M4"/>
    <mergeCell ref="N4:P4"/>
    <mergeCell ref="E13:G13"/>
    <mergeCell ref="C6:C10"/>
    <mergeCell ref="C11:C14"/>
    <mergeCell ref="B6:B14"/>
    <mergeCell ref="B4:D5"/>
    <mergeCell ref="W14:Y14"/>
    <mergeCell ref="W11:Y11"/>
  </mergeCells>
  <phoneticPr fontId="1"/>
  <pageMargins left="0.25" right="0.25" top="0.75" bottom="0.75" header="0.3" footer="0.3"/>
  <pageSetup paperSize="9"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更新_Click">
                <anchor moveWithCells="1" sizeWithCells="1">
                  <from>
                    <xdr:col>16</xdr:col>
                    <xdr:colOff>276225</xdr:colOff>
                    <xdr:row>1</xdr:row>
                    <xdr:rowOff>0</xdr:rowOff>
                  </from>
                  <to>
                    <xdr:col>21</xdr:col>
                    <xdr:colOff>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9E2EB-C070-44B9-B079-1AA4B01E9BC6}">
  <sheetPr codeName="Sheet5"/>
  <dimension ref="B2:Y181"/>
  <sheetViews>
    <sheetView zoomScale="85" zoomScaleNormal="85" workbookViewId="0">
      <pane ySplit="5" topLeftCell="A6" activePane="bottomLeft" state="frozen"/>
      <selection pane="bottomLeft" activeCell="D8" sqref="D8"/>
    </sheetView>
  </sheetViews>
  <sheetFormatPr defaultRowHeight="18.75" x14ac:dyDescent="0.4"/>
  <cols>
    <col min="1" max="1" width="1.875" customWidth="1"/>
    <col min="2" max="2" width="11.625" customWidth="1"/>
    <col min="3" max="3" width="8" bestFit="1" customWidth="1"/>
    <col min="4" max="4" width="6.375" bestFit="1" customWidth="1"/>
    <col min="5" max="5" width="4.5" bestFit="1" customWidth="1"/>
    <col min="6" max="6" width="5.75" bestFit="1" customWidth="1"/>
    <col min="7" max="7" width="9.25" bestFit="1" customWidth="1"/>
    <col min="8" max="8" width="4.5" bestFit="1" customWidth="1"/>
    <col min="9" max="9" width="5.75" bestFit="1" customWidth="1"/>
    <col min="10" max="10" width="9.25" bestFit="1" customWidth="1"/>
    <col min="11" max="11" width="5.25" bestFit="1" customWidth="1"/>
    <col min="12" max="12" width="5.75" bestFit="1" customWidth="1"/>
    <col min="13" max="13" width="9.25" bestFit="1" customWidth="1"/>
    <col min="14" max="14" width="4.5" bestFit="1" customWidth="1"/>
    <col min="15" max="15" width="5.75" bestFit="1" customWidth="1"/>
    <col min="16" max="16" width="9.25" bestFit="1" customWidth="1"/>
    <col min="17" max="17" width="4.5" bestFit="1" customWidth="1"/>
    <col min="18" max="18" width="5.75" bestFit="1" customWidth="1"/>
    <col min="19" max="19" width="9.25" bestFit="1" customWidth="1"/>
    <col min="20" max="20" width="4.5" bestFit="1" customWidth="1"/>
    <col min="21" max="21" width="5.75" bestFit="1" customWidth="1"/>
    <col min="22" max="22" width="9.25" bestFit="1" customWidth="1"/>
    <col min="23" max="23" width="5.625" bestFit="1" customWidth="1"/>
    <col min="24" max="24" width="5.75" bestFit="1" customWidth="1"/>
    <col min="25" max="25" width="11" bestFit="1" customWidth="1"/>
    <col min="26" max="26" width="2.5" bestFit="1" customWidth="1"/>
  </cols>
  <sheetData>
    <row r="2" spans="2:25" ht="22.5" x14ac:dyDescent="0.4">
      <c r="B2" s="92" t="s">
        <v>121</v>
      </c>
      <c r="D2" s="1"/>
      <c r="G2" s="111"/>
      <c r="H2" s="110"/>
      <c r="M2" s="93"/>
      <c r="Y2" s="113" t="s">
        <v>3226</v>
      </c>
    </row>
    <row r="3" spans="2:25" ht="19.5" thickBot="1" x14ac:dyDescent="0.45">
      <c r="B3" s="115" t="s">
        <v>116</v>
      </c>
      <c r="Y3" s="112" t="s">
        <v>111</v>
      </c>
    </row>
    <row r="4" spans="2:25" x14ac:dyDescent="0.4">
      <c r="B4" s="200" t="s">
        <v>97</v>
      </c>
      <c r="C4" s="201"/>
      <c r="D4" s="202"/>
      <c r="E4" s="191" t="s">
        <v>114</v>
      </c>
      <c r="F4" s="192"/>
      <c r="G4" s="194"/>
      <c r="H4" s="191" t="s">
        <v>113</v>
      </c>
      <c r="I4" s="192"/>
      <c r="J4" s="194"/>
      <c r="K4" s="191" t="s">
        <v>112</v>
      </c>
      <c r="L4" s="192"/>
      <c r="M4" s="194"/>
      <c r="N4" s="191" t="s">
        <v>42</v>
      </c>
      <c r="O4" s="192"/>
      <c r="P4" s="194"/>
      <c r="Q4" s="191" t="s">
        <v>43</v>
      </c>
      <c r="R4" s="192"/>
      <c r="S4" s="194"/>
      <c r="T4" s="191" t="s">
        <v>115</v>
      </c>
      <c r="U4" s="192"/>
      <c r="V4" s="194"/>
      <c r="W4" s="191" t="s">
        <v>98</v>
      </c>
      <c r="X4" s="192"/>
      <c r="Y4" s="193"/>
    </row>
    <row r="5" spans="2:25" ht="19.5" thickBot="1" x14ac:dyDescent="0.45">
      <c r="B5" s="203"/>
      <c r="C5" s="204"/>
      <c r="D5" s="205"/>
      <c r="E5" s="130" t="s">
        <v>100</v>
      </c>
      <c r="F5" s="132" t="s">
        <v>99</v>
      </c>
      <c r="G5" s="131"/>
      <c r="H5" s="130" t="s">
        <v>100</v>
      </c>
      <c r="I5" s="132" t="s">
        <v>101</v>
      </c>
      <c r="J5" s="131"/>
      <c r="K5" s="130" t="s">
        <v>100</v>
      </c>
      <c r="L5" s="132" t="s">
        <v>101</v>
      </c>
      <c r="M5" s="131"/>
      <c r="N5" s="130" t="s">
        <v>100</v>
      </c>
      <c r="O5" s="132" t="s">
        <v>101</v>
      </c>
      <c r="P5" s="131"/>
      <c r="Q5" s="130" t="s">
        <v>100</v>
      </c>
      <c r="R5" s="132" t="s">
        <v>101</v>
      </c>
      <c r="S5" s="131"/>
      <c r="T5" s="130" t="s">
        <v>100</v>
      </c>
      <c r="U5" s="132" t="s">
        <v>101</v>
      </c>
      <c r="V5" s="131"/>
      <c r="W5" s="130" t="s">
        <v>100</v>
      </c>
      <c r="X5" s="132" t="s">
        <v>101</v>
      </c>
      <c r="Y5" s="109"/>
    </row>
    <row r="6" spans="2:25" x14ac:dyDescent="0.4">
      <c r="B6" s="185" t="s">
        <v>122</v>
      </c>
      <c r="C6" s="188" t="s">
        <v>102</v>
      </c>
      <c r="D6" s="94" t="s">
        <v>103</v>
      </c>
      <c r="E6" s="157">
        <v>1</v>
      </c>
      <c r="F6" s="157">
        <v>6</v>
      </c>
      <c r="G6" s="157">
        <v>20400</v>
      </c>
      <c r="H6" s="157">
        <v>4</v>
      </c>
      <c r="I6" s="157">
        <v>12</v>
      </c>
      <c r="J6" s="157">
        <v>40021</v>
      </c>
      <c r="K6" s="157">
        <v>5</v>
      </c>
      <c r="L6" s="157">
        <v>11</v>
      </c>
      <c r="M6" s="157">
        <v>43235</v>
      </c>
      <c r="N6" s="161">
        <v>2</v>
      </c>
      <c r="O6" s="161">
        <v>7</v>
      </c>
      <c r="P6" s="161">
        <v>23750</v>
      </c>
      <c r="Q6" s="161">
        <v>4</v>
      </c>
      <c r="R6" s="161">
        <v>8</v>
      </c>
      <c r="S6" s="161">
        <v>30803</v>
      </c>
      <c r="T6" s="157">
        <v>7</v>
      </c>
      <c r="U6" s="157">
        <v>4</v>
      </c>
      <c r="V6" s="157">
        <v>33940</v>
      </c>
      <c r="W6" s="157">
        <f t="shared" ref="W6:X8" si="0">E6+H6+K6+N6+Q6+T6</f>
        <v>23</v>
      </c>
      <c r="X6" s="157">
        <f t="shared" si="0"/>
        <v>48</v>
      </c>
      <c r="Y6" s="163">
        <f>G6+J6+P6+S6+M6+V6</f>
        <v>192149</v>
      </c>
    </row>
    <row r="7" spans="2:25" s="96" customFormat="1" ht="18" x14ac:dyDescent="0.4">
      <c r="B7" s="186"/>
      <c r="C7" s="189"/>
      <c r="D7" s="95" t="s">
        <v>104</v>
      </c>
      <c r="E7" s="158">
        <v>3</v>
      </c>
      <c r="F7" s="158">
        <v>6</v>
      </c>
      <c r="G7" s="158">
        <v>26253</v>
      </c>
      <c r="H7" s="158">
        <v>4</v>
      </c>
      <c r="I7" s="158">
        <v>14</v>
      </c>
      <c r="J7" s="158">
        <v>48015</v>
      </c>
      <c r="K7" s="158">
        <v>5</v>
      </c>
      <c r="L7" s="158">
        <v>11</v>
      </c>
      <c r="M7" s="158">
        <v>45620</v>
      </c>
      <c r="N7" s="158">
        <v>1</v>
      </c>
      <c r="O7" s="158">
        <v>8</v>
      </c>
      <c r="P7" s="158">
        <v>25000</v>
      </c>
      <c r="Q7" s="158">
        <v>8</v>
      </c>
      <c r="R7" s="158">
        <v>0</v>
      </c>
      <c r="S7" s="158">
        <v>32500</v>
      </c>
      <c r="T7" s="158">
        <v>4</v>
      </c>
      <c r="U7" s="158">
        <v>7</v>
      </c>
      <c r="V7" s="158">
        <v>29000</v>
      </c>
      <c r="W7" s="164">
        <f t="shared" si="0"/>
        <v>25</v>
      </c>
      <c r="X7" s="164">
        <f t="shared" si="0"/>
        <v>46</v>
      </c>
      <c r="Y7" s="165">
        <f>G7+J7+P7+S7+M7+V7</f>
        <v>206388</v>
      </c>
    </row>
    <row r="8" spans="2:25" x14ac:dyDescent="0.4">
      <c r="B8" s="232"/>
      <c r="C8" s="189"/>
      <c r="D8" s="97" t="s">
        <v>105</v>
      </c>
      <c r="E8" s="159">
        <v>1</v>
      </c>
      <c r="F8" s="159">
        <v>7</v>
      </c>
      <c r="G8" s="159">
        <v>23021</v>
      </c>
      <c r="H8" s="159">
        <v>3</v>
      </c>
      <c r="I8" s="159">
        <v>14</v>
      </c>
      <c r="J8" s="159">
        <v>46101</v>
      </c>
      <c r="K8" s="159">
        <v>4</v>
      </c>
      <c r="L8" s="159">
        <v>11</v>
      </c>
      <c r="M8" s="159">
        <v>44487</v>
      </c>
      <c r="N8" s="162">
        <v>1</v>
      </c>
      <c r="O8" s="162">
        <v>8</v>
      </c>
      <c r="P8" s="159">
        <v>25496</v>
      </c>
      <c r="Q8" s="162">
        <v>7</v>
      </c>
      <c r="R8" s="162">
        <v>4</v>
      </c>
      <c r="S8" s="159">
        <v>30183</v>
      </c>
      <c r="T8" s="159">
        <v>3</v>
      </c>
      <c r="U8" s="159">
        <v>7</v>
      </c>
      <c r="V8" s="159">
        <v>28420</v>
      </c>
      <c r="W8" s="159">
        <f t="shared" si="0"/>
        <v>19</v>
      </c>
      <c r="X8" s="159">
        <f t="shared" si="0"/>
        <v>51</v>
      </c>
      <c r="Y8" s="166">
        <f>G8+J8+M8+P8+S8+V8</f>
        <v>197708</v>
      </c>
    </row>
    <row r="9" spans="2:25" x14ac:dyDescent="0.4">
      <c r="B9" s="232"/>
      <c r="C9" s="189"/>
      <c r="D9" s="98" t="s">
        <v>106</v>
      </c>
      <c r="E9" s="160">
        <f>E8-E6</f>
        <v>0</v>
      </c>
      <c r="F9" s="160">
        <f>F8-F6</f>
        <v>1</v>
      </c>
      <c r="G9" s="160">
        <f t="shared" ref="G9:M9" si="1">G8-G6</f>
        <v>2621</v>
      </c>
      <c r="H9" s="160">
        <f>H8-H6</f>
        <v>-1</v>
      </c>
      <c r="I9" s="160">
        <f t="shared" si="1"/>
        <v>2</v>
      </c>
      <c r="J9" s="160">
        <f t="shared" si="1"/>
        <v>6080</v>
      </c>
      <c r="K9" s="160">
        <f>K8-K6</f>
        <v>-1</v>
      </c>
      <c r="L9" s="160">
        <f t="shared" si="1"/>
        <v>0</v>
      </c>
      <c r="M9" s="160">
        <f t="shared" si="1"/>
        <v>1252</v>
      </c>
      <c r="N9" s="160">
        <f>N8-N6</f>
        <v>-1</v>
      </c>
      <c r="O9" s="160">
        <f t="shared" ref="O9:P9" si="2">O8-O6</f>
        <v>1</v>
      </c>
      <c r="P9" s="160">
        <f t="shared" si="2"/>
        <v>1746</v>
      </c>
      <c r="Q9" s="160">
        <f>Q8-Q6</f>
        <v>3</v>
      </c>
      <c r="R9" s="160">
        <f t="shared" ref="R9:S9" si="3">R8-R6</f>
        <v>-4</v>
      </c>
      <c r="S9" s="160">
        <f t="shared" si="3"/>
        <v>-620</v>
      </c>
      <c r="T9" s="160">
        <f>T8-T6</f>
        <v>-4</v>
      </c>
      <c r="U9" s="160">
        <f t="shared" ref="U9:Y9" si="4">U8-U6</f>
        <v>3</v>
      </c>
      <c r="V9" s="160">
        <f t="shared" si="4"/>
        <v>-5520</v>
      </c>
      <c r="W9" s="160">
        <f t="shared" si="4"/>
        <v>-4</v>
      </c>
      <c r="X9" s="160">
        <f t="shared" si="4"/>
        <v>3</v>
      </c>
      <c r="Y9" s="167">
        <f t="shared" si="4"/>
        <v>5559</v>
      </c>
    </row>
    <row r="10" spans="2:25" x14ac:dyDescent="0.4">
      <c r="B10" s="232"/>
      <c r="C10" s="190"/>
      <c r="D10" s="100" t="s">
        <v>107</v>
      </c>
      <c r="E10" s="223">
        <f>IF(G6&lt;&gt;0,IF(G8&lt;&gt;0, G8/G6, 0),0)</f>
        <v>1.1284803921568627</v>
      </c>
      <c r="F10" s="224"/>
      <c r="G10" s="225"/>
      <c r="H10" s="223">
        <f>IF(J6&lt;&gt;0,IF(J8&lt;&gt;0, J8/J6, 0),0)</f>
        <v>1.1519202418730166</v>
      </c>
      <c r="I10" s="224"/>
      <c r="J10" s="225"/>
      <c r="K10" s="223">
        <f>IF(M6&lt;&gt;0,IF(M8&lt;&gt;0, M8/M6, 0),0)</f>
        <v>1.0289580201225859</v>
      </c>
      <c r="L10" s="224"/>
      <c r="M10" s="225"/>
      <c r="N10" s="223">
        <f>IF(P6&lt;&gt;0,IF(P8&lt;&gt;0, P8/P6, 0),0)</f>
        <v>1.0735157894736842</v>
      </c>
      <c r="O10" s="224"/>
      <c r="P10" s="225"/>
      <c r="Q10" s="223">
        <f>IF(S6&lt;&gt;0,IF(S8&lt;&gt;0, S8/S6, 0),0)</f>
        <v>0.97987209038080703</v>
      </c>
      <c r="R10" s="224"/>
      <c r="S10" s="225"/>
      <c r="T10" s="223">
        <f>IF(V6&lt;&gt;0,IF(V8&lt;&gt;0, V8/V6, 0),0)</f>
        <v>0.83736004714201528</v>
      </c>
      <c r="U10" s="224"/>
      <c r="V10" s="225"/>
      <c r="W10" s="223">
        <f>IF(Y6&lt;&gt;0,IF(Y8&lt;&gt;0, Y8/Y6, 0),0)</f>
        <v>1.028930673591848</v>
      </c>
      <c r="X10" s="224"/>
      <c r="Y10" s="226"/>
    </row>
    <row r="11" spans="2:25" x14ac:dyDescent="0.4">
      <c r="B11" s="232"/>
      <c r="C11" s="197" t="s">
        <v>108</v>
      </c>
      <c r="D11" s="129" t="s">
        <v>103</v>
      </c>
      <c r="E11" s="217">
        <v>-8988</v>
      </c>
      <c r="F11" s="208"/>
      <c r="G11" s="213"/>
      <c r="H11" s="217">
        <v>576</v>
      </c>
      <c r="I11" s="208"/>
      <c r="J11" s="213"/>
      <c r="K11" s="217">
        <v>-1349</v>
      </c>
      <c r="L11" s="208"/>
      <c r="M11" s="213"/>
      <c r="N11" s="217">
        <v>2984</v>
      </c>
      <c r="O11" s="208"/>
      <c r="P11" s="213"/>
      <c r="Q11" s="217">
        <v>-3589</v>
      </c>
      <c r="R11" s="208"/>
      <c r="S11" s="213"/>
      <c r="T11" s="217">
        <v>-4711</v>
      </c>
      <c r="U11" s="208"/>
      <c r="V11" s="213"/>
      <c r="W11" s="217">
        <f>E11+H11+K11+T11+N11+Q11</f>
        <v>-15077</v>
      </c>
      <c r="X11" s="208"/>
      <c r="Y11" s="209"/>
    </row>
    <row r="12" spans="2:25" s="96" customFormat="1" ht="18" x14ac:dyDescent="0.4">
      <c r="B12" s="232"/>
      <c r="C12" s="198"/>
      <c r="D12" s="101" t="s">
        <v>109</v>
      </c>
      <c r="E12" s="255">
        <v>-3248</v>
      </c>
      <c r="F12" s="256"/>
      <c r="G12" s="257"/>
      <c r="H12" s="255">
        <v>40471</v>
      </c>
      <c r="I12" s="256"/>
      <c r="J12" s="257"/>
      <c r="K12" s="255">
        <v>-1300</v>
      </c>
      <c r="L12" s="256"/>
      <c r="M12" s="257"/>
      <c r="N12" s="255">
        <v>3000</v>
      </c>
      <c r="O12" s="256"/>
      <c r="P12" s="257"/>
      <c r="Q12" s="255">
        <v>-3900</v>
      </c>
      <c r="R12" s="256"/>
      <c r="S12" s="257"/>
      <c r="T12" s="255">
        <v>-6000</v>
      </c>
      <c r="U12" s="256"/>
      <c r="V12" s="257"/>
      <c r="W12" s="234">
        <f>E12+H12+K12+T12+N12+Q12</f>
        <v>29023</v>
      </c>
      <c r="X12" s="235"/>
      <c r="Y12" s="237"/>
    </row>
    <row r="13" spans="2:25" x14ac:dyDescent="0.4">
      <c r="B13" s="232"/>
      <c r="C13" s="198"/>
      <c r="D13" s="97" t="s">
        <v>105</v>
      </c>
      <c r="E13" s="228">
        <v>-4389</v>
      </c>
      <c r="F13" s="229"/>
      <c r="G13" s="230"/>
      <c r="H13" s="228">
        <v>5989</v>
      </c>
      <c r="I13" s="229"/>
      <c r="J13" s="230"/>
      <c r="K13" s="228">
        <v>1236</v>
      </c>
      <c r="L13" s="229"/>
      <c r="M13" s="230"/>
      <c r="N13" s="228">
        <v>2945</v>
      </c>
      <c r="O13" s="229"/>
      <c r="P13" s="230"/>
      <c r="Q13" s="228">
        <v>-3589</v>
      </c>
      <c r="R13" s="229"/>
      <c r="S13" s="230"/>
      <c r="T13" s="228">
        <v>-3163</v>
      </c>
      <c r="U13" s="229"/>
      <c r="V13" s="230"/>
      <c r="W13" s="238">
        <f>E13+H13+K13+T13+N13+Q13</f>
        <v>-971</v>
      </c>
      <c r="X13" s="239"/>
      <c r="Y13" s="240"/>
    </row>
    <row r="14" spans="2:25" x14ac:dyDescent="0.4">
      <c r="B14" s="232"/>
      <c r="C14" s="198"/>
      <c r="D14" s="98" t="s">
        <v>106</v>
      </c>
      <c r="E14" s="227">
        <f>E13-E11</f>
        <v>4599</v>
      </c>
      <c r="F14" s="195"/>
      <c r="G14" s="196"/>
      <c r="H14" s="227">
        <f>H13-H11</f>
        <v>5413</v>
      </c>
      <c r="I14" s="195"/>
      <c r="J14" s="196"/>
      <c r="K14" s="227">
        <f>K13-K11</f>
        <v>2585</v>
      </c>
      <c r="L14" s="195"/>
      <c r="M14" s="196"/>
      <c r="N14" s="227">
        <f>N13-N11</f>
        <v>-39</v>
      </c>
      <c r="O14" s="195"/>
      <c r="P14" s="196"/>
      <c r="Q14" s="227">
        <f>Q13-Q11</f>
        <v>0</v>
      </c>
      <c r="R14" s="195"/>
      <c r="S14" s="196"/>
      <c r="T14" s="227">
        <f>T13-T11</f>
        <v>1548</v>
      </c>
      <c r="U14" s="195"/>
      <c r="V14" s="196"/>
      <c r="W14" s="227">
        <f>W13-W11</f>
        <v>14106</v>
      </c>
      <c r="X14" s="195"/>
      <c r="Y14" s="212"/>
    </row>
    <row r="15" spans="2:25" ht="19.5" thickBot="1" x14ac:dyDescent="0.45">
      <c r="B15" s="233"/>
      <c r="C15" s="199"/>
      <c r="D15" s="102" t="s">
        <v>107</v>
      </c>
      <c r="E15" s="216">
        <f>IF(E11&lt;&gt;0,IF(E13&lt;&gt;0,E13/E11,0),0)</f>
        <v>0.48831775700934582</v>
      </c>
      <c r="F15" s="206"/>
      <c r="G15" s="215"/>
      <c r="H15" s="216">
        <f>IF(H11&lt;&gt;0,IF(H13&lt;&gt;0,H13/H11,0),0)</f>
        <v>10.397569444444445</v>
      </c>
      <c r="I15" s="206"/>
      <c r="J15" s="215"/>
      <c r="K15" s="216">
        <f>IF(K11&lt;&gt;0,IF(K13&lt;&gt;0,K13/K11,0),0)</f>
        <v>-0.91623424759080796</v>
      </c>
      <c r="L15" s="206"/>
      <c r="M15" s="215"/>
      <c r="N15" s="216">
        <f>IF(N11&lt;&gt;0,IF(N13&lt;&gt;0,N13/N11,0),0)</f>
        <v>0.98693029490616624</v>
      </c>
      <c r="O15" s="206"/>
      <c r="P15" s="215"/>
      <c r="Q15" s="216">
        <f>IF(Q11&lt;&gt;0,IF(Q13&lt;&gt;0,Q13/Q11,0),0)</f>
        <v>1</v>
      </c>
      <c r="R15" s="206"/>
      <c r="S15" s="215"/>
      <c r="T15" s="216">
        <f>IF(T11&lt;&gt;0,IF(T13&lt;&gt;0,T13/T11,0),0)</f>
        <v>0.67140734451284223</v>
      </c>
      <c r="U15" s="206"/>
      <c r="V15" s="215"/>
      <c r="W15" s="216">
        <f>IF(W11&lt;&gt;0,IF(W13&lt;&gt;0,W13/W11,0),0)</f>
        <v>6.4402732639119192E-2</v>
      </c>
      <c r="X15" s="206"/>
      <c r="Y15" s="207"/>
    </row>
    <row r="16" spans="2:25" x14ac:dyDescent="0.4">
      <c r="B16" s="185" t="s">
        <v>123</v>
      </c>
      <c r="C16" s="188" t="s">
        <v>102</v>
      </c>
      <c r="D16" s="94" t="s">
        <v>103</v>
      </c>
      <c r="E16" s="157">
        <v>1</v>
      </c>
      <c r="F16" s="157">
        <v>4</v>
      </c>
      <c r="G16" s="157">
        <v>20459</v>
      </c>
      <c r="H16" s="157">
        <v>4</v>
      </c>
      <c r="I16" s="157">
        <v>11</v>
      </c>
      <c r="J16" s="157">
        <v>39168</v>
      </c>
      <c r="K16" s="157">
        <v>5</v>
      </c>
      <c r="L16" s="157">
        <v>10</v>
      </c>
      <c r="M16" s="157">
        <v>47849</v>
      </c>
      <c r="N16" s="161">
        <v>3</v>
      </c>
      <c r="O16" s="161">
        <v>6</v>
      </c>
      <c r="P16" s="161">
        <v>24099</v>
      </c>
      <c r="Q16" s="161">
        <v>6</v>
      </c>
      <c r="R16" s="161">
        <v>8</v>
      </c>
      <c r="S16" s="161">
        <v>33036</v>
      </c>
      <c r="T16" s="157">
        <v>7</v>
      </c>
      <c r="U16" s="157">
        <v>5</v>
      </c>
      <c r="V16" s="157">
        <v>31119</v>
      </c>
      <c r="W16" s="157">
        <f t="shared" ref="W16:X18" si="5">E16+H16+K16+N16+Q16+T16</f>
        <v>26</v>
      </c>
      <c r="X16" s="157">
        <f t="shared" si="5"/>
        <v>44</v>
      </c>
      <c r="Y16" s="163">
        <f>G16+J16+P16+S16+M16+V16</f>
        <v>195730</v>
      </c>
    </row>
    <row r="17" spans="2:25" s="96" customFormat="1" ht="18" x14ac:dyDescent="0.4">
      <c r="B17" s="186"/>
      <c r="C17" s="189"/>
      <c r="D17" s="95" t="s">
        <v>104</v>
      </c>
      <c r="E17" s="158">
        <v>1</v>
      </c>
      <c r="F17" s="158">
        <v>5</v>
      </c>
      <c r="G17" s="158">
        <v>20500</v>
      </c>
      <c r="H17" s="158">
        <v>4</v>
      </c>
      <c r="I17" s="158">
        <v>13</v>
      </c>
      <c r="J17" s="158">
        <v>43000</v>
      </c>
      <c r="K17" s="158">
        <v>4</v>
      </c>
      <c r="L17" s="158">
        <v>12</v>
      </c>
      <c r="M17" s="158">
        <v>52000</v>
      </c>
      <c r="N17" s="158">
        <v>1</v>
      </c>
      <c r="O17" s="158">
        <v>9</v>
      </c>
      <c r="P17" s="158">
        <v>24000</v>
      </c>
      <c r="Q17" s="158">
        <v>4</v>
      </c>
      <c r="R17" s="158">
        <v>8</v>
      </c>
      <c r="S17" s="158">
        <v>34000</v>
      </c>
      <c r="T17" s="158">
        <v>7</v>
      </c>
      <c r="U17" s="158">
        <v>4</v>
      </c>
      <c r="V17" s="158">
        <v>32000</v>
      </c>
      <c r="W17" s="164">
        <f t="shared" si="5"/>
        <v>21</v>
      </c>
      <c r="X17" s="164">
        <f t="shared" si="5"/>
        <v>51</v>
      </c>
      <c r="Y17" s="168">
        <f>G17+J17+P17+S17+M17+V17</f>
        <v>205500</v>
      </c>
    </row>
    <row r="18" spans="2:25" x14ac:dyDescent="0.4">
      <c r="B18" s="232"/>
      <c r="C18" s="189"/>
      <c r="D18" s="97" t="s">
        <v>105</v>
      </c>
      <c r="E18" s="159">
        <v>1</v>
      </c>
      <c r="F18" s="159">
        <v>6</v>
      </c>
      <c r="G18" s="159">
        <v>21468</v>
      </c>
      <c r="H18" s="159">
        <v>3</v>
      </c>
      <c r="I18" s="159">
        <v>13</v>
      </c>
      <c r="J18" s="159">
        <v>42583</v>
      </c>
      <c r="K18" s="159">
        <v>4</v>
      </c>
      <c r="L18" s="159">
        <v>12</v>
      </c>
      <c r="M18" s="159">
        <v>52823</v>
      </c>
      <c r="N18" s="162">
        <v>0</v>
      </c>
      <c r="O18" s="162">
        <v>9</v>
      </c>
      <c r="P18" s="159">
        <v>23121</v>
      </c>
      <c r="Q18" s="162">
        <v>3</v>
      </c>
      <c r="R18" s="162">
        <v>8</v>
      </c>
      <c r="S18" s="159">
        <v>33629</v>
      </c>
      <c r="T18" s="159">
        <v>4</v>
      </c>
      <c r="U18" s="159">
        <v>6</v>
      </c>
      <c r="V18" s="159">
        <v>32763</v>
      </c>
      <c r="W18" s="159">
        <f t="shared" si="5"/>
        <v>15</v>
      </c>
      <c r="X18" s="159">
        <f t="shared" si="5"/>
        <v>54</v>
      </c>
      <c r="Y18" s="166">
        <f>G18+J18+M18+P18+S18+V18</f>
        <v>206387</v>
      </c>
    </row>
    <row r="19" spans="2:25" x14ac:dyDescent="0.4">
      <c r="B19" s="232"/>
      <c r="C19" s="189"/>
      <c r="D19" s="98" t="s">
        <v>106</v>
      </c>
      <c r="E19" s="160">
        <f>E18-E16</f>
        <v>0</v>
      </c>
      <c r="F19" s="160">
        <f>F18-F16</f>
        <v>2</v>
      </c>
      <c r="G19" s="160">
        <f t="shared" ref="G19" si="6">G18-G16</f>
        <v>1009</v>
      </c>
      <c r="H19" s="160">
        <f>H18-H16</f>
        <v>-1</v>
      </c>
      <c r="I19" s="160">
        <f t="shared" ref="I19:J19" si="7">I18-I16</f>
        <v>2</v>
      </c>
      <c r="J19" s="160">
        <f t="shared" si="7"/>
        <v>3415</v>
      </c>
      <c r="K19" s="160">
        <f>K18-K16</f>
        <v>-1</v>
      </c>
      <c r="L19" s="160">
        <f t="shared" ref="L19:M19" si="8">L18-L16</f>
        <v>2</v>
      </c>
      <c r="M19" s="160">
        <f t="shared" si="8"/>
        <v>4974</v>
      </c>
      <c r="N19" s="160">
        <f>N18-N16</f>
        <v>-3</v>
      </c>
      <c r="O19" s="160">
        <f t="shared" ref="O19:P19" si="9">O18-O16</f>
        <v>3</v>
      </c>
      <c r="P19" s="160">
        <f t="shared" si="9"/>
        <v>-978</v>
      </c>
      <c r="Q19" s="160">
        <f>Q18-Q16</f>
        <v>-3</v>
      </c>
      <c r="R19" s="160">
        <f t="shared" ref="R19:S19" si="10">R18-R16</f>
        <v>0</v>
      </c>
      <c r="S19" s="160">
        <f t="shared" si="10"/>
        <v>593</v>
      </c>
      <c r="T19" s="160">
        <f>T18-T16</f>
        <v>-3</v>
      </c>
      <c r="U19" s="160">
        <f t="shared" ref="U19:Y19" si="11">U18-U16</f>
        <v>1</v>
      </c>
      <c r="V19" s="160">
        <f t="shared" si="11"/>
        <v>1644</v>
      </c>
      <c r="W19" s="160">
        <f t="shared" si="11"/>
        <v>-11</v>
      </c>
      <c r="X19" s="160">
        <f t="shared" si="11"/>
        <v>10</v>
      </c>
      <c r="Y19" s="167">
        <f t="shared" si="11"/>
        <v>10657</v>
      </c>
    </row>
    <row r="20" spans="2:25" x14ac:dyDescent="0.4">
      <c r="B20" s="232"/>
      <c r="C20" s="190"/>
      <c r="D20" s="100" t="s">
        <v>107</v>
      </c>
      <c r="E20" s="223">
        <f>IF(G16&lt;&gt;0,IF(G18&lt;&gt;0, G18/G16, 0),0)</f>
        <v>1.0493181484921061</v>
      </c>
      <c r="F20" s="224"/>
      <c r="G20" s="225"/>
      <c r="H20" s="223">
        <f>IF(J16&lt;&gt;0,IF(J18&lt;&gt;0, J18/J16, 0),0)</f>
        <v>1.08718852124183</v>
      </c>
      <c r="I20" s="224"/>
      <c r="J20" s="225"/>
      <c r="K20" s="223">
        <f>IF(M16&lt;&gt;0,IF(M18&lt;&gt;0, M18/M16, 0),0)</f>
        <v>1.1039520157161069</v>
      </c>
      <c r="L20" s="224"/>
      <c r="M20" s="225"/>
      <c r="N20" s="223">
        <f>IF(P16&lt;&gt;0,IF(P18&lt;&gt;0, P18/P16, 0),0)</f>
        <v>0.95941740321175151</v>
      </c>
      <c r="O20" s="224"/>
      <c r="P20" s="225"/>
      <c r="Q20" s="223">
        <f>IF(S16&lt;&gt;0,IF(S18&lt;&gt;0, S18/S16, 0),0)</f>
        <v>1.0179501150260322</v>
      </c>
      <c r="R20" s="224"/>
      <c r="S20" s="225"/>
      <c r="T20" s="223">
        <f>IF(V16&lt;&gt;0,IF(V18&lt;&gt;0, V18/V16, 0),0)</f>
        <v>1.0528294611009352</v>
      </c>
      <c r="U20" s="224"/>
      <c r="V20" s="225"/>
      <c r="W20" s="223">
        <f>IF(Y16&lt;&gt;0,IF(Y18&lt;&gt;0, Y18/Y16, 0),0)</f>
        <v>1.0544474531242016</v>
      </c>
      <c r="X20" s="224"/>
      <c r="Y20" s="226"/>
    </row>
    <row r="21" spans="2:25" x14ac:dyDescent="0.4">
      <c r="B21" s="232"/>
      <c r="C21" s="197" t="s">
        <v>108</v>
      </c>
      <c r="D21" s="129" t="s">
        <v>103</v>
      </c>
      <c r="E21" s="217">
        <v>-9848</v>
      </c>
      <c r="F21" s="208"/>
      <c r="G21" s="213"/>
      <c r="H21" s="217">
        <v>-1650</v>
      </c>
      <c r="I21" s="208"/>
      <c r="J21" s="213"/>
      <c r="K21" s="217">
        <v>1602</v>
      </c>
      <c r="L21" s="208"/>
      <c r="M21" s="213"/>
      <c r="N21" s="217">
        <v>2851</v>
      </c>
      <c r="O21" s="208"/>
      <c r="P21" s="213"/>
      <c r="Q21" s="217">
        <v>-3409</v>
      </c>
      <c r="R21" s="208"/>
      <c r="S21" s="213"/>
      <c r="T21" s="217">
        <v>-4244</v>
      </c>
      <c r="U21" s="208"/>
      <c r="V21" s="213"/>
      <c r="W21" s="217">
        <f>E21+H21+K21+T21+N21+Q21</f>
        <v>-14698</v>
      </c>
      <c r="X21" s="208"/>
      <c r="Y21" s="209"/>
    </row>
    <row r="22" spans="2:25" s="96" customFormat="1" ht="18" x14ac:dyDescent="0.4">
      <c r="B22" s="232"/>
      <c r="C22" s="198"/>
      <c r="D22" s="101" t="s">
        <v>109</v>
      </c>
      <c r="E22" s="234">
        <v>-2481</v>
      </c>
      <c r="F22" s="235"/>
      <c r="G22" s="236"/>
      <c r="H22" s="255">
        <v>2300</v>
      </c>
      <c r="I22" s="256"/>
      <c r="J22" s="257"/>
      <c r="K22" s="255">
        <v>2287</v>
      </c>
      <c r="L22" s="256"/>
      <c r="M22" s="257"/>
      <c r="N22" s="255">
        <v>2000</v>
      </c>
      <c r="O22" s="256"/>
      <c r="P22" s="257"/>
      <c r="Q22" s="255">
        <v>-3000</v>
      </c>
      <c r="R22" s="256"/>
      <c r="S22" s="257"/>
      <c r="T22" s="255">
        <v>-5000</v>
      </c>
      <c r="U22" s="256"/>
      <c r="V22" s="257"/>
      <c r="W22" s="234">
        <f>E22+H22+K22+T22+N22+Q22</f>
        <v>-3894</v>
      </c>
      <c r="X22" s="235"/>
      <c r="Y22" s="237"/>
    </row>
    <row r="23" spans="2:25" x14ac:dyDescent="0.4">
      <c r="B23" s="232"/>
      <c r="C23" s="198"/>
      <c r="D23" s="97" t="s">
        <v>105</v>
      </c>
      <c r="E23" s="238">
        <v>-8263</v>
      </c>
      <c r="F23" s="239"/>
      <c r="G23" s="258"/>
      <c r="H23" s="228">
        <v>3920</v>
      </c>
      <c r="I23" s="229"/>
      <c r="J23" s="230"/>
      <c r="K23" s="228">
        <v>3665</v>
      </c>
      <c r="L23" s="229"/>
      <c r="M23" s="230"/>
      <c r="N23" s="228">
        <v>1967</v>
      </c>
      <c r="O23" s="229"/>
      <c r="P23" s="230"/>
      <c r="Q23" s="228">
        <v>-3365</v>
      </c>
      <c r="R23" s="229"/>
      <c r="S23" s="230"/>
      <c r="T23" s="228">
        <v>-1313</v>
      </c>
      <c r="U23" s="229"/>
      <c r="V23" s="230"/>
      <c r="W23" s="238">
        <f>E23+H23+K23+T23+N23+Q23</f>
        <v>-3389</v>
      </c>
      <c r="X23" s="239"/>
      <c r="Y23" s="240"/>
    </row>
    <row r="24" spans="2:25" x14ac:dyDescent="0.4">
      <c r="B24" s="232"/>
      <c r="C24" s="198"/>
      <c r="D24" s="98" t="s">
        <v>106</v>
      </c>
      <c r="E24" s="227">
        <f>E23-E21</f>
        <v>1585</v>
      </c>
      <c r="F24" s="195"/>
      <c r="G24" s="196"/>
      <c r="H24" s="227">
        <f>H23-H21</f>
        <v>5570</v>
      </c>
      <c r="I24" s="195"/>
      <c r="J24" s="196"/>
      <c r="K24" s="227">
        <f>K23-K21</f>
        <v>2063</v>
      </c>
      <c r="L24" s="195"/>
      <c r="M24" s="196"/>
      <c r="N24" s="227">
        <f>N23-N21</f>
        <v>-884</v>
      </c>
      <c r="O24" s="195"/>
      <c r="P24" s="196"/>
      <c r="Q24" s="227">
        <f>Q23-Q21</f>
        <v>44</v>
      </c>
      <c r="R24" s="195"/>
      <c r="S24" s="196"/>
      <c r="T24" s="227">
        <f>T23-T21</f>
        <v>2931</v>
      </c>
      <c r="U24" s="195"/>
      <c r="V24" s="196"/>
      <c r="W24" s="227">
        <f>W23-W21</f>
        <v>11309</v>
      </c>
      <c r="X24" s="195"/>
      <c r="Y24" s="212"/>
    </row>
    <row r="25" spans="2:25" ht="19.5" thickBot="1" x14ac:dyDescent="0.45">
      <c r="B25" s="233"/>
      <c r="C25" s="199"/>
      <c r="D25" s="102" t="s">
        <v>107</v>
      </c>
      <c r="E25" s="216">
        <f>IF(E21&lt;&gt;0,IF(E23&lt;&gt;0,E23/E21,0),0)</f>
        <v>0.83905361494719743</v>
      </c>
      <c r="F25" s="206"/>
      <c r="G25" s="215"/>
      <c r="H25" s="216">
        <f>IF(H21&lt;&gt;0,IF(H23&lt;&gt;0,H23/H21,0),0)</f>
        <v>-2.375757575757576</v>
      </c>
      <c r="I25" s="206"/>
      <c r="J25" s="215"/>
      <c r="K25" s="216">
        <f>IF(K21&lt;&gt;0,IF(K23&lt;&gt;0,K23/K21,0),0)</f>
        <v>2.2877652933832708</v>
      </c>
      <c r="L25" s="206"/>
      <c r="M25" s="215"/>
      <c r="N25" s="216">
        <f>IF(N21&lt;&gt;0,IF(N23&lt;&gt;0,N23/N21,0),0)</f>
        <v>0.68993335671694145</v>
      </c>
      <c r="O25" s="206"/>
      <c r="P25" s="215"/>
      <c r="Q25" s="216">
        <f>IF(Q21&lt;&gt;0,IF(Q23&lt;&gt;0,Q23/Q21,0),0)</f>
        <v>0.98709298914637722</v>
      </c>
      <c r="R25" s="206"/>
      <c r="S25" s="215"/>
      <c r="T25" s="216">
        <f>IF(T21&lt;&gt;0,IF(T23&lt;&gt;0,T23/T21,0),0)</f>
        <v>0.30937794533459001</v>
      </c>
      <c r="U25" s="206"/>
      <c r="V25" s="215"/>
      <c r="W25" s="216">
        <f>IF(W21&lt;&gt;0,IF(W23&lt;&gt;0,W23/W21,0),0)</f>
        <v>0.23057558851544427</v>
      </c>
      <c r="X25" s="206"/>
      <c r="Y25" s="207"/>
    </row>
    <row r="26" spans="2:25" x14ac:dyDescent="0.4">
      <c r="B26" s="185" t="s">
        <v>124</v>
      </c>
      <c r="C26" s="188" t="s">
        <v>102</v>
      </c>
      <c r="D26" s="94" t="s">
        <v>103</v>
      </c>
      <c r="E26" s="157">
        <v>2</v>
      </c>
      <c r="F26" s="157">
        <v>8</v>
      </c>
      <c r="G26" s="157">
        <v>27002</v>
      </c>
      <c r="H26" s="157">
        <v>4</v>
      </c>
      <c r="I26" s="157">
        <v>8</v>
      </c>
      <c r="J26" s="157">
        <v>35472</v>
      </c>
      <c r="K26" s="169">
        <v>5</v>
      </c>
      <c r="L26" s="157">
        <v>13</v>
      </c>
      <c r="M26" s="169">
        <v>46254</v>
      </c>
      <c r="N26" s="161">
        <v>3</v>
      </c>
      <c r="O26" s="161">
        <v>6</v>
      </c>
      <c r="P26" s="161">
        <v>24582</v>
      </c>
      <c r="Q26" s="161">
        <v>6</v>
      </c>
      <c r="R26" s="161">
        <v>10</v>
      </c>
      <c r="S26" s="161">
        <v>37133</v>
      </c>
      <c r="T26" s="157">
        <v>7</v>
      </c>
      <c r="U26" s="157">
        <v>4</v>
      </c>
      <c r="V26" s="157">
        <v>31309</v>
      </c>
      <c r="W26" s="157">
        <f t="shared" ref="W26:X28" si="12">E26+H26+K26+N26+Q26+T26</f>
        <v>27</v>
      </c>
      <c r="X26" s="157">
        <f t="shared" si="12"/>
        <v>49</v>
      </c>
      <c r="Y26" s="163">
        <f>G26+J26+P26+S26+M26+V26</f>
        <v>201752</v>
      </c>
    </row>
    <row r="27" spans="2:25" s="96" customFormat="1" ht="18" x14ac:dyDescent="0.4">
      <c r="B27" s="186"/>
      <c r="C27" s="189"/>
      <c r="D27" s="95" t="s">
        <v>104</v>
      </c>
      <c r="E27" s="158">
        <v>2</v>
      </c>
      <c r="F27" s="158">
        <v>9</v>
      </c>
      <c r="G27" s="158">
        <v>30700</v>
      </c>
      <c r="H27" s="158">
        <v>4</v>
      </c>
      <c r="I27" s="158">
        <v>11</v>
      </c>
      <c r="J27" s="158">
        <v>44700</v>
      </c>
      <c r="K27" s="158">
        <v>2</v>
      </c>
      <c r="L27" s="158">
        <v>17</v>
      </c>
      <c r="M27" s="170">
        <v>50100</v>
      </c>
      <c r="N27" s="158">
        <v>1</v>
      </c>
      <c r="O27" s="158">
        <v>4</v>
      </c>
      <c r="P27" s="158">
        <v>24600</v>
      </c>
      <c r="Q27" s="158">
        <v>3</v>
      </c>
      <c r="R27" s="158">
        <v>13</v>
      </c>
      <c r="S27" s="158">
        <v>38000</v>
      </c>
      <c r="T27" s="158">
        <v>3</v>
      </c>
      <c r="U27" s="158">
        <v>6</v>
      </c>
      <c r="V27" s="158">
        <v>31400</v>
      </c>
      <c r="W27" s="164">
        <f t="shared" si="12"/>
        <v>15</v>
      </c>
      <c r="X27" s="164">
        <f t="shared" si="12"/>
        <v>60</v>
      </c>
      <c r="Y27" s="168">
        <f>G27+J27+P27+S27+M27+V27</f>
        <v>219500</v>
      </c>
    </row>
    <row r="28" spans="2:25" x14ac:dyDescent="0.4">
      <c r="B28" s="232"/>
      <c r="C28" s="189"/>
      <c r="D28" s="97" t="s">
        <v>105</v>
      </c>
      <c r="E28" s="159">
        <v>2</v>
      </c>
      <c r="F28" s="159">
        <v>9</v>
      </c>
      <c r="G28" s="159">
        <v>32795</v>
      </c>
      <c r="H28" s="159">
        <v>3</v>
      </c>
      <c r="I28" s="159">
        <v>11</v>
      </c>
      <c r="J28" s="159">
        <v>42626</v>
      </c>
      <c r="K28" s="146">
        <v>2</v>
      </c>
      <c r="L28" s="159">
        <v>17</v>
      </c>
      <c r="M28" s="146">
        <v>50324</v>
      </c>
      <c r="N28" s="162">
        <v>1</v>
      </c>
      <c r="O28" s="162">
        <v>4</v>
      </c>
      <c r="P28" s="159">
        <v>25354</v>
      </c>
      <c r="Q28" s="162">
        <v>1</v>
      </c>
      <c r="R28" s="162">
        <v>13</v>
      </c>
      <c r="S28" s="159">
        <v>35933</v>
      </c>
      <c r="T28" s="159">
        <v>1</v>
      </c>
      <c r="U28" s="159">
        <v>6</v>
      </c>
      <c r="V28" s="159">
        <v>33092</v>
      </c>
      <c r="W28" s="159">
        <f t="shared" si="12"/>
        <v>10</v>
      </c>
      <c r="X28" s="159">
        <f t="shared" si="12"/>
        <v>60</v>
      </c>
      <c r="Y28" s="166">
        <f>G28+J28+M28+P28+S28+V28</f>
        <v>220124</v>
      </c>
    </row>
    <row r="29" spans="2:25" x14ac:dyDescent="0.4">
      <c r="B29" s="232"/>
      <c r="C29" s="189"/>
      <c r="D29" s="98" t="s">
        <v>106</v>
      </c>
      <c r="E29" s="160">
        <f>E28-E26</f>
        <v>0</v>
      </c>
      <c r="F29" s="160">
        <f>F28-F26</f>
        <v>1</v>
      </c>
      <c r="G29" s="160">
        <f t="shared" ref="G29" si="13">G28-G26</f>
        <v>5793</v>
      </c>
      <c r="H29" s="160">
        <f>H28-H26</f>
        <v>-1</v>
      </c>
      <c r="I29" s="160">
        <f t="shared" ref="I29:J29" si="14">I28-I26</f>
        <v>3</v>
      </c>
      <c r="J29" s="160">
        <f t="shared" si="14"/>
        <v>7154</v>
      </c>
      <c r="K29" s="144">
        <f>K28-K26</f>
        <v>-3</v>
      </c>
      <c r="L29" s="160">
        <f t="shared" ref="L29:M29" si="15">L28-L26</f>
        <v>4</v>
      </c>
      <c r="M29" s="144">
        <f t="shared" si="15"/>
        <v>4070</v>
      </c>
      <c r="N29" s="160">
        <f>N28-N26</f>
        <v>-2</v>
      </c>
      <c r="O29" s="160">
        <f t="shared" ref="O29:P29" si="16">O28-O26</f>
        <v>-2</v>
      </c>
      <c r="P29" s="160">
        <f t="shared" si="16"/>
        <v>772</v>
      </c>
      <c r="Q29" s="160">
        <f>Q28-Q26</f>
        <v>-5</v>
      </c>
      <c r="R29" s="160">
        <f t="shared" ref="R29:S29" si="17">R28-R26</f>
        <v>3</v>
      </c>
      <c r="S29" s="160">
        <f t="shared" si="17"/>
        <v>-1200</v>
      </c>
      <c r="T29" s="160">
        <f>T28-T26</f>
        <v>-6</v>
      </c>
      <c r="U29" s="160">
        <f t="shared" ref="U29:Y29" si="18">U28-U26</f>
        <v>2</v>
      </c>
      <c r="V29" s="160">
        <f t="shared" si="18"/>
        <v>1783</v>
      </c>
      <c r="W29" s="160">
        <f t="shared" si="18"/>
        <v>-17</v>
      </c>
      <c r="X29" s="160">
        <f t="shared" si="18"/>
        <v>11</v>
      </c>
      <c r="Y29" s="167">
        <f t="shared" si="18"/>
        <v>18372</v>
      </c>
    </row>
    <row r="30" spans="2:25" x14ac:dyDescent="0.4">
      <c r="B30" s="232"/>
      <c r="C30" s="190"/>
      <c r="D30" s="100" t="s">
        <v>107</v>
      </c>
      <c r="E30" s="223">
        <f>IF(G26&lt;&gt;0,IF(G28&lt;&gt;0, G28/G26, 0),0)</f>
        <v>1.2145396637286128</v>
      </c>
      <c r="F30" s="224"/>
      <c r="G30" s="225"/>
      <c r="H30" s="223">
        <f>IF(J26&lt;&gt;0,IF(J28&lt;&gt;0, J28/J26, 0),0)</f>
        <v>1.2016801984663961</v>
      </c>
      <c r="I30" s="224"/>
      <c r="J30" s="225"/>
      <c r="K30" s="223">
        <f>IF(M26&lt;&gt;0,IF(M28&lt;&gt;0, M28/M26, 0),0)</f>
        <v>1.0879923898473645</v>
      </c>
      <c r="L30" s="224"/>
      <c r="M30" s="225"/>
      <c r="N30" s="223">
        <f>IF(P26&lt;&gt;0,IF(P28&lt;&gt;0, P28/P26, 0),0)</f>
        <v>1.0314050931575951</v>
      </c>
      <c r="O30" s="224"/>
      <c r="P30" s="225"/>
      <c r="Q30" s="223">
        <f>IF(S26&lt;&gt;0,IF(S28&lt;&gt;0, S28/S26, 0),0)</f>
        <v>0.96768373145180842</v>
      </c>
      <c r="R30" s="224"/>
      <c r="S30" s="225"/>
      <c r="T30" s="223">
        <f>IF(V26&lt;&gt;0,IF(V28&lt;&gt;0, V28/V26, 0),0)</f>
        <v>1.0569484812673673</v>
      </c>
      <c r="U30" s="224"/>
      <c r="V30" s="225"/>
      <c r="W30" s="223">
        <f>IF(Y26&lt;&gt;0,IF(Y28&lt;&gt;0, Y28/Y26, 0),0)</f>
        <v>1.0910622943019153</v>
      </c>
      <c r="X30" s="224"/>
      <c r="Y30" s="226"/>
    </row>
    <row r="31" spans="2:25" x14ac:dyDescent="0.4">
      <c r="B31" s="232"/>
      <c r="C31" s="197" t="s">
        <v>108</v>
      </c>
      <c r="D31" s="104" t="s">
        <v>103</v>
      </c>
      <c r="E31" s="217">
        <v>-7250</v>
      </c>
      <c r="F31" s="208"/>
      <c r="G31" s="213"/>
      <c r="H31" s="217">
        <v>-3516</v>
      </c>
      <c r="I31" s="208"/>
      <c r="J31" s="213"/>
      <c r="K31" s="217">
        <v>721</v>
      </c>
      <c r="L31" s="208"/>
      <c r="M31" s="213"/>
      <c r="N31" s="217">
        <v>1800</v>
      </c>
      <c r="O31" s="208"/>
      <c r="P31" s="213"/>
      <c r="Q31" s="217">
        <v>716</v>
      </c>
      <c r="R31" s="208"/>
      <c r="S31" s="213"/>
      <c r="T31" s="217">
        <v>-4035</v>
      </c>
      <c r="U31" s="208"/>
      <c r="V31" s="213"/>
      <c r="W31" s="217">
        <f>E31+H31+K31+T31+N31+Q31</f>
        <v>-11564</v>
      </c>
      <c r="X31" s="208"/>
      <c r="Y31" s="209"/>
    </row>
    <row r="32" spans="2:25" s="96" customFormat="1" ht="18" x14ac:dyDescent="0.4">
      <c r="B32" s="232"/>
      <c r="C32" s="198"/>
      <c r="D32" s="105" t="s">
        <v>109</v>
      </c>
      <c r="E32" s="255">
        <v>-6000</v>
      </c>
      <c r="F32" s="256"/>
      <c r="G32" s="257"/>
      <c r="H32" s="255">
        <v>2700</v>
      </c>
      <c r="I32" s="256"/>
      <c r="J32" s="257"/>
      <c r="K32" s="255">
        <v>840</v>
      </c>
      <c r="L32" s="256"/>
      <c r="M32" s="257"/>
      <c r="N32" s="255">
        <v>1800</v>
      </c>
      <c r="O32" s="256"/>
      <c r="P32" s="257"/>
      <c r="Q32" s="255">
        <v>1000</v>
      </c>
      <c r="R32" s="256"/>
      <c r="S32" s="257"/>
      <c r="T32" s="255">
        <v>-4000</v>
      </c>
      <c r="U32" s="256"/>
      <c r="V32" s="257"/>
      <c r="W32" s="234">
        <f>E32+H32+K32+T32+N32+Q32</f>
        <v>-3660</v>
      </c>
      <c r="X32" s="235"/>
      <c r="Y32" s="237"/>
    </row>
    <row r="33" spans="2:25" x14ac:dyDescent="0.4">
      <c r="B33" s="232"/>
      <c r="C33" s="198"/>
      <c r="D33" s="97" t="s">
        <v>105</v>
      </c>
      <c r="E33" s="228">
        <v>10</v>
      </c>
      <c r="F33" s="229"/>
      <c r="G33" s="230"/>
      <c r="H33" s="228">
        <v>4072</v>
      </c>
      <c r="I33" s="229"/>
      <c r="J33" s="230"/>
      <c r="K33" s="228">
        <v>3682</v>
      </c>
      <c r="L33" s="229"/>
      <c r="M33" s="230"/>
      <c r="N33" s="228">
        <v>920</v>
      </c>
      <c r="O33" s="229"/>
      <c r="P33" s="230"/>
      <c r="Q33" s="228">
        <v>526</v>
      </c>
      <c r="R33" s="229"/>
      <c r="S33" s="230"/>
      <c r="T33" s="228">
        <v>-994</v>
      </c>
      <c r="U33" s="229"/>
      <c r="V33" s="230"/>
      <c r="W33" s="238">
        <f>E33+H33+K33+T33+N33+Q33</f>
        <v>8216</v>
      </c>
      <c r="X33" s="239"/>
      <c r="Y33" s="240"/>
    </row>
    <row r="34" spans="2:25" x14ac:dyDescent="0.4">
      <c r="B34" s="232"/>
      <c r="C34" s="198"/>
      <c r="D34" s="98" t="s">
        <v>106</v>
      </c>
      <c r="E34" s="227">
        <f>E33-E31</f>
        <v>7260</v>
      </c>
      <c r="F34" s="195"/>
      <c r="G34" s="196"/>
      <c r="H34" s="227">
        <f>H33-H31</f>
        <v>7588</v>
      </c>
      <c r="I34" s="195"/>
      <c r="J34" s="196"/>
      <c r="K34" s="227">
        <f>K33-K31</f>
        <v>2961</v>
      </c>
      <c r="L34" s="195"/>
      <c r="M34" s="196"/>
      <c r="N34" s="227">
        <f>N33-N31</f>
        <v>-880</v>
      </c>
      <c r="O34" s="195"/>
      <c r="P34" s="196"/>
      <c r="Q34" s="227">
        <f>Q33-Q31</f>
        <v>-190</v>
      </c>
      <c r="R34" s="195"/>
      <c r="S34" s="196"/>
      <c r="T34" s="227">
        <f>T33-T31</f>
        <v>3041</v>
      </c>
      <c r="U34" s="195"/>
      <c r="V34" s="196"/>
      <c r="W34" s="227">
        <f>W33-W31</f>
        <v>19780</v>
      </c>
      <c r="X34" s="195"/>
      <c r="Y34" s="212"/>
    </row>
    <row r="35" spans="2:25" ht="19.5" thickBot="1" x14ac:dyDescent="0.45">
      <c r="B35" s="233"/>
      <c r="C35" s="199"/>
      <c r="D35" s="102" t="s">
        <v>107</v>
      </c>
      <c r="E35" s="216">
        <f>IF(E31&lt;&gt;0,IF(E33&lt;&gt;0,E33/E31,0),0)</f>
        <v>-1.3793103448275861E-3</v>
      </c>
      <c r="F35" s="206"/>
      <c r="G35" s="215"/>
      <c r="H35" s="216">
        <f>IF(H31&lt;&gt;0,IF(H33&lt;&gt;0,H33/H31,0),0)</f>
        <v>-1.1581342434584756</v>
      </c>
      <c r="I35" s="206"/>
      <c r="J35" s="215"/>
      <c r="K35" s="216">
        <f>IF(K31&lt;&gt;0,IF(K33&lt;&gt;0,K33/K31,0),0)</f>
        <v>5.1067961165048548</v>
      </c>
      <c r="L35" s="206"/>
      <c r="M35" s="215"/>
      <c r="N35" s="216">
        <f>IF(N31&lt;&gt;0,IF(N33&lt;&gt;0,N33/N31,0),0)</f>
        <v>0.51111111111111107</v>
      </c>
      <c r="O35" s="206"/>
      <c r="P35" s="215"/>
      <c r="Q35" s="216">
        <f>IF(Q31&lt;&gt;0,IF(Q33&lt;&gt;0,Q33/Q31,0),0)</f>
        <v>0.73463687150837986</v>
      </c>
      <c r="R35" s="206"/>
      <c r="S35" s="215"/>
      <c r="T35" s="216">
        <f>IF(T31&lt;&gt;0,IF(T33&lt;&gt;0,T33/T31,0),0)</f>
        <v>0.2463444857496902</v>
      </c>
      <c r="U35" s="206"/>
      <c r="V35" s="215"/>
      <c r="W35" s="216">
        <f>IF(W31&lt;&gt;0,IF(W33&lt;&gt;0,W33/W31,0),0)</f>
        <v>-0.71048080249048773</v>
      </c>
      <c r="X35" s="206"/>
      <c r="Y35" s="207"/>
    </row>
    <row r="36" spans="2:25" x14ac:dyDescent="0.4">
      <c r="B36" s="185" t="s">
        <v>135</v>
      </c>
      <c r="C36" s="188" t="s">
        <v>102</v>
      </c>
      <c r="D36" s="94" t="s">
        <v>103</v>
      </c>
      <c r="E36" s="157">
        <f t="shared" ref="E36:V36" si="19">SUM(E6,E16,E26)</f>
        <v>4</v>
      </c>
      <c r="F36" s="157">
        <f t="shared" si="19"/>
        <v>18</v>
      </c>
      <c r="G36" s="173">
        <f t="shared" si="19"/>
        <v>67861</v>
      </c>
      <c r="H36" s="157">
        <f t="shared" si="19"/>
        <v>12</v>
      </c>
      <c r="I36" s="157">
        <f t="shared" si="19"/>
        <v>31</v>
      </c>
      <c r="J36" s="173">
        <f t="shared" si="19"/>
        <v>114661</v>
      </c>
      <c r="K36" s="173">
        <f t="shared" si="19"/>
        <v>15</v>
      </c>
      <c r="L36" s="157">
        <f t="shared" si="19"/>
        <v>34</v>
      </c>
      <c r="M36" s="173">
        <f t="shared" si="19"/>
        <v>137338</v>
      </c>
      <c r="N36" s="157">
        <f t="shared" si="19"/>
        <v>8</v>
      </c>
      <c r="O36" s="157">
        <f t="shared" si="19"/>
        <v>19</v>
      </c>
      <c r="P36" s="173">
        <f t="shared" si="19"/>
        <v>72431</v>
      </c>
      <c r="Q36" s="157">
        <f t="shared" si="19"/>
        <v>16</v>
      </c>
      <c r="R36" s="157">
        <f t="shared" si="19"/>
        <v>26</v>
      </c>
      <c r="S36" s="173">
        <f t="shared" si="19"/>
        <v>100972</v>
      </c>
      <c r="T36" s="157">
        <f t="shared" si="19"/>
        <v>21</v>
      </c>
      <c r="U36" s="157">
        <f t="shared" si="19"/>
        <v>13</v>
      </c>
      <c r="V36" s="173">
        <f t="shared" si="19"/>
        <v>96368</v>
      </c>
      <c r="W36" s="157">
        <f t="shared" ref="W36:W37" si="20">E36+H36+K36+N36+Q36+T36</f>
        <v>76</v>
      </c>
      <c r="X36" s="157">
        <f t="shared" ref="X36:X37" si="21">F36+I36+L36+O36+R36+U36</f>
        <v>141</v>
      </c>
      <c r="Y36" s="174">
        <f t="shared" ref="Y36:Y37" si="22">G36+J36+M36+P36+S36+V36</f>
        <v>589631</v>
      </c>
    </row>
    <row r="37" spans="2:25" x14ac:dyDescent="0.4">
      <c r="B37" s="232"/>
      <c r="C37" s="189"/>
      <c r="D37" s="97" t="s">
        <v>105</v>
      </c>
      <c r="E37" s="181">
        <f t="shared" ref="E37:M37" si="23">SUM(E8,E18,E28)</f>
        <v>4</v>
      </c>
      <c r="F37" s="181">
        <f t="shared" si="23"/>
        <v>22</v>
      </c>
      <c r="G37" s="182">
        <f t="shared" si="23"/>
        <v>77284</v>
      </c>
      <c r="H37" s="162">
        <f t="shared" si="23"/>
        <v>9</v>
      </c>
      <c r="I37" s="162">
        <f t="shared" si="23"/>
        <v>38</v>
      </c>
      <c r="J37" s="182">
        <f t="shared" si="23"/>
        <v>131310</v>
      </c>
      <c r="K37" s="181">
        <f t="shared" si="23"/>
        <v>10</v>
      </c>
      <c r="L37" s="162">
        <f t="shared" si="23"/>
        <v>40</v>
      </c>
      <c r="M37" s="182">
        <f t="shared" si="23"/>
        <v>147634</v>
      </c>
      <c r="N37" s="162">
        <f t="shared" ref="N37:S37" si="24">SUM(N7,N17,N27)</f>
        <v>3</v>
      </c>
      <c r="O37" s="162">
        <f t="shared" si="24"/>
        <v>21</v>
      </c>
      <c r="P37" s="182">
        <f t="shared" si="24"/>
        <v>73600</v>
      </c>
      <c r="Q37" s="162">
        <f t="shared" si="24"/>
        <v>15</v>
      </c>
      <c r="R37" s="162">
        <f t="shared" si="24"/>
        <v>21</v>
      </c>
      <c r="S37" s="182">
        <f t="shared" si="24"/>
        <v>104500</v>
      </c>
      <c r="T37" s="162">
        <f>SUM(T8,T18,T28)</f>
        <v>8</v>
      </c>
      <c r="U37" s="162">
        <f>SUM(U8,U18,U28)</f>
        <v>19</v>
      </c>
      <c r="V37" s="182">
        <f>SUM(V8,V18,V28)</f>
        <v>94275</v>
      </c>
      <c r="W37" s="159">
        <f t="shared" si="20"/>
        <v>49</v>
      </c>
      <c r="X37" s="159">
        <f t="shared" si="21"/>
        <v>161</v>
      </c>
      <c r="Y37" s="180">
        <f t="shared" si="22"/>
        <v>628603</v>
      </c>
    </row>
    <row r="38" spans="2:25" x14ac:dyDescent="0.4">
      <c r="B38" s="232"/>
      <c r="C38" s="189"/>
      <c r="D38" s="98" t="s">
        <v>106</v>
      </c>
      <c r="E38" s="160">
        <f>E37-E36</f>
        <v>0</v>
      </c>
      <c r="F38" s="160">
        <f t="shared" ref="F38:G38" si="25">F37-F36</f>
        <v>4</v>
      </c>
      <c r="G38" s="178">
        <f t="shared" si="25"/>
        <v>9423</v>
      </c>
      <c r="H38" s="160">
        <f>H37-H36</f>
        <v>-3</v>
      </c>
      <c r="I38" s="160">
        <f t="shared" ref="I38:J38" si="26">I37-I36</f>
        <v>7</v>
      </c>
      <c r="J38" s="178">
        <f t="shared" si="26"/>
        <v>16649</v>
      </c>
      <c r="K38" s="178">
        <f>K37-K36</f>
        <v>-5</v>
      </c>
      <c r="L38" s="160">
        <f t="shared" ref="L38:M38" si="27">L37-L36</f>
        <v>6</v>
      </c>
      <c r="M38" s="178">
        <f t="shared" si="27"/>
        <v>10296</v>
      </c>
      <c r="N38" s="160">
        <f>N37-N36</f>
        <v>-5</v>
      </c>
      <c r="O38" s="160">
        <f t="shared" ref="O38:P38" si="28">O37-O36</f>
        <v>2</v>
      </c>
      <c r="P38" s="178">
        <f t="shared" si="28"/>
        <v>1169</v>
      </c>
      <c r="Q38" s="160">
        <f>Q37-Q36</f>
        <v>-1</v>
      </c>
      <c r="R38" s="160">
        <f t="shared" ref="R38:S38" si="29">R37-R36</f>
        <v>-5</v>
      </c>
      <c r="S38" s="178">
        <f t="shared" si="29"/>
        <v>3528</v>
      </c>
      <c r="T38" s="160">
        <f>T37-T36</f>
        <v>-13</v>
      </c>
      <c r="U38" s="160">
        <f t="shared" ref="U38:V38" si="30">U37-U36</f>
        <v>6</v>
      </c>
      <c r="V38" s="178">
        <f t="shared" si="30"/>
        <v>-2093</v>
      </c>
      <c r="W38" s="160">
        <f>W37-W36</f>
        <v>-27</v>
      </c>
      <c r="X38" s="160">
        <f t="shared" ref="X38:Y38" si="31">X37-X36</f>
        <v>20</v>
      </c>
      <c r="Y38" s="179">
        <f t="shared" si="31"/>
        <v>38972</v>
      </c>
    </row>
    <row r="39" spans="2:25" x14ac:dyDescent="0.4">
      <c r="B39" s="232"/>
      <c r="C39" s="190"/>
      <c r="D39" s="100" t="s">
        <v>107</v>
      </c>
      <c r="E39" s="223">
        <f>IF(G36&lt;&gt;0,IF(G37&lt;&gt;0,G37/G36,0),0)</f>
        <v>1.1388573702126406</v>
      </c>
      <c r="F39" s="224"/>
      <c r="G39" s="225"/>
      <c r="H39" s="223">
        <f>IF(J36&lt;&gt;0,IF(J37&lt;&gt;0,J37/J36,0),0)</f>
        <v>1.1452019431192821</v>
      </c>
      <c r="I39" s="224"/>
      <c r="J39" s="225"/>
      <c r="K39" s="223">
        <f>IF(M36&lt;&gt;0,IF(M37&lt;&gt;0,M37/M36,0),0)</f>
        <v>1.0749683263190086</v>
      </c>
      <c r="L39" s="224"/>
      <c r="M39" s="225"/>
      <c r="N39" s="223">
        <f>IF(P36&lt;&gt;0,IF(P37&lt;&gt;0,P37/P36,0),0)</f>
        <v>1.0161394982811227</v>
      </c>
      <c r="O39" s="224"/>
      <c r="P39" s="225"/>
      <c r="Q39" s="223">
        <f>IF(S36&lt;&gt;0,IF(S37&lt;&gt;0,S37/S36,0),0)</f>
        <v>1.0349403795111516</v>
      </c>
      <c r="R39" s="224"/>
      <c r="S39" s="225"/>
      <c r="T39" s="223">
        <f>IF(V36&lt;&gt;0,IF(V37&lt;&gt;0,V37/V36,0),0)</f>
        <v>0.97828117217333554</v>
      </c>
      <c r="U39" s="224"/>
      <c r="V39" s="225"/>
      <c r="W39" s="223">
        <f>IF(Y36&lt;&gt;0,IF(Y37&lt;&gt;0,Y37/Y36,0),0)</f>
        <v>1.0660955750291283</v>
      </c>
      <c r="X39" s="224"/>
      <c r="Y39" s="226"/>
    </row>
    <row r="40" spans="2:25" x14ac:dyDescent="0.4">
      <c r="B40" s="232"/>
      <c r="C40" s="197" t="s">
        <v>108</v>
      </c>
      <c r="D40" s="126" t="s">
        <v>103</v>
      </c>
      <c r="E40" s="217">
        <f>SUM(E1,E11,E21,E31)</f>
        <v>-26086</v>
      </c>
      <c r="F40" s="208"/>
      <c r="G40" s="213"/>
      <c r="H40" s="217">
        <f>SUM(H1,H11,H21,H31)</f>
        <v>-4590</v>
      </c>
      <c r="I40" s="208"/>
      <c r="J40" s="213"/>
      <c r="K40" s="217">
        <f>SUM(K1,K11,K21,K31)</f>
        <v>974</v>
      </c>
      <c r="L40" s="208"/>
      <c r="M40" s="213"/>
      <c r="N40" s="217">
        <f>SUM(N1,N11,N21,N31)</f>
        <v>7635</v>
      </c>
      <c r="O40" s="208"/>
      <c r="P40" s="213"/>
      <c r="Q40" s="217">
        <f>SUM(Q1,Q11,Q21,Q31)</f>
        <v>-6282</v>
      </c>
      <c r="R40" s="208"/>
      <c r="S40" s="213"/>
      <c r="T40" s="217">
        <f>SUM(T1,T11,T21,T31)</f>
        <v>-12990</v>
      </c>
      <c r="U40" s="208"/>
      <c r="V40" s="213"/>
      <c r="W40" s="217">
        <f>SUM(E40:V40)</f>
        <v>-41339</v>
      </c>
      <c r="X40" s="208"/>
      <c r="Y40" s="209"/>
    </row>
    <row r="41" spans="2:25" x14ac:dyDescent="0.4">
      <c r="B41" s="232"/>
      <c r="C41" s="198"/>
      <c r="D41" s="127" t="s">
        <v>105</v>
      </c>
      <c r="E41" s="228">
        <f>SUM(E3,E13,E23,E33)</f>
        <v>-12642</v>
      </c>
      <c r="F41" s="229"/>
      <c r="G41" s="230"/>
      <c r="H41" s="228">
        <f>SUM(H3,H13,H23,H33)</f>
        <v>13981</v>
      </c>
      <c r="I41" s="229"/>
      <c r="J41" s="230"/>
      <c r="K41" s="228">
        <f>SUM(K3,K13,K23,K33)</f>
        <v>8583</v>
      </c>
      <c r="L41" s="229"/>
      <c r="M41" s="230"/>
      <c r="N41" s="228">
        <f>SUM(N3,N13,N23,N33)</f>
        <v>5832</v>
      </c>
      <c r="O41" s="229"/>
      <c r="P41" s="230"/>
      <c r="Q41" s="228">
        <f>SUM(Q3,Q13,Q23,Q33)</f>
        <v>-6428</v>
      </c>
      <c r="R41" s="229"/>
      <c r="S41" s="230"/>
      <c r="T41" s="228">
        <f>SUM(T3,T13,T23,T33)</f>
        <v>-5470</v>
      </c>
      <c r="U41" s="229"/>
      <c r="V41" s="230"/>
      <c r="W41" s="228">
        <f>SUM(E41:V41)</f>
        <v>3856</v>
      </c>
      <c r="X41" s="229"/>
      <c r="Y41" s="231"/>
    </row>
    <row r="42" spans="2:25" x14ac:dyDescent="0.4">
      <c r="B42" s="232"/>
      <c r="C42" s="198"/>
      <c r="D42" s="128" t="s">
        <v>106</v>
      </c>
      <c r="E42" s="227">
        <f>E41-E40</f>
        <v>13444</v>
      </c>
      <c r="F42" s="195"/>
      <c r="G42" s="196"/>
      <c r="H42" s="227">
        <f>H41-H40</f>
        <v>18571</v>
      </c>
      <c r="I42" s="195"/>
      <c r="J42" s="196"/>
      <c r="K42" s="227">
        <f>K41-K40</f>
        <v>7609</v>
      </c>
      <c r="L42" s="195"/>
      <c r="M42" s="196"/>
      <c r="N42" s="227">
        <f>N41-N40</f>
        <v>-1803</v>
      </c>
      <c r="O42" s="195"/>
      <c r="P42" s="196"/>
      <c r="Q42" s="227">
        <f>Q41-Q40</f>
        <v>-146</v>
      </c>
      <c r="R42" s="195"/>
      <c r="S42" s="196"/>
      <c r="T42" s="227">
        <f>T41-T40</f>
        <v>7520</v>
      </c>
      <c r="U42" s="195"/>
      <c r="V42" s="196"/>
      <c r="W42" s="227">
        <f>W41-W40</f>
        <v>45195</v>
      </c>
      <c r="X42" s="195"/>
      <c r="Y42" s="212"/>
    </row>
    <row r="43" spans="2:25" ht="19.5" thickBot="1" x14ac:dyDescent="0.45">
      <c r="B43" s="233"/>
      <c r="C43" s="199"/>
      <c r="D43" s="102" t="s">
        <v>107</v>
      </c>
      <c r="E43" s="216">
        <f>IF(E40&lt;&gt;0,IF(E41&lt;&gt;0,E41/E40,0),0)</f>
        <v>0.48462776968488847</v>
      </c>
      <c r="F43" s="206"/>
      <c r="G43" s="215"/>
      <c r="H43" s="216">
        <f>IF(H40&lt;&gt;0,IF(H41&lt;&gt;0,H41/H40,0),0)</f>
        <v>-3.0459694989106754</v>
      </c>
      <c r="I43" s="206"/>
      <c r="J43" s="215"/>
      <c r="K43" s="216">
        <f>IF(K40&lt;&gt;0,IF(K41&lt;&gt;0,K41/K40,0),0)</f>
        <v>8.8121149897330593</v>
      </c>
      <c r="L43" s="206"/>
      <c r="M43" s="215"/>
      <c r="N43" s="216">
        <f>IF(N40&lt;&gt;0,IF(N41&lt;&gt;0,N41/N40,0),0)</f>
        <v>0.76385068762278974</v>
      </c>
      <c r="O43" s="206"/>
      <c r="P43" s="215"/>
      <c r="Q43" s="216">
        <f>IF(Q40&lt;&gt;0,IF(Q41&lt;&gt;0,Q41/Q40,0),0)</f>
        <v>1.0232410060490289</v>
      </c>
      <c r="R43" s="206"/>
      <c r="S43" s="215"/>
      <c r="T43" s="216">
        <f>IF(T40&lt;&gt;0,IF(T41&lt;&gt;0,T41/T40,0),0)</f>
        <v>0.42109314857582758</v>
      </c>
      <c r="U43" s="206"/>
      <c r="V43" s="215"/>
      <c r="W43" s="216">
        <f>IF(W40&lt;&gt;0,IF(W41&lt;&gt;0,W41/W40,0),0)</f>
        <v>-9.3277534531556155E-2</v>
      </c>
      <c r="X43" s="206"/>
      <c r="Y43" s="207"/>
    </row>
    <row r="44" spans="2:25" x14ac:dyDescent="0.4">
      <c r="B44" s="186" t="s">
        <v>125</v>
      </c>
      <c r="C44" s="188" t="s">
        <v>102</v>
      </c>
      <c r="D44" s="106" t="s">
        <v>103</v>
      </c>
      <c r="E44" s="161">
        <v>2</v>
      </c>
      <c r="F44" s="161">
        <v>8</v>
      </c>
      <c r="G44" s="161">
        <v>24658</v>
      </c>
      <c r="H44" s="161">
        <v>4</v>
      </c>
      <c r="I44" s="161">
        <v>6</v>
      </c>
      <c r="J44" s="161">
        <v>35050</v>
      </c>
      <c r="K44" s="161">
        <v>5</v>
      </c>
      <c r="L44" s="161">
        <v>13</v>
      </c>
      <c r="M44" s="161">
        <v>46121</v>
      </c>
      <c r="N44" s="161">
        <v>3</v>
      </c>
      <c r="O44" s="161">
        <v>6</v>
      </c>
      <c r="P44" s="161">
        <v>23732</v>
      </c>
      <c r="Q44" s="161">
        <v>6</v>
      </c>
      <c r="R44" s="161">
        <v>10</v>
      </c>
      <c r="S44" s="161">
        <v>36441</v>
      </c>
      <c r="T44" s="161">
        <v>7</v>
      </c>
      <c r="U44" s="161">
        <v>5</v>
      </c>
      <c r="V44" s="161">
        <v>31695</v>
      </c>
      <c r="W44" s="161">
        <f t="shared" ref="W44:X46" si="32">E44+H44+K44+N44+Q44+T44</f>
        <v>27</v>
      </c>
      <c r="X44" s="161">
        <f t="shared" si="32"/>
        <v>48</v>
      </c>
      <c r="Y44" s="171">
        <f>G44+J44+P44+S44+M44+V44</f>
        <v>197697</v>
      </c>
    </row>
    <row r="45" spans="2:25" s="96" customFormat="1" ht="18" x14ac:dyDescent="0.4">
      <c r="B45" s="186"/>
      <c r="C45" s="189"/>
      <c r="D45" s="95" t="s">
        <v>104</v>
      </c>
      <c r="E45" s="158">
        <v>1</v>
      </c>
      <c r="F45" s="158">
        <v>5</v>
      </c>
      <c r="G45" s="158">
        <v>24700</v>
      </c>
      <c r="H45" s="158">
        <v>3</v>
      </c>
      <c r="I45" s="158">
        <v>10</v>
      </c>
      <c r="J45" s="158">
        <v>40000</v>
      </c>
      <c r="K45" s="158">
        <v>3</v>
      </c>
      <c r="L45" s="158">
        <v>15</v>
      </c>
      <c r="M45" s="158">
        <v>52536</v>
      </c>
      <c r="N45" s="158">
        <v>1</v>
      </c>
      <c r="O45" s="158">
        <v>6</v>
      </c>
      <c r="P45" s="158">
        <v>24000</v>
      </c>
      <c r="Q45" s="158">
        <v>5</v>
      </c>
      <c r="R45" s="158">
        <v>0</v>
      </c>
      <c r="S45" s="158">
        <v>45000</v>
      </c>
      <c r="T45" s="158">
        <v>3</v>
      </c>
      <c r="U45" s="158">
        <v>6</v>
      </c>
      <c r="V45" s="158">
        <v>31700</v>
      </c>
      <c r="W45" s="164">
        <f t="shared" si="32"/>
        <v>16</v>
      </c>
      <c r="X45" s="164">
        <f t="shared" si="32"/>
        <v>42</v>
      </c>
      <c r="Y45" s="168">
        <f>G45+J45+P45+S45+M45+V45</f>
        <v>217936</v>
      </c>
    </row>
    <row r="46" spans="2:25" x14ac:dyDescent="0.4">
      <c r="B46" s="232"/>
      <c r="C46" s="189"/>
      <c r="D46" s="97" t="s">
        <v>105</v>
      </c>
      <c r="E46" s="162">
        <v>2</v>
      </c>
      <c r="F46" s="162">
        <v>5</v>
      </c>
      <c r="G46" s="159">
        <v>26134</v>
      </c>
      <c r="H46" s="162">
        <v>3</v>
      </c>
      <c r="I46" s="162">
        <v>10</v>
      </c>
      <c r="J46" s="159">
        <v>38814</v>
      </c>
      <c r="K46" s="162">
        <v>3</v>
      </c>
      <c r="L46" s="162">
        <v>15</v>
      </c>
      <c r="M46" s="159">
        <v>52228</v>
      </c>
      <c r="N46" s="162">
        <v>1</v>
      </c>
      <c r="O46" s="162">
        <v>6</v>
      </c>
      <c r="P46" s="159">
        <v>24425</v>
      </c>
      <c r="Q46" s="162">
        <v>4</v>
      </c>
      <c r="R46" s="162">
        <v>10</v>
      </c>
      <c r="S46" s="159">
        <v>45767</v>
      </c>
      <c r="T46" s="162">
        <v>4</v>
      </c>
      <c r="U46" s="162">
        <v>6</v>
      </c>
      <c r="V46" s="159">
        <v>31730</v>
      </c>
      <c r="W46" s="159">
        <f t="shared" si="32"/>
        <v>17</v>
      </c>
      <c r="X46" s="159">
        <f t="shared" si="32"/>
        <v>52</v>
      </c>
      <c r="Y46" s="166">
        <f>G46+J46+M46+P46+S46+V46</f>
        <v>219098</v>
      </c>
    </row>
    <row r="47" spans="2:25" x14ac:dyDescent="0.4">
      <c r="B47" s="232"/>
      <c r="C47" s="189"/>
      <c r="D47" s="98" t="s">
        <v>106</v>
      </c>
      <c r="E47" s="160">
        <f>E46-E44</f>
        <v>0</v>
      </c>
      <c r="F47" s="160">
        <f>F46-F44</f>
        <v>-3</v>
      </c>
      <c r="G47" s="160">
        <f t="shared" ref="G47" si="33">G46-G44</f>
        <v>1476</v>
      </c>
      <c r="H47" s="160">
        <f>H46-H44</f>
        <v>-1</v>
      </c>
      <c r="I47" s="160">
        <f t="shared" ref="I47:J47" si="34">I46-I44</f>
        <v>4</v>
      </c>
      <c r="J47" s="160">
        <f t="shared" si="34"/>
        <v>3764</v>
      </c>
      <c r="K47" s="160">
        <f>K46-K44</f>
        <v>-2</v>
      </c>
      <c r="L47" s="160">
        <f t="shared" ref="L47:M47" si="35">L46-L44</f>
        <v>2</v>
      </c>
      <c r="M47" s="160">
        <f t="shared" si="35"/>
        <v>6107</v>
      </c>
      <c r="N47" s="160">
        <f>N46-N44</f>
        <v>-2</v>
      </c>
      <c r="O47" s="160">
        <f t="shared" ref="O47:P47" si="36">O46-O44</f>
        <v>0</v>
      </c>
      <c r="P47" s="160">
        <f t="shared" si="36"/>
        <v>693</v>
      </c>
      <c r="Q47" s="160">
        <f>Q46-Q44</f>
        <v>-2</v>
      </c>
      <c r="R47" s="160">
        <f t="shared" ref="R47:S47" si="37">R46-R44</f>
        <v>0</v>
      </c>
      <c r="S47" s="160">
        <f t="shared" si="37"/>
        <v>9326</v>
      </c>
      <c r="T47" s="160">
        <f>T46-T44</f>
        <v>-3</v>
      </c>
      <c r="U47" s="160">
        <f t="shared" ref="U47:Y47" si="38">U46-U44</f>
        <v>1</v>
      </c>
      <c r="V47" s="160">
        <f t="shared" si="38"/>
        <v>35</v>
      </c>
      <c r="W47" s="160">
        <f t="shared" si="38"/>
        <v>-10</v>
      </c>
      <c r="X47" s="160">
        <f t="shared" si="38"/>
        <v>4</v>
      </c>
      <c r="Y47" s="167">
        <f t="shared" si="38"/>
        <v>21401</v>
      </c>
    </row>
    <row r="48" spans="2:25" x14ac:dyDescent="0.4">
      <c r="B48" s="232"/>
      <c r="C48" s="190"/>
      <c r="D48" s="100" t="s">
        <v>107</v>
      </c>
      <c r="E48" s="223">
        <f>IF(G44&lt;&gt;0,IF(G46&lt;&gt;0, G46/G44, 0),0)</f>
        <v>1.0598588693324682</v>
      </c>
      <c r="F48" s="224"/>
      <c r="G48" s="225"/>
      <c r="H48" s="223">
        <f>IF(J44&lt;&gt;0,IF(J46&lt;&gt;0, J46/J44, 0),0)</f>
        <v>1.1073894436519258</v>
      </c>
      <c r="I48" s="224"/>
      <c r="J48" s="225"/>
      <c r="K48" s="223">
        <f>IF(M44&lt;&gt;0,IF(M46&lt;&gt;0, M46/M44, 0),0)</f>
        <v>1.1324125669434748</v>
      </c>
      <c r="L48" s="224"/>
      <c r="M48" s="225"/>
      <c r="N48" s="223">
        <f>IF(P44&lt;&gt;0,IF(P46&lt;&gt;0, P46/P44, 0),0)</f>
        <v>1.0292010787122872</v>
      </c>
      <c r="O48" s="224"/>
      <c r="P48" s="225"/>
      <c r="Q48" s="223">
        <f>IF(S44&lt;&gt;0,IF(S46&lt;&gt;0, S46/S44, 0),0)</f>
        <v>1.2559205290743942</v>
      </c>
      <c r="R48" s="224"/>
      <c r="S48" s="225"/>
      <c r="T48" s="223">
        <f>IF(V44&lt;&gt;0,IF(V46&lt;&gt;0, V46/V44, 0),0)</f>
        <v>1.001104275122259</v>
      </c>
      <c r="U48" s="224"/>
      <c r="V48" s="225"/>
      <c r="W48" s="223">
        <f>IF(Y44&lt;&gt;0,IF(Y46&lt;&gt;0, Y46/Y44, 0),0)</f>
        <v>1.1082515162091484</v>
      </c>
      <c r="X48" s="224"/>
      <c r="Y48" s="226"/>
    </row>
    <row r="49" spans="2:25" x14ac:dyDescent="0.4">
      <c r="B49" s="232"/>
      <c r="C49" s="197" t="s">
        <v>108</v>
      </c>
      <c r="D49" s="104" t="s">
        <v>103</v>
      </c>
      <c r="E49" s="217">
        <v>-3865</v>
      </c>
      <c r="F49" s="208"/>
      <c r="G49" s="213"/>
      <c r="H49" s="217">
        <v>-1284</v>
      </c>
      <c r="I49" s="208"/>
      <c r="J49" s="213"/>
      <c r="K49" s="217">
        <v>3800</v>
      </c>
      <c r="L49" s="208"/>
      <c r="M49" s="213"/>
      <c r="N49" s="217">
        <v>2674</v>
      </c>
      <c r="O49" s="208"/>
      <c r="P49" s="213"/>
      <c r="Q49" s="217">
        <v>2548</v>
      </c>
      <c r="R49" s="208"/>
      <c r="S49" s="213"/>
      <c r="T49" s="217">
        <v>-9491</v>
      </c>
      <c r="U49" s="208"/>
      <c r="V49" s="213"/>
      <c r="W49" s="217">
        <f>E49+H49+K49+T49+N49+Q49</f>
        <v>-5618</v>
      </c>
      <c r="X49" s="208"/>
      <c r="Y49" s="209"/>
    </row>
    <row r="50" spans="2:25" s="96" customFormat="1" ht="18" x14ac:dyDescent="0.4">
      <c r="B50" s="232"/>
      <c r="C50" s="198"/>
      <c r="D50" s="105" t="s">
        <v>109</v>
      </c>
      <c r="E50" s="255">
        <v>-5500</v>
      </c>
      <c r="F50" s="256"/>
      <c r="G50" s="257"/>
      <c r="H50" s="255">
        <v>2800</v>
      </c>
      <c r="I50" s="256"/>
      <c r="J50" s="257"/>
      <c r="K50" s="255">
        <v>5350</v>
      </c>
      <c r="L50" s="256"/>
      <c r="M50" s="257"/>
      <c r="N50" s="255">
        <v>2700</v>
      </c>
      <c r="O50" s="256"/>
      <c r="P50" s="257"/>
      <c r="Q50" s="255">
        <v>4000</v>
      </c>
      <c r="R50" s="256"/>
      <c r="S50" s="257"/>
      <c r="T50" s="255">
        <v>-9400</v>
      </c>
      <c r="U50" s="256"/>
      <c r="V50" s="257"/>
      <c r="W50" s="234">
        <f>E50+H50+K50+T50+N50+Q50</f>
        <v>-50</v>
      </c>
      <c r="X50" s="235"/>
      <c r="Y50" s="237"/>
    </row>
    <row r="51" spans="2:25" x14ac:dyDescent="0.4">
      <c r="B51" s="232"/>
      <c r="C51" s="198"/>
      <c r="D51" s="97" t="s">
        <v>105</v>
      </c>
      <c r="E51" s="228">
        <v>-3358</v>
      </c>
      <c r="F51" s="229"/>
      <c r="G51" s="230"/>
      <c r="H51" s="228">
        <v>1661</v>
      </c>
      <c r="I51" s="229"/>
      <c r="J51" s="230"/>
      <c r="K51" s="228">
        <v>4291</v>
      </c>
      <c r="L51" s="229"/>
      <c r="M51" s="230"/>
      <c r="N51" s="228">
        <v>2133</v>
      </c>
      <c r="O51" s="229"/>
      <c r="P51" s="230"/>
      <c r="Q51" s="228">
        <v>5025</v>
      </c>
      <c r="R51" s="229"/>
      <c r="S51" s="230"/>
      <c r="T51" s="228">
        <v>-727</v>
      </c>
      <c r="U51" s="229"/>
      <c r="V51" s="230"/>
      <c r="W51" s="238">
        <f>E51+H51+K51+T51+N51+Q51</f>
        <v>9025</v>
      </c>
      <c r="X51" s="239"/>
      <c r="Y51" s="240"/>
    </row>
    <row r="52" spans="2:25" x14ac:dyDescent="0.4">
      <c r="B52" s="232"/>
      <c r="C52" s="198"/>
      <c r="D52" s="98" t="s">
        <v>106</v>
      </c>
      <c r="E52" s="227">
        <f>E51-E49</f>
        <v>507</v>
      </c>
      <c r="F52" s="195"/>
      <c r="G52" s="196"/>
      <c r="H52" s="227">
        <f>H51-H49</f>
        <v>2945</v>
      </c>
      <c r="I52" s="195"/>
      <c r="J52" s="196"/>
      <c r="K52" s="227">
        <f>K51-K49</f>
        <v>491</v>
      </c>
      <c r="L52" s="195"/>
      <c r="M52" s="196"/>
      <c r="N52" s="227">
        <f>N51-N49</f>
        <v>-541</v>
      </c>
      <c r="O52" s="195"/>
      <c r="P52" s="196"/>
      <c r="Q52" s="227">
        <f>Q51-Q49</f>
        <v>2477</v>
      </c>
      <c r="R52" s="195"/>
      <c r="S52" s="196"/>
      <c r="T52" s="227">
        <f>T51-T49</f>
        <v>8764</v>
      </c>
      <c r="U52" s="195"/>
      <c r="V52" s="196"/>
      <c r="W52" s="227">
        <f>W51-W49</f>
        <v>14643</v>
      </c>
      <c r="X52" s="195"/>
      <c r="Y52" s="212"/>
    </row>
    <row r="53" spans="2:25" ht="19.5" thickBot="1" x14ac:dyDescent="0.45">
      <c r="B53" s="232"/>
      <c r="C53" s="198"/>
      <c r="D53" s="108" t="s">
        <v>107</v>
      </c>
      <c r="E53" s="216">
        <f>IF(E49&lt;&gt;0,IF(E51&lt;&gt;0,E51/E49,0),0)</f>
        <v>0.8688227684346701</v>
      </c>
      <c r="F53" s="206"/>
      <c r="G53" s="215"/>
      <c r="H53" s="216">
        <f>IF(H49&lt;&gt;0,IF(H51&lt;&gt;0,H51/H49,0),0)</f>
        <v>-1.293613707165109</v>
      </c>
      <c r="I53" s="206"/>
      <c r="J53" s="215"/>
      <c r="K53" s="216">
        <f>IF(K49&lt;&gt;0,IF(K51&lt;&gt;0,K51/K49,0),0)</f>
        <v>1.1292105263157894</v>
      </c>
      <c r="L53" s="206"/>
      <c r="M53" s="215"/>
      <c r="N53" s="216">
        <f>IF(N49&lt;&gt;0,IF(N51&lt;&gt;0,N51/N49,0),0)</f>
        <v>0.79768137621540758</v>
      </c>
      <c r="O53" s="206"/>
      <c r="P53" s="215"/>
      <c r="Q53" s="216">
        <f>IF(Q49&lt;&gt;0,IF(Q51&lt;&gt;0,Q51/Q49,0),0)</f>
        <v>1.9721350078492936</v>
      </c>
      <c r="R53" s="206"/>
      <c r="S53" s="215"/>
      <c r="T53" s="216">
        <f>IF(T49&lt;&gt;0,IF(T51&lt;&gt;0,T51/T49,0),0)</f>
        <v>7.6598883152460231E-2</v>
      </c>
      <c r="U53" s="206"/>
      <c r="V53" s="215"/>
      <c r="W53" s="216">
        <f>IF(W49&lt;&gt;0,IF(W51&lt;&gt;0,W51/W49,0),0)</f>
        <v>-1.6064435742257031</v>
      </c>
      <c r="X53" s="206"/>
      <c r="Y53" s="207"/>
    </row>
    <row r="54" spans="2:25" x14ac:dyDescent="0.4">
      <c r="B54" s="185" t="s">
        <v>126</v>
      </c>
      <c r="C54" s="188" t="s">
        <v>102</v>
      </c>
      <c r="D54" s="94" t="s">
        <v>103</v>
      </c>
      <c r="E54" s="157">
        <v>1</v>
      </c>
      <c r="F54" s="172">
        <v>7</v>
      </c>
      <c r="G54" s="157">
        <v>20137</v>
      </c>
      <c r="H54" s="157">
        <v>4</v>
      </c>
      <c r="I54" s="172">
        <v>6</v>
      </c>
      <c r="J54" s="157">
        <v>35253</v>
      </c>
      <c r="K54" s="173">
        <v>6</v>
      </c>
      <c r="L54" s="157">
        <v>11</v>
      </c>
      <c r="M54" s="173">
        <v>44667</v>
      </c>
      <c r="N54" s="157">
        <v>3</v>
      </c>
      <c r="O54" s="157">
        <v>6</v>
      </c>
      <c r="P54" s="173">
        <v>24972</v>
      </c>
      <c r="Q54" s="157">
        <v>7</v>
      </c>
      <c r="R54" s="157">
        <v>10</v>
      </c>
      <c r="S54" s="173">
        <v>39112</v>
      </c>
      <c r="T54" s="157">
        <v>7</v>
      </c>
      <c r="U54" s="157">
        <v>5</v>
      </c>
      <c r="V54" s="173">
        <v>33139</v>
      </c>
      <c r="W54" s="157">
        <f t="shared" ref="W54:X56" si="39">E54+H54+K54+N54+Q54+T54</f>
        <v>28</v>
      </c>
      <c r="X54" s="157">
        <f t="shared" si="39"/>
        <v>45</v>
      </c>
      <c r="Y54" s="174">
        <f>G54+J54+P54+S54+M54+V54</f>
        <v>197280</v>
      </c>
    </row>
    <row r="55" spans="2:25" s="96" customFormat="1" ht="18" x14ac:dyDescent="0.4">
      <c r="B55" s="186"/>
      <c r="C55" s="189"/>
      <c r="D55" s="95" t="s">
        <v>104</v>
      </c>
      <c r="E55" s="158">
        <v>1</v>
      </c>
      <c r="F55" s="175">
        <v>7</v>
      </c>
      <c r="G55" s="175">
        <v>20441</v>
      </c>
      <c r="H55" s="158">
        <v>3</v>
      </c>
      <c r="I55" s="175">
        <v>10</v>
      </c>
      <c r="J55" s="175">
        <v>40000</v>
      </c>
      <c r="K55" s="175">
        <v>2</v>
      </c>
      <c r="L55" s="158">
        <v>15</v>
      </c>
      <c r="M55" s="175">
        <v>49100</v>
      </c>
      <c r="N55" s="158">
        <v>1</v>
      </c>
      <c r="O55" s="158">
        <v>6</v>
      </c>
      <c r="P55" s="175">
        <v>26500</v>
      </c>
      <c r="Q55" s="158">
        <v>4</v>
      </c>
      <c r="R55" s="158">
        <v>8</v>
      </c>
      <c r="S55" s="175">
        <v>40000</v>
      </c>
      <c r="T55" s="158">
        <v>5</v>
      </c>
      <c r="U55" s="158">
        <v>11</v>
      </c>
      <c r="V55" s="175">
        <v>34000</v>
      </c>
      <c r="W55" s="164">
        <f t="shared" si="39"/>
        <v>16</v>
      </c>
      <c r="X55" s="164">
        <f t="shared" si="39"/>
        <v>57</v>
      </c>
      <c r="Y55" s="176">
        <f>G55+J55+P55+S55+M55+V55</f>
        <v>210041</v>
      </c>
    </row>
    <row r="56" spans="2:25" x14ac:dyDescent="0.4">
      <c r="B56" s="232"/>
      <c r="C56" s="189"/>
      <c r="D56" s="97" t="s">
        <v>105</v>
      </c>
      <c r="E56" s="162">
        <v>1</v>
      </c>
      <c r="F56" s="148">
        <v>7</v>
      </c>
      <c r="G56" s="159">
        <v>21030</v>
      </c>
      <c r="H56" s="162">
        <v>4</v>
      </c>
      <c r="I56" s="148">
        <v>10</v>
      </c>
      <c r="J56" s="159">
        <v>41772</v>
      </c>
      <c r="K56" s="149">
        <v>1</v>
      </c>
      <c r="L56" s="162">
        <v>15</v>
      </c>
      <c r="M56" s="150">
        <v>49565</v>
      </c>
      <c r="N56" s="162">
        <v>1</v>
      </c>
      <c r="O56" s="162">
        <v>6</v>
      </c>
      <c r="P56" s="150">
        <v>27333</v>
      </c>
      <c r="Q56" s="162">
        <v>3</v>
      </c>
      <c r="R56" s="162">
        <v>7</v>
      </c>
      <c r="S56" s="150">
        <v>40382</v>
      </c>
      <c r="T56" s="162">
        <v>3</v>
      </c>
      <c r="U56" s="162">
        <v>11</v>
      </c>
      <c r="V56" s="150">
        <v>35371</v>
      </c>
      <c r="W56" s="159">
        <f t="shared" si="39"/>
        <v>13</v>
      </c>
      <c r="X56" s="159">
        <f t="shared" si="39"/>
        <v>56</v>
      </c>
      <c r="Y56" s="147">
        <f>G56+J56+M56+P56+S56+V56</f>
        <v>215453</v>
      </c>
    </row>
    <row r="57" spans="2:25" x14ac:dyDescent="0.4">
      <c r="B57" s="232"/>
      <c r="C57" s="189"/>
      <c r="D57" s="98" t="s">
        <v>106</v>
      </c>
      <c r="E57" s="160">
        <f>E56-E54</f>
        <v>0</v>
      </c>
      <c r="F57" s="160">
        <f>F56-F54</f>
        <v>0</v>
      </c>
      <c r="G57" s="143">
        <f t="shared" ref="G57" si="40">G56-G54</f>
        <v>893</v>
      </c>
      <c r="H57" s="160">
        <f>H56-H54</f>
        <v>0</v>
      </c>
      <c r="I57" s="160">
        <f t="shared" ref="I57:J57" si="41">I56-I54</f>
        <v>4</v>
      </c>
      <c r="J57" s="143">
        <f t="shared" si="41"/>
        <v>6519</v>
      </c>
      <c r="K57" s="143">
        <f>K56-K54</f>
        <v>-5</v>
      </c>
      <c r="L57" s="160">
        <f t="shared" ref="L57:M57" si="42">L56-L54</f>
        <v>4</v>
      </c>
      <c r="M57" s="143">
        <f t="shared" si="42"/>
        <v>4898</v>
      </c>
      <c r="N57" s="160">
        <f>N56-N54</f>
        <v>-2</v>
      </c>
      <c r="O57" s="160">
        <f t="shared" ref="O57:P57" si="43">O56-O54</f>
        <v>0</v>
      </c>
      <c r="P57" s="143">
        <f t="shared" si="43"/>
        <v>2361</v>
      </c>
      <c r="Q57" s="160">
        <f>Q56-Q54</f>
        <v>-4</v>
      </c>
      <c r="R57" s="160">
        <f t="shared" ref="R57:S57" si="44">R56-R54</f>
        <v>-3</v>
      </c>
      <c r="S57" s="143">
        <f t="shared" si="44"/>
        <v>1270</v>
      </c>
      <c r="T57" s="160">
        <f>T56-T54</f>
        <v>-4</v>
      </c>
      <c r="U57" s="160">
        <f t="shared" ref="U57:Y57" si="45">U56-U54</f>
        <v>6</v>
      </c>
      <c r="V57" s="143">
        <f t="shared" si="45"/>
        <v>2232</v>
      </c>
      <c r="W57" s="160">
        <f t="shared" si="45"/>
        <v>-15</v>
      </c>
      <c r="X57" s="160">
        <f t="shared" si="45"/>
        <v>11</v>
      </c>
      <c r="Y57" s="145">
        <f t="shared" si="45"/>
        <v>18173</v>
      </c>
    </row>
    <row r="58" spans="2:25" x14ac:dyDescent="0.4">
      <c r="B58" s="232"/>
      <c r="C58" s="190"/>
      <c r="D58" s="100" t="s">
        <v>107</v>
      </c>
      <c r="E58" s="223">
        <f>IF(G54&lt;&gt;0,IF(G56&lt;&gt;0, G56/G54, 0),0)</f>
        <v>1.0443462283358991</v>
      </c>
      <c r="F58" s="224"/>
      <c r="G58" s="225"/>
      <c r="H58" s="223">
        <f>IF(J54&lt;&gt;0,IF(J56&lt;&gt;0, J56/J54, 0),0)</f>
        <v>1.1849204323036338</v>
      </c>
      <c r="I58" s="224"/>
      <c r="J58" s="225"/>
      <c r="K58" s="223">
        <f>IF(M54&lt;&gt;0,IF(M56&lt;&gt;0, M56/M54, 0),0)</f>
        <v>1.1096558980903128</v>
      </c>
      <c r="L58" s="224"/>
      <c r="M58" s="225"/>
      <c r="N58" s="223">
        <f>IF(P54&lt;&gt;0,IF(P56&lt;&gt;0, P56/P54, 0),0)</f>
        <v>1.0945458913983661</v>
      </c>
      <c r="O58" s="224"/>
      <c r="P58" s="225"/>
      <c r="Q58" s="223">
        <f>IF(S54&lt;&gt;0,IF(S56&lt;&gt;0, S56/S54, 0),0)</f>
        <v>1.0324708529351605</v>
      </c>
      <c r="R58" s="224"/>
      <c r="S58" s="225"/>
      <c r="T58" s="223">
        <f>IF(V54&lt;&gt;0,IF(V56&lt;&gt;0, V56/V54, 0),0)</f>
        <v>1.0673526660430308</v>
      </c>
      <c r="U58" s="224"/>
      <c r="V58" s="225"/>
      <c r="W58" s="223">
        <f>IF(Y54&lt;&gt;0,IF(Y56&lt;&gt;0, Y56/Y54, 0),0)</f>
        <v>1.0921178021086779</v>
      </c>
      <c r="X58" s="224"/>
      <c r="Y58" s="226"/>
    </row>
    <row r="59" spans="2:25" x14ac:dyDescent="0.4">
      <c r="B59" s="232"/>
      <c r="C59" s="197" t="s">
        <v>108</v>
      </c>
      <c r="D59" s="129" t="s">
        <v>103</v>
      </c>
      <c r="E59" s="217">
        <v>-5975</v>
      </c>
      <c r="F59" s="208"/>
      <c r="G59" s="213"/>
      <c r="H59" s="217">
        <v>-1207</v>
      </c>
      <c r="I59" s="208"/>
      <c r="J59" s="213"/>
      <c r="K59" s="217">
        <v>3823</v>
      </c>
      <c r="L59" s="208"/>
      <c r="M59" s="213"/>
      <c r="N59" s="217">
        <v>-13971</v>
      </c>
      <c r="O59" s="208"/>
      <c r="P59" s="213"/>
      <c r="Q59" s="217">
        <v>4961</v>
      </c>
      <c r="R59" s="208"/>
      <c r="S59" s="213"/>
      <c r="T59" s="217">
        <v>-298</v>
      </c>
      <c r="U59" s="208"/>
      <c r="V59" s="213"/>
      <c r="W59" s="217">
        <f>E59+H59+K59+T59+N59+Q59</f>
        <v>-12667</v>
      </c>
      <c r="X59" s="208"/>
      <c r="Y59" s="209"/>
    </row>
    <row r="60" spans="2:25" s="96" customFormat="1" ht="18" x14ac:dyDescent="0.4">
      <c r="B60" s="232"/>
      <c r="C60" s="198"/>
      <c r="D60" s="101" t="s">
        <v>109</v>
      </c>
      <c r="E60" s="255">
        <v>-7005</v>
      </c>
      <c r="F60" s="256"/>
      <c r="G60" s="257"/>
      <c r="H60" s="255">
        <v>2400</v>
      </c>
      <c r="I60" s="256"/>
      <c r="J60" s="257"/>
      <c r="K60" s="255">
        <v>3900</v>
      </c>
      <c r="L60" s="256"/>
      <c r="M60" s="257"/>
      <c r="N60" s="255">
        <v>1000</v>
      </c>
      <c r="O60" s="256"/>
      <c r="P60" s="257"/>
      <c r="Q60" s="255">
        <v>3000</v>
      </c>
      <c r="R60" s="256"/>
      <c r="S60" s="257"/>
      <c r="T60" s="255">
        <v>-5500</v>
      </c>
      <c r="U60" s="256"/>
      <c r="V60" s="257"/>
      <c r="W60" s="234">
        <f>E60+H60+K60+T60+N60+Q60</f>
        <v>-2205</v>
      </c>
      <c r="X60" s="235"/>
      <c r="Y60" s="237"/>
    </row>
    <row r="61" spans="2:25" x14ac:dyDescent="0.4">
      <c r="B61" s="232"/>
      <c r="C61" s="198"/>
      <c r="D61" s="97" t="s">
        <v>105</v>
      </c>
      <c r="E61" s="228">
        <v>-3229</v>
      </c>
      <c r="F61" s="229"/>
      <c r="G61" s="230"/>
      <c r="H61" s="228">
        <v>2134</v>
      </c>
      <c r="I61" s="229"/>
      <c r="J61" s="230"/>
      <c r="K61" s="228">
        <v>3076</v>
      </c>
      <c r="L61" s="229"/>
      <c r="M61" s="230"/>
      <c r="N61" s="228">
        <v>3301</v>
      </c>
      <c r="O61" s="229"/>
      <c r="P61" s="230"/>
      <c r="Q61" s="228">
        <v>2548</v>
      </c>
      <c r="R61" s="229"/>
      <c r="S61" s="230"/>
      <c r="T61" s="228">
        <v>-5124</v>
      </c>
      <c r="U61" s="229"/>
      <c r="V61" s="230"/>
      <c r="W61" s="238">
        <f>E61+H61+K61+T61+N61+Q61</f>
        <v>2706</v>
      </c>
      <c r="X61" s="239"/>
      <c r="Y61" s="240"/>
    </row>
    <row r="62" spans="2:25" x14ac:dyDescent="0.4">
      <c r="B62" s="232"/>
      <c r="C62" s="198"/>
      <c r="D62" s="98" t="s">
        <v>106</v>
      </c>
      <c r="E62" s="227">
        <f>E61-E59</f>
        <v>2746</v>
      </c>
      <c r="F62" s="195"/>
      <c r="G62" s="196"/>
      <c r="H62" s="227">
        <f>H61-H59</f>
        <v>3341</v>
      </c>
      <c r="I62" s="195"/>
      <c r="J62" s="196"/>
      <c r="K62" s="227">
        <f>K61-K59</f>
        <v>-747</v>
      </c>
      <c r="L62" s="195"/>
      <c r="M62" s="196"/>
      <c r="N62" s="227">
        <f>N61-N59</f>
        <v>17272</v>
      </c>
      <c r="O62" s="195"/>
      <c r="P62" s="196"/>
      <c r="Q62" s="227">
        <f>Q61-Q59</f>
        <v>-2413</v>
      </c>
      <c r="R62" s="195"/>
      <c r="S62" s="196"/>
      <c r="T62" s="227">
        <f>T61-T59</f>
        <v>-4826</v>
      </c>
      <c r="U62" s="195"/>
      <c r="V62" s="196"/>
      <c r="W62" s="227">
        <f>W61-W59</f>
        <v>15373</v>
      </c>
      <c r="X62" s="195"/>
      <c r="Y62" s="212"/>
    </row>
    <row r="63" spans="2:25" ht="19.5" thickBot="1" x14ac:dyDescent="0.45">
      <c r="B63" s="232"/>
      <c r="C63" s="198"/>
      <c r="D63" s="108" t="s">
        <v>107</v>
      </c>
      <c r="E63" s="216">
        <f>IF(E59&lt;&gt;0,IF(E61&lt;&gt;0,E61/E59,0),0)</f>
        <v>0.54041841004184099</v>
      </c>
      <c r="F63" s="206"/>
      <c r="G63" s="215"/>
      <c r="H63" s="216">
        <f>IF(H59&lt;&gt;0,IF(H61&lt;&gt;0,H61/H59,0),0)</f>
        <v>-1.7680198840099419</v>
      </c>
      <c r="I63" s="206"/>
      <c r="J63" s="215"/>
      <c r="K63" s="216">
        <f>IF(K59&lt;&gt;0,IF(K61&lt;&gt;0,K61/K59,0),0)</f>
        <v>0.80460371436044986</v>
      </c>
      <c r="L63" s="206"/>
      <c r="M63" s="215"/>
      <c r="N63" s="216">
        <f>IF(N59&lt;&gt;0,IF(N61&lt;&gt;0,N61/N59,0),0)</f>
        <v>-0.23627514136425454</v>
      </c>
      <c r="O63" s="206"/>
      <c r="P63" s="215"/>
      <c r="Q63" s="216">
        <f>IF(Q59&lt;&gt;0,IF(Q61&lt;&gt;0,Q61/Q59,0),0)</f>
        <v>0.51360612779681514</v>
      </c>
      <c r="R63" s="206"/>
      <c r="S63" s="215"/>
      <c r="T63" s="216">
        <f>IF(T59&lt;&gt;0,IF(T61&lt;&gt;0,T61/T59,0),0)</f>
        <v>17.19463087248322</v>
      </c>
      <c r="U63" s="206"/>
      <c r="V63" s="215"/>
      <c r="W63" s="216">
        <f>IF(W59&lt;&gt;0,IF(W61&lt;&gt;0,W61/W59,0),0)</f>
        <v>-0.21362595721165231</v>
      </c>
      <c r="X63" s="206"/>
      <c r="Y63" s="207"/>
    </row>
    <row r="64" spans="2:25" x14ac:dyDescent="0.4">
      <c r="B64" s="185" t="s">
        <v>127</v>
      </c>
      <c r="C64" s="188" t="s">
        <v>102</v>
      </c>
      <c r="D64" s="94" t="s">
        <v>103</v>
      </c>
      <c r="E64" s="157">
        <v>2</v>
      </c>
      <c r="F64" s="157">
        <v>8</v>
      </c>
      <c r="G64" s="173">
        <v>23301</v>
      </c>
      <c r="H64" s="157">
        <v>4</v>
      </c>
      <c r="I64" s="172">
        <v>7</v>
      </c>
      <c r="J64" s="157">
        <v>35528</v>
      </c>
      <c r="K64" s="173">
        <v>6</v>
      </c>
      <c r="L64" s="157">
        <v>12</v>
      </c>
      <c r="M64" s="173">
        <v>46802</v>
      </c>
      <c r="N64" s="157">
        <v>3</v>
      </c>
      <c r="O64" s="157">
        <v>6</v>
      </c>
      <c r="P64" s="173">
        <v>24185</v>
      </c>
      <c r="Q64" s="157">
        <v>7</v>
      </c>
      <c r="R64" s="157">
        <v>10</v>
      </c>
      <c r="S64" s="173">
        <v>38448</v>
      </c>
      <c r="T64" s="157">
        <v>7</v>
      </c>
      <c r="U64" s="157">
        <v>5</v>
      </c>
      <c r="V64" s="173">
        <v>32421</v>
      </c>
      <c r="W64" s="157">
        <f t="shared" ref="W64:X66" si="46">E64+H64+K64+N64+Q64+T64</f>
        <v>29</v>
      </c>
      <c r="X64" s="157">
        <f t="shared" si="46"/>
        <v>48</v>
      </c>
      <c r="Y64" s="174">
        <f>G64+J64+P64+S64+M64+V64</f>
        <v>200685</v>
      </c>
    </row>
    <row r="65" spans="2:25" x14ac:dyDescent="0.4">
      <c r="B65" s="186"/>
      <c r="C65" s="189"/>
      <c r="D65" s="95" t="s">
        <v>104</v>
      </c>
      <c r="E65" s="158">
        <v>1</v>
      </c>
      <c r="F65" s="158">
        <v>11</v>
      </c>
      <c r="G65" s="175">
        <v>25200</v>
      </c>
      <c r="H65" s="158">
        <v>2</v>
      </c>
      <c r="I65" s="175">
        <v>10</v>
      </c>
      <c r="J65" s="175">
        <v>42600</v>
      </c>
      <c r="K65" s="175">
        <v>3</v>
      </c>
      <c r="L65" s="158">
        <v>15</v>
      </c>
      <c r="M65" s="175">
        <v>46500</v>
      </c>
      <c r="N65" s="158">
        <v>1</v>
      </c>
      <c r="O65" s="158">
        <v>5</v>
      </c>
      <c r="P65" s="175">
        <v>24700</v>
      </c>
      <c r="Q65" s="158">
        <v>6</v>
      </c>
      <c r="R65" s="158">
        <v>12</v>
      </c>
      <c r="S65" s="175">
        <v>40000</v>
      </c>
      <c r="T65" s="158">
        <v>3</v>
      </c>
      <c r="U65" s="158">
        <v>7</v>
      </c>
      <c r="V65" s="175">
        <v>32430</v>
      </c>
      <c r="W65" s="164">
        <f t="shared" si="46"/>
        <v>16</v>
      </c>
      <c r="X65" s="164">
        <f t="shared" si="46"/>
        <v>60</v>
      </c>
      <c r="Y65" s="176">
        <f>G65+J65+P65+S65+M65+V65</f>
        <v>211430</v>
      </c>
    </row>
    <row r="66" spans="2:25" x14ac:dyDescent="0.4">
      <c r="B66" s="232"/>
      <c r="C66" s="189"/>
      <c r="D66" s="97" t="s">
        <v>105</v>
      </c>
      <c r="E66" s="149">
        <v>1</v>
      </c>
      <c r="F66" s="149">
        <v>11</v>
      </c>
      <c r="G66" s="150">
        <v>26784</v>
      </c>
      <c r="H66" s="162">
        <v>1</v>
      </c>
      <c r="I66" s="148">
        <v>10</v>
      </c>
      <c r="J66" s="159">
        <v>41387</v>
      </c>
      <c r="K66" s="149">
        <v>3</v>
      </c>
      <c r="L66" s="162">
        <v>13</v>
      </c>
      <c r="M66" s="150">
        <v>47820</v>
      </c>
      <c r="N66" s="162">
        <v>1</v>
      </c>
      <c r="O66" s="162">
        <v>5</v>
      </c>
      <c r="P66" s="150">
        <v>25145</v>
      </c>
      <c r="Q66" s="162">
        <v>4</v>
      </c>
      <c r="R66" s="162">
        <v>12</v>
      </c>
      <c r="S66" s="150">
        <v>40893</v>
      </c>
      <c r="T66" s="162">
        <v>3</v>
      </c>
      <c r="U66" s="162">
        <v>7</v>
      </c>
      <c r="V66" s="150">
        <v>32321</v>
      </c>
      <c r="W66" s="159">
        <f t="shared" si="46"/>
        <v>13</v>
      </c>
      <c r="X66" s="159">
        <f t="shared" si="46"/>
        <v>58</v>
      </c>
      <c r="Y66" s="147">
        <f>G66+J66+M66+P66+S66+V66</f>
        <v>214350</v>
      </c>
    </row>
    <row r="67" spans="2:25" x14ac:dyDescent="0.4">
      <c r="B67" s="232"/>
      <c r="C67" s="189"/>
      <c r="D67" s="98" t="s">
        <v>106</v>
      </c>
      <c r="E67" s="160">
        <f>E66-E64</f>
        <v>-1</v>
      </c>
      <c r="F67" s="160">
        <f>F66-F64</f>
        <v>3</v>
      </c>
      <c r="G67" s="143">
        <f t="shared" ref="G67" si="47">G66-G64</f>
        <v>3483</v>
      </c>
      <c r="H67" s="160">
        <f>H66-H64</f>
        <v>-3</v>
      </c>
      <c r="I67" s="160">
        <f t="shared" ref="I67:J67" si="48">I66-I64</f>
        <v>3</v>
      </c>
      <c r="J67" s="143">
        <f t="shared" si="48"/>
        <v>5859</v>
      </c>
      <c r="K67" s="143">
        <f>K66-K64</f>
        <v>-3</v>
      </c>
      <c r="L67" s="160">
        <f t="shared" ref="L67:M67" si="49">L66-L64</f>
        <v>1</v>
      </c>
      <c r="M67" s="143">
        <f t="shared" si="49"/>
        <v>1018</v>
      </c>
      <c r="N67" s="160">
        <f>N66-N64</f>
        <v>-2</v>
      </c>
      <c r="O67" s="160">
        <f t="shared" ref="O67:P67" si="50">O66-O64</f>
        <v>-1</v>
      </c>
      <c r="P67" s="143">
        <f t="shared" si="50"/>
        <v>960</v>
      </c>
      <c r="Q67" s="160">
        <f>Q66-Q64</f>
        <v>-3</v>
      </c>
      <c r="R67" s="160">
        <f t="shared" ref="R67:S67" si="51">R66-R64</f>
        <v>2</v>
      </c>
      <c r="S67" s="143">
        <f t="shared" si="51"/>
        <v>2445</v>
      </c>
      <c r="T67" s="160">
        <f>T66-T64</f>
        <v>-4</v>
      </c>
      <c r="U67" s="160">
        <f t="shared" ref="U67:Y67" si="52">U66-U64</f>
        <v>2</v>
      </c>
      <c r="V67" s="143">
        <f t="shared" si="52"/>
        <v>-100</v>
      </c>
      <c r="W67" s="160">
        <f t="shared" si="52"/>
        <v>-16</v>
      </c>
      <c r="X67" s="160">
        <f t="shared" si="52"/>
        <v>10</v>
      </c>
      <c r="Y67" s="145">
        <f t="shared" si="52"/>
        <v>13665</v>
      </c>
    </row>
    <row r="68" spans="2:25" x14ac:dyDescent="0.4">
      <c r="B68" s="232"/>
      <c r="C68" s="190"/>
      <c r="D68" s="100" t="s">
        <v>107</v>
      </c>
      <c r="E68" s="223">
        <f>IF(G64&lt;&gt;0,IF(G66&lt;&gt;0, G66/G64, 0),0)</f>
        <v>1.1494785631517961</v>
      </c>
      <c r="F68" s="224"/>
      <c r="G68" s="225"/>
      <c r="H68" s="223">
        <f>IF(J64&lt;&gt;0,IF(J66&lt;&gt;0, J66/J64, 0),0)</f>
        <v>1.1649121819410042</v>
      </c>
      <c r="I68" s="224"/>
      <c r="J68" s="225"/>
      <c r="K68" s="223">
        <f>IF(M64&lt;&gt;0,IF(M66&lt;&gt;0, M66/M64, 0),0)</f>
        <v>1.021751207213367</v>
      </c>
      <c r="L68" s="224"/>
      <c r="M68" s="225"/>
      <c r="N68" s="223">
        <f>IF(P64&lt;&gt;0,IF(P66&lt;&gt;0, P66/P64, 0),0)</f>
        <v>1.0396940252222453</v>
      </c>
      <c r="O68" s="224"/>
      <c r="P68" s="225"/>
      <c r="Q68" s="223">
        <f>IF(S64&lt;&gt;0,IF(S66&lt;&gt;0, S66/S64, 0),0)</f>
        <v>1.0635923845193509</v>
      </c>
      <c r="R68" s="224"/>
      <c r="S68" s="225"/>
      <c r="T68" s="223">
        <f>IF(V64&lt;&gt;0,IF(V66&lt;&gt;0, V66/V64, 0),0)</f>
        <v>0.99691557940840814</v>
      </c>
      <c r="U68" s="224"/>
      <c r="V68" s="225"/>
      <c r="W68" s="223">
        <f>IF(Y64&lt;&gt;0,IF(Y66&lt;&gt;0, Y66/Y64, 0),0)</f>
        <v>1.0680917856342029</v>
      </c>
      <c r="X68" s="224"/>
      <c r="Y68" s="226"/>
    </row>
    <row r="69" spans="2:25" x14ac:dyDescent="0.4">
      <c r="B69" s="232"/>
      <c r="C69" s="197" t="s">
        <v>108</v>
      </c>
      <c r="D69" s="104" t="s">
        <v>103</v>
      </c>
      <c r="E69" s="217">
        <v>-3494</v>
      </c>
      <c r="F69" s="208"/>
      <c r="G69" s="213"/>
      <c r="H69" s="217">
        <v>-496</v>
      </c>
      <c r="I69" s="208"/>
      <c r="J69" s="213"/>
      <c r="K69" s="217">
        <v>4724</v>
      </c>
      <c r="L69" s="208"/>
      <c r="M69" s="213"/>
      <c r="N69" s="217">
        <v>3635</v>
      </c>
      <c r="O69" s="208"/>
      <c r="P69" s="213"/>
      <c r="Q69" s="217">
        <v>-13173</v>
      </c>
      <c r="R69" s="208"/>
      <c r="S69" s="213"/>
      <c r="T69" s="217">
        <v>-3379</v>
      </c>
      <c r="U69" s="208"/>
      <c r="V69" s="213"/>
      <c r="W69" s="217">
        <f>E69+H69+K69+T69+N69+Q69</f>
        <v>-12183</v>
      </c>
      <c r="X69" s="208"/>
      <c r="Y69" s="209"/>
    </row>
    <row r="70" spans="2:25" x14ac:dyDescent="0.4">
      <c r="B70" s="232"/>
      <c r="C70" s="198"/>
      <c r="D70" s="105" t="s">
        <v>109</v>
      </c>
      <c r="E70" s="255">
        <v>-2500</v>
      </c>
      <c r="F70" s="256"/>
      <c r="G70" s="257"/>
      <c r="H70" s="255">
        <v>2200</v>
      </c>
      <c r="I70" s="256"/>
      <c r="J70" s="257"/>
      <c r="K70" s="255">
        <v>3160</v>
      </c>
      <c r="L70" s="256"/>
      <c r="M70" s="257"/>
      <c r="N70" s="255">
        <v>3700</v>
      </c>
      <c r="O70" s="256"/>
      <c r="P70" s="257"/>
      <c r="Q70" s="255">
        <v>-2000</v>
      </c>
      <c r="R70" s="256"/>
      <c r="S70" s="257"/>
      <c r="T70" s="255">
        <v>-5200</v>
      </c>
      <c r="U70" s="256"/>
      <c r="V70" s="257"/>
      <c r="W70" s="234">
        <f>E70+H70+K70+T70+N70+Q70</f>
        <v>-640</v>
      </c>
      <c r="X70" s="235"/>
      <c r="Y70" s="237"/>
    </row>
    <row r="71" spans="2:25" x14ac:dyDescent="0.4">
      <c r="B71" s="232"/>
      <c r="C71" s="198"/>
      <c r="D71" s="97" t="s">
        <v>105</v>
      </c>
      <c r="E71" s="228">
        <v>-385</v>
      </c>
      <c r="F71" s="229"/>
      <c r="G71" s="230"/>
      <c r="H71" s="228">
        <v>1680</v>
      </c>
      <c r="I71" s="229"/>
      <c r="J71" s="230"/>
      <c r="K71" s="228">
        <v>3652</v>
      </c>
      <c r="L71" s="229"/>
      <c r="M71" s="230"/>
      <c r="N71" s="228">
        <v>1753</v>
      </c>
      <c r="O71" s="229"/>
      <c r="P71" s="230"/>
      <c r="Q71" s="228">
        <v>3840</v>
      </c>
      <c r="R71" s="229"/>
      <c r="S71" s="230"/>
      <c r="T71" s="228">
        <v>-648</v>
      </c>
      <c r="U71" s="229"/>
      <c r="V71" s="230"/>
      <c r="W71" s="238">
        <f>E71+H71+K71+T71+N71+Q71</f>
        <v>9892</v>
      </c>
      <c r="X71" s="239"/>
      <c r="Y71" s="240"/>
    </row>
    <row r="72" spans="2:25" x14ac:dyDescent="0.4">
      <c r="B72" s="232"/>
      <c r="C72" s="198"/>
      <c r="D72" s="98" t="s">
        <v>106</v>
      </c>
      <c r="E72" s="227">
        <f>E71-E69</f>
        <v>3109</v>
      </c>
      <c r="F72" s="195"/>
      <c r="G72" s="196"/>
      <c r="H72" s="227">
        <f>H71-H69</f>
        <v>2176</v>
      </c>
      <c r="I72" s="195"/>
      <c r="J72" s="196"/>
      <c r="K72" s="227">
        <f>K71-K69</f>
        <v>-1072</v>
      </c>
      <c r="L72" s="195"/>
      <c r="M72" s="196"/>
      <c r="N72" s="227">
        <f>N71-N69</f>
        <v>-1882</v>
      </c>
      <c r="O72" s="195"/>
      <c r="P72" s="196"/>
      <c r="Q72" s="227">
        <f>Q71-Q69</f>
        <v>17013</v>
      </c>
      <c r="R72" s="195"/>
      <c r="S72" s="196"/>
      <c r="T72" s="227">
        <f>T71-T69</f>
        <v>2731</v>
      </c>
      <c r="U72" s="195"/>
      <c r="V72" s="196"/>
      <c r="W72" s="227">
        <f>W71-W69</f>
        <v>22075</v>
      </c>
      <c r="X72" s="195"/>
      <c r="Y72" s="212"/>
    </row>
    <row r="73" spans="2:25" ht="19.5" thickBot="1" x14ac:dyDescent="0.45">
      <c r="B73" s="233"/>
      <c r="C73" s="199"/>
      <c r="D73" s="102" t="s">
        <v>107</v>
      </c>
      <c r="E73" s="216">
        <f>IF(E69&lt;&gt;0,IF(E71&lt;&gt;0,E71/E69,0),0)</f>
        <v>0.11018889524899829</v>
      </c>
      <c r="F73" s="206"/>
      <c r="G73" s="215"/>
      <c r="H73" s="216">
        <f>IF(H69&lt;&gt;0,IF(H71&lt;&gt;0,H71/H69,0),0)</f>
        <v>-3.3870967741935485</v>
      </c>
      <c r="I73" s="206"/>
      <c r="J73" s="215"/>
      <c r="K73" s="216">
        <f>IF(K69&lt;&gt;0,IF(K71&lt;&gt;0,K71/K69,0),0)</f>
        <v>0.77307366638441999</v>
      </c>
      <c r="L73" s="206"/>
      <c r="M73" s="215"/>
      <c r="N73" s="216">
        <f>IF(N69&lt;&gt;0,IF(N71&lt;&gt;0,N71/N69,0),0)</f>
        <v>0.48225584594222831</v>
      </c>
      <c r="O73" s="206"/>
      <c r="P73" s="215"/>
      <c r="Q73" s="216">
        <f>IF(Q69&lt;&gt;0,IF(Q71&lt;&gt;0,Q71/Q69,0),0)</f>
        <v>-0.29150535185606924</v>
      </c>
      <c r="R73" s="206"/>
      <c r="S73" s="215"/>
      <c r="T73" s="216">
        <f>IF(T69&lt;&gt;0,IF(T71&lt;&gt;0,T71/T69,0),0)</f>
        <v>0.191772713820657</v>
      </c>
      <c r="U73" s="206"/>
      <c r="V73" s="215"/>
      <c r="W73" s="216">
        <f>IF(W69&lt;&gt;0,IF(W71&lt;&gt;0,W71/W69,0),0)</f>
        <v>-0.81195107937289668</v>
      </c>
      <c r="X73" s="206"/>
      <c r="Y73" s="207"/>
    </row>
    <row r="74" spans="2:25" x14ac:dyDescent="0.4">
      <c r="B74" s="185" t="s">
        <v>136</v>
      </c>
      <c r="C74" s="188" t="s">
        <v>102</v>
      </c>
      <c r="D74" s="94" t="s">
        <v>103</v>
      </c>
      <c r="E74" s="157">
        <f t="shared" ref="E74:V74" si="53">SUM(E44,E54,E64)</f>
        <v>5</v>
      </c>
      <c r="F74" s="157">
        <f t="shared" si="53"/>
        <v>23</v>
      </c>
      <c r="G74" s="173">
        <f t="shared" si="53"/>
        <v>68096</v>
      </c>
      <c r="H74" s="157">
        <f t="shared" si="53"/>
        <v>12</v>
      </c>
      <c r="I74" s="157">
        <f t="shared" si="53"/>
        <v>19</v>
      </c>
      <c r="J74" s="173">
        <f t="shared" si="53"/>
        <v>105831</v>
      </c>
      <c r="K74" s="173">
        <f t="shared" si="53"/>
        <v>17</v>
      </c>
      <c r="L74" s="157">
        <f t="shared" si="53"/>
        <v>36</v>
      </c>
      <c r="M74" s="173">
        <f t="shared" si="53"/>
        <v>137590</v>
      </c>
      <c r="N74" s="157">
        <f t="shared" si="53"/>
        <v>9</v>
      </c>
      <c r="O74" s="157">
        <f t="shared" si="53"/>
        <v>18</v>
      </c>
      <c r="P74" s="173">
        <f t="shared" si="53"/>
        <v>72889</v>
      </c>
      <c r="Q74" s="157">
        <f t="shared" si="53"/>
        <v>20</v>
      </c>
      <c r="R74" s="157">
        <f t="shared" si="53"/>
        <v>30</v>
      </c>
      <c r="S74" s="173">
        <f t="shared" si="53"/>
        <v>114001</v>
      </c>
      <c r="T74" s="157">
        <f t="shared" si="53"/>
        <v>21</v>
      </c>
      <c r="U74" s="157">
        <f t="shared" si="53"/>
        <v>15</v>
      </c>
      <c r="V74" s="173">
        <f t="shared" si="53"/>
        <v>97255</v>
      </c>
      <c r="W74" s="157">
        <f t="shared" ref="W74:W75" si="54">E74+H74+K74+N74+Q74+T74</f>
        <v>84</v>
      </c>
      <c r="X74" s="157">
        <f t="shared" ref="X74:X75" si="55">F74+I74+L74+O74+R74+U74</f>
        <v>141</v>
      </c>
      <c r="Y74" s="174">
        <f t="shared" ref="Y74:Y75" si="56">G74+J74+M74+P74+S74+V74</f>
        <v>595662</v>
      </c>
    </row>
    <row r="75" spans="2:25" x14ac:dyDescent="0.4">
      <c r="B75" s="232"/>
      <c r="C75" s="189"/>
      <c r="D75" s="97" t="s">
        <v>105</v>
      </c>
      <c r="E75" s="181">
        <f t="shared" ref="E75:M75" si="57">SUM(E46,E56,E66)</f>
        <v>4</v>
      </c>
      <c r="F75" s="181">
        <f t="shared" si="57"/>
        <v>23</v>
      </c>
      <c r="G75" s="182">
        <f t="shared" si="57"/>
        <v>73948</v>
      </c>
      <c r="H75" s="162">
        <f t="shared" si="57"/>
        <v>8</v>
      </c>
      <c r="I75" s="162">
        <f t="shared" si="57"/>
        <v>30</v>
      </c>
      <c r="J75" s="182">
        <f t="shared" si="57"/>
        <v>121973</v>
      </c>
      <c r="K75" s="181">
        <f t="shared" si="57"/>
        <v>7</v>
      </c>
      <c r="L75" s="162">
        <f t="shared" si="57"/>
        <v>43</v>
      </c>
      <c r="M75" s="182">
        <f t="shared" si="57"/>
        <v>149613</v>
      </c>
      <c r="N75" s="162">
        <f t="shared" ref="N75:S75" si="58">SUM(N45,N55,N65)</f>
        <v>3</v>
      </c>
      <c r="O75" s="162">
        <f t="shared" si="58"/>
        <v>17</v>
      </c>
      <c r="P75" s="182">
        <f t="shared" si="58"/>
        <v>75200</v>
      </c>
      <c r="Q75" s="162">
        <f t="shared" si="58"/>
        <v>15</v>
      </c>
      <c r="R75" s="162">
        <f t="shared" si="58"/>
        <v>20</v>
      </c>
      <c r="S75" s="182">
        <f t="shared" si="58"/>
        <v>125000</v>
      </c>
      <c r="T75" s="162">
        <f>SUM(T46,T56,T66)</f>
        <v>10</v>
      </c>
      <c r="U75" s="162">
        <f>SUM(U46,U56,U66)</f>
        <v>24</v>
      </c>
      <c r="V75" s="182">
        <f>SUM(V46,V56,V66)</f>
        <v>99422</v>
      </c>
      <c r="W75" s="159">
        <f t="shared" si="54"/>
        <v>47</v>
      </c>
      <c r="X75" s="159">
        <f t="shared" si="55"/>
        <v>157</v>
      </c>
      <c r="Y75" s="180">
        <f t="shared" si="56"/>
        <v>645156</v>
      </c>
    </row>
    <row r="76" spans="2:25" x14ac:dyDescent="0.4">
      <c r="B76" s="232"/>
      <c r="C76" s="189"/>
      <c r="D76" s="98" t="s">
        <v>106</v>
      </c>
      <c r="E76" s="160">
        <f>E75-E74</f>
        <v>-1</v>
      </c>
      <c r="F76" s="160">
        <f t="shared" ref="F76:G76" si="59">F75-F74</f>
        <v>0</v>
      </c>
      <c r="G76" s="178">
        <f t="shared" si="59"/>
        <v>5852</v>
      </c>
      <c r="H76" s="160">
        <f>H75-H74</f>
        <v>-4</v>
      </c>
      <c r="I76" s="160">
        <f t="shared" ref="I76:J76" si="60">I75-I74</f>
        <v>11</v>
      </c>
      <c r="J76" s="178">
        <f t="shared" si="60"/>
        <v>16142</v>
      </c>
      <c r="K76" s="178">
        <f>K75-K74</f>
        <v>-10</v>
      </c>
      <c r="L76" s="160">
        <f t="shared" ref="L76:M76" si="61">L75-L74</f>
        <v>7</v>
      </c>
      <c r="M76" s="178">
        <f t="shared" si="61"/>
        <v>12023</v>
      </c>
      <c r="N76" s="160">
        <f>N75-N74</f>
        <v>-6</v>
      </c>
      <c r="O76" s="160">
        <f t="shared" ref="O76:P76" si="62">O75-O74</f>
        <v>-1</v>
      </c>
      <c r="P76" s="178">
        <f t="shared" si="62"/>
        <v>2311</v>
      </c>
      <c r="Q76" s="160">
        <f>Q75-Q74</f>
        <v>-5</v>
      </c>
      <c r="R76" s="160">
        <f t="shared" ref="R76:S76" si="63">R75-R74</f>
        <v>-10</v>
      </c>
      <c r="S76" s="178">
        <f t="shared" si="63"/>
        <v>10999</v>
      </c>
      <c r="T76" s="160">
        <f>T75-T74</f>
        <v>-11</v>
      </c>
      <c r="U76" s="160">
        <f t="shared" ref="U76:V76" si="64">U75-U74</f>
        <v>9</v>
      </c>
      <c r="V76" s="178">
        <f t="shared" si="64"/>
        <v>2167</v>
      </c>
      <c r="W76" s="160">
        <f>W75-W74</f>
        <v>-37</v>
      </c>
      <c r="X76" s="160">
        <f t="shared" ref="X76:Y76" si="65">X75-X74</f>
        <v>16</v>
      </c>
      <c r="Y76" s="179">
        <f t="shared" si="65"/>
        <v>49494</v>
      </c>
    </row>
    <row r="77" spans="2:25" x14ac:dyDescent="0.4">
      <c r="B77" s="232"/>
      <c r="C77" s="190"/>
      <c r="D77" s="100" t="s">
        <v>107</v>
      </c>
      <c r="E77" s="223">
        <f>IF(G74&lt;&gt;0,IF(G75&lt;&gt;0,G75/G74,0),0)</f>
        <v>1.0859375</v>
      </c>
      <c r="F77" s="224"/>
      <c r="G77" s="225"/>
      <c r="H77" s="223">
        <f>IF(J74&lt;&gt;0,IF(J75&lt;&gt;0,J75/J74,0),0)</f>
        <v>1.1525261974279748</v>
      </c>
      <c r="I77" s="224"/>
      <c r="J77" s="225"/>
      <c r="K77" s="223">
        <f>IF(M74&lt;&gt;0,IF(M75&lt;&gt;0,M75/M74,0),0)</f>
        <v>1.0873828039828477</v>
      </c>
      <c r="L77" s="224"/>
      <c r="M77" s="225"/>
      <c r="N77" s="223">
        <f>IF(P74&lt;&gt;0,IF(P75&lt;&gt;0,P75/P74,0),0)</f>
        <v>1.0317057443509994</v>
      </c>
      <c r="O77" s="224"/>
      <c r="P77" s="225"/>
      <c r="Q77" s="223">
        <f>IF(S74&lt;&gt;0,IF(S75&lt;&gt;0,S75/S74,0),0)</f>
        <v>1.0964816098104402</v>
      </c>
      <c r="R77" s="224"/>
      <c r="S77" s="225"/>
      <c r="T77" s="223">
        <f>IF(V74&lt;&gt;0,IF(V75&lt;&gt;0,V75/V74,0),0)</f>
        <v>1.0222816307644851</v>
      </c>
      <c r="U77" s="224"/>
      <c r="V77" s="225"/>
      <c r="W77" s="223">
        <f>IF(Y74&lt;&gt;0,IF(Y75&lt;&gt;0,Y75/Y74,0),0)</f>
        <v>1.0830907460942616</v>
      </c>
      <c r="X77" s="224"/>
      <c r="Y77" s="226"/>
    </row>
    <row r="78" spans="2:25" x14ac:dyDescent="0.4">
      <c r="B78" s="232"/>
      <c r="C78" s="197" t="s">
        <v>108</v>
      </c>
      <c r="D78" s="126" t="s">
        <v>103</v>
      </c>
      <c r="E78" s="217">
        <f>SUM(E49,E59,E69)</f>
        <v>-13334</v>
      </c>
      <c r="F78" s="208"/>
      <c r="G78" s="213"/>
      <c r="H78" s="217">
        <f>SUM(H49,H59,H69)</f>
        <v>-2987</v>
      </c>
      <c r="I78" s="208"/>
      <c r="J78" s="213"/>
      <c r="K78" s="217">
        <f>SUM(K49,K59,K69)</f>
        <v>12347</v>
      </c>
      <c r="L78" s="208"/>
      <c r="M78" s="213"/>
      <c r="N78" s="217">
        <f>SUM(N49,N59,N69)</f>
        <v>-7662</v>
      </c>
      <c r="O78" s="208"/>
      <c r="P78" s="213"/>
      <c r="Q78" s="217">
        <f>SUM(Q49,Q59,Q69)</f>
        <v>-5664</v>
      </c>
      <c r="R78" s="208"/>
      <c r="S78" s="213"/>
      <c r="T78" s="217">
        <f>SUM(T49,T59,T69)</f>
        <v>-13168</v>
      </c>
      <c r="U78" s="208"/>
      <c r="V78" s="213"/>
      <c r="W78" s="217">
        <f>SUM(E78:V78)</f>
        <v>-30468</v>
      </c>
      <c r="X78" s="208"/>
      <c r="Y78" s="209"/>
    </row>
    <row r="79" spans="2:25" x14ac:dyDescent="0.4">
      <c r="B79" s="232"/>
      <c r="C79" s="198"/>
      <c r="D79" s="127" t="s">
        <v>105</v>
      </c>
      <c r="E79" s="228">
        <f>SUM(E51,E61,E71)</f>
        <v>-6972</v>
      </c>
      <c r="F79" s="229"/>
      <c r="G79" s="230"/>
      <c r="H79" s="228">
        <f>SUM(H51,H61,H71)</f>
        <v>5475</v>
      </c>
      <c r="I79" s="229"/>
      <c r="J79" s="230"/>
      <c r="K79" s="228">
        <f>SUM(K51,K61,K71)</f>
        <v>11019</v>
      </c>
      <c r="L79" s="229"/>
      <c r="M79" s="230"/>
      <c r="N79" s="228">
        <f>SUM(N51,N61,N71)</f>
        <v>7187</v>
      </c>
      <c r="O79" s="229"/>
      <c r="P79" s="230"/>
      <c r="Q79" s="228">
        <f>SUM(Q51,Q61,Q71)</f>
        <v>11413</v>
      </c>
      <c r="R79" s="229"/>
      <c r="S79" s="230"/>
      <c r="T79" s="228">
        <f>SUM(T51,T61,T71)</f>
        <v>-6499</v>
      </c>
      <c r="U79" s="229"/>
      <c r="V79" s="230"/>
      <c r="W79" s="228">
        <f>SUM(E79:V79)</f>
        <v>21623</v>
      </c>
      <c r="X79" s="229"/>
      <c r="Y79" s="231"/>
    </row>
    <row r="80" spans="2:25" x14ac:dyDescent="0.4">
      <c r="B80" s="232"/>
      <c r="C80" s="198"/>
      <c r="D80" s="128" t="s">
        <v>106</v>
      </c>
      <c r="E80" s="227">
        <f>E79-E78</f>
        <v>6362</v>
      </c>
      <c r="F80" s="195"/>
      <c r="G80" s="196"/>
      <c r="H80" s="227">
        <f>H79-H78</f>
        <v>8462</v>
      </c>
      <c r="I80" s="195"/>
      <c r="J80" s="196"/>
      <c r="K80" s="227">
        <f>K79-K78</f>
        <v>-1328</v>
      </c>
      <c r="L80" s="195"/>
      <c r="M80" s="196"/>
      <c r="N80" s="227">
        <f>N79-N78</f>
        <v>14849</v>
      </c>
      <c r="O80" s="195"/>
      <c r="P80" s="196"/>
      <c r="Q80" s="227">
        <f>Q79-Q78</f>
        <v>17077</v>
      </c>
      <c r="R80" s="195"/>
      <c r="S80" s="196"/>
      <c r="T80" s="227">
        <f>T79-T78</f>
        <v>6669</v>
      </c>
      <c r="U80" s="195"/>
      <c r="V80" s="196"/>
      <c r="W80" s="227">
        <f>W79-W78</f>
        <v>52091</v>
      </c>
      <c r="X80" s="195"/>
      <c r="Y80" s="212"/>
    </row>
    <row r="81" spans="2:25" ht="19.5" thickBot="1" x14ac:dyDescent="0.45">
      <c r="B81" s="233"/>
      <c r="C81" s="199"/>
      <c r="D81" s="102" t="s">
        <v>107</v>
      </c>
      <c r="E81" s="216">
        <f>IF(E78&lt;&gt;0,IF(E79&lt;&gt;0,E79/E78,0),0)</f>
        <v>0.52287385630718464</v>
      </c>
      <c r="F81" s="206"/>
      <c r="G81" s="215"/>
      <c r="H81" s="216">
        <f>IF(H78&lt;&gt;0,IF(H79&lt;&gt;0,H79/H78,0),0)</f>
        <v>-1.8329427519250083</v>
      </c>
      <c r="I81" s="206"/>
      <c r="J81" s="215"/>
      <c r="K81" s="216">
        <f>IF(K78&lt;&gt;0,IF(K79&lt;&gt;0,K79/K78,0),0)</f>
        <v>0.89244350854458576</v>
      </c>
      <c r="L81" s="206"/>
      <c r="M81" s="215"/>
      <c r="N81" s="216">
        <f>IF(N78&lt;&gt;0,IF(N79&lt;&gt;0,N79/N78,0),0)</f>
        <v>-0.93800574262594627</v>
      </c>
      <c r="O81" s="206"/>
      <c r="P81" s="215"/>
      <c r="Q81" s="216">
        <f>IF(Q78&lt;&gt;0,IF(Q79&lt;&gt;0,Q79/Q78,0),0)</f>
        <v>-2.0150070621468927</v>
      </c>
      <c r="R81" s="206"/>
      <c r="S81" s="215"/>
      <c r="T81" s="216">
        <f>IF(T78&lt;&gt;0,IF(T79&lt;&gt;0,T79/T78,0),0)</f>
        <v>0.49354495747266097</v>
      </c>
      <c r="U81" s="206"/>
      <c r="V81" s="215"/>
      <c r="W81" s="216">
        <f>IF(W78&lt;&gt;0,IF(W79&lt;&gt;0,W79/W78,0),0)</f>
        <v>-0.70969541814362613</v>
      </c>
      <c r="X81" s="206"/>
      <c r="Y81" s="207"/>
    </row>
    <row r="82" spans="2:25" x14ac:dyDescent="0.4">
      <c r="B82" s="185" t="s">
        <v>137</v>
      </c>
      <c r="C82" s="188" t="s">
        <v>102</v>
      </c>
      <c r="D82" s="94" t="s">
        <v>103</v>
      </c>
      <c r="E82" s="157">
        <f>SUM(E36,E74)</f>
        <v>9</v>
      </c>
      <c r="F82" s="157">
        <f>SUM(F36,F74)</f>
        <v>41</v>
      </c>
      <c r="G82" s="173">
        <f>SUM(G36,G74)</f>
        <v>135957</v>
      </c>
      <c r="H82" s="157">
        <f t="shared" ref="H82:V82" si="66">SUM(H36,H74)</f>
        <v>24</v>
      </c>
      <c r="I82" s="157">
        <f t="shared" si="66"/>
        <v>50</v>
      </c>
      <c r="J82" s="173">
        <f t="shared" si="66"/>
        <v>220492</v>
      </c>
      <c r="K82" s="173">
        <f t="shared" si="66"/>
        <v>32</v>
      </c>
      <c r="L82" s="157">
        <f t="shared" si="66"/>
        <v>70</v>
      </c>
      <c r="M82" s="173">
        <f t="shared" si="66"/>
        <v>274928</v>
      </c>
      <c r="N82" s="157">
        <f t="shared" si="66"/>
        <v>17</v>
      </c>
      <c r="O82" s="157">
        <f t="shared" si="66"/>
        <v>37</v>
      </c>
      <c r="P82" s="173">
        <f t="shared" si="66"/>
        <v>145320</v>
      </c>
      <c r="Q82" s="157">
        <f t="shared" si="66"/>
        <v>36</v>
      </c>
      <c r="R82" s="157">
        <f t="shared" si="66"/>
        <v>56</v>
      </c>
      <c r="S82" s="173">
        <f t="shared" si="66"/>
        <v>214973</v>
      </c>
      <c r="T82" s="157">
        <f t="shared" si="66"/>
        <v>42</v>
      </c>
      <c r="U82" s="157">
        <f t="shared" si="66"/>
        <v>28</v>
      </c>
      <c r="V82" s="173">
        <f t="shared" si="66"/>
        <v>193623</v>
      </c>
      <c r="W82" s="157">
        <f t="shared" ref="W82:W83" si="67">E82+H82+K82+N82+Q82+T82</f>
        <v>160</v>
      </c>
      <c r="X82" s="157">
        <f t="shared" ref="X82:X83" si="68">F82+I82+L82+O82+R82+U82</f>
        <v>282</v>
      </c>
      <c r="Y82" s="174">
        <f t="shared" ref="Y82:Y83" si="69">G82+J82+M82+P82+S82+V82</f>
        <v>1185293</v>
      </c>
    </row>
    <row r="83" spans="2:25" x14ac:dyDescent="0.4">
      <c r="B83" s="232"/>
      <c r="C83" s="189"/>
      <c r="D83" s="97" t="s">
        <v>105</v>
      </c>
      <c r="E83" s="181">
        <f>SUM(E37,E75)</f>
        <v>8</v>
      </c>
      <c r="F83" s="181">
        <f t="shared" ref="F83:H83" si="70">SUM(F37,F75)</f>
        <v>45</v>
      </c>
      <c r="G83" s="182">
        <f t="shared" si="70"/>
        <v>151232</v>
      </c>
      <c r="H83" s="162">
        <f t="shared" si="70"/>
        <v>17</v>
      </c>
      <c r="I83" s="162">
        <f t="shared" ref="I83:V83" si="71">SUM(I37,I75)</f>
        <v>68</v>
      </c>
      <c r="J83" s="182">
        <f t="shared" si="71"/>
        <v>253283</v>
      </c>
      <c r="K83" s="181">
        <f t="shared" si="71"/>
        <v>17</v>
      </c>
      <c r="L83" s="162">
        <f t="shared" si="71"/>
        <v>83</v>
      </c>
      <c r="M83" s="182">
        <f t="shared" si="71"/>
        <v>297247</v>
      </c>
      <c r="N83" s="162">
        <f t="shared" si="71"/>
        <v>6</v>
      </c>
      <c r="O83" s="162">
        <f t="shared" si="71"/>
        <v>38</v>
      </c>
      <c r="P83" s="182">
        <f t="shared" si="71"/>
        <v>148800</v>
      </c>
      <c r="Q83" s="162">
        <f t="shared" si="71"/>
        <v>30</v>
      </c>
      <c r="R83" s="162">
        <f t="shared" si="71"/>
        <v>41</v>
      </c>
      <c r="S83" s="182">
        <f t="shared" si="71"/>
        <v>229500</v>
      </c>
      <c r="T83" s="162">
        <f t="shared" si="71"/>
        <v>18</v>
      </c>
      <c r="U83" s="162">
        <f t="shared" si="71"/>
        <v>43</v>
      </c>
      <c r="V83" s="182">
        <f t="shared" si="71"/>
        <v>193697</v>
      </c>
      <c r="W83" s="159">
        <f t="shared" si="67"/>
        <v>96</v>
      </c>
      <c r="X83" s="159">
        <f t="shared" si="68"/>
        <v>318</v>
      </c>
      <c r="Y83" s="180">
        <f t="shared" si="69"/>
        <v>1273759</v>
      </c>
    </row>
    <row r="84" spans="2:25" x14ac:dyDescent="0.4">
      <c r="B84" s="232"/>
      <c r="C84" s="189"/>
      <c r="D84" s="98" t="s">
        <v>106</v>
      </c>
      <c r="E84" s="160">
        <f>E83-E82</f>
        <v>-1</v>
      </c>
      <c r="F84" s="160">
        <f t="shared" ref="F84:G84" si="72">F83-F82</f>
        <v>4</v>
      </c>
      <c r="G84" s="178">
        <f t="shared" si="72"/>
        <v>15275</v>
      </c>
      <c r="H84" s="160">
        <f>H83-H82</f>
        <v>-7</v>
      </c>
      <c r="I84" s="160">
        <f t="shared" ref="I84:J84" si="73">I83-I82</f>
        <v>18</v>
      </c>
      <c r="J84" s="178">
        <f t="shared" si="73"/>
        <v>32791</v>
      </c>
      <c r="K84" s="178">
        <f>K83-K82</f>
        <v>-15</v>
      </c>
      <c r="L84" s="160">
        <f t="shared" ref="L84:M84" si="74">L83-L82</f>
        <v>13</v>
      </c>
      <c r="M84" s="178">
        <f t="shared" si="74"/>
        <v>22319</v>
      </c>
      <c r="N84" s="160">
        <f>N83-N82</f>
        <v>-11</v>
      </c>
      <c r="O84" s="160">
        <f t="shared" ref="O84:P84" si="75">O83-O82</f>
        <v>1</v>
      </c>
      <c r="P84" s="178">
        <f t="shared" si="75"/>
        <v>3480</v>
      </c>
      <c r="Q84" s="160">
        <f>Q83-Q82</f>
        <v>-6</v>
      </c>
      <c r="R84" s="160">
        <f t="shared" ref="R84:S84" si="76">R83-R82</f>
        <v>-15</v>
      </c>
      <c r="S84" s="178">
        <f t="shared" si="76"/>
        <v>14527</v>
      </c>
      <c r="T84" s="160">
        <f>T83-T82</f>
        <v>-24</v>
      </c>
      <c r="U84" s="160">
        <f t="shared" ref="U84:V84" si="77">U83-U82</f>
        <v>15</v>
      </c>
      <c r="V84" s="178">
        <f t="shared" si="77"/>
        <v>74</v>
      </c>
      <c r="W84" s="160">
        <f>W83-W82</f>
        <v>-64</v>
      </c>
      <c r="X84" s="160">
        <f t="shared" ref="X84:Y84" si="78">X83-X82</f>
        <v>36</v>
      </c>
      <c r="Y84" s="179">
        <f t="shared" si="78"/>
        <v>88466</v>
      </c>
    </row>
    <row r="85" spans="2:25" x14ac:dyDescent="0.4">
      <c r="B85" s="232"/>
      <c r="C85" s="190"/>
      <c r="D85" s="100" t="s">
        <v>107</v>
      </c>
      <c r="E85" s="223">
        <f>IF(G82&lt;&gt;0,IF(G83&lt;&gt;0,G83/G82,0),0)</f>
        <v>1.1123516994343801</v>
      </c>
      <c r="F85" s="224"/>
      <c r="G85" s="225"/>
      <c r="H85" s="223">
        <f>IF(J82&lt;&gt;0,IF(J83&lt;&gt;0,J83/J82,0),0)</f>
        <v>1.1487174137837199</v>
      </c>
      <c r="I85" s="224"/>
      <c r="J85" s="225"/>
      <c r="K85" s="223">
        <f>IF(M82&lt;&gt;0,IF(M83&lt;&gt;0,M83/M82,0),0)</f>
        <v>1.0811812547285107</v>
      </c>
      <c r="L85" s="224"/>
      <c r="M85" s="225"/>
      <c r="N85" s="223">
        <f>IF(P82&lt;&gt;0,IF(P83&lt;&gt;0,P83/P82,0),0)</f>
        <v>1.0239471511147811</v>
      </c>
      <c r="O85" s="224"/>
      <c r="P85" s="225"/>
      <c r="Q85" s="223">
        <f>IF(S82&lt;&gt;0,IF(S83&lt;&gt;0,S83/S82,0),0)</f>
        <v>1.0675759281398129</v>
      </c>
      <c r="R85" s="224"/>
      <c r="S85" s="225"/>
      <c r="T85" s="223">
        <f>IF(V82&lt;&gt;0,IF(V83&lt;&gt;0,V83/V82,0),0)</f>
        <v>1.0003821860006301</v>
      </c>
      <c r="U85" s="224"/>
      <c r="V85" s="225"/>
      <c r="W85" s="223">
        <f>IF(Y82&lt;&gt;0,IF(Y83&lt;&gt;0,Y83/Y82,0),0)</f>
        <v>1.0746363979201767</v>
      </c>
      <c r="X85" s="224"/>
      <c r="Y85" s="226"/>
    </row>
    <row r="86" spans="2:25" x14ac:dyDescent="0.4">
      <c r="B86" s="232"/>
      <c r="C86" s="197" t="s">
        <v>108</v>
      </c>
      <c r="D86" s="126" t="s">
        <v>103</v>
      </c>
      <c r="E86" s="217">
        <f>SUM(E40,E78)</f>
        <v>-39420</v>
      </c>
      <c r="F86" s="208"/>
      <c r="G86" s="213"/>
      <c r="H86" s="217">
        <f t="shared" ref="H86" si="79">SUM(H40,H78)</f>
        <v>-7577</v>
      </c>
      <c r="I86" s="208"/>
      <c r="J86" s="213"/>
      <c r="K86" s="217">
        <f t="shared" ref="K86" si="80">SUM(K40,K78)</f>
        <v>13321</v>
      </c>
      <c r="L86" s="208"/>
      <c r="M86" s="213"/>
      <c r="N86" s="217">
        <f t="shared" ref="N86" si="81">SUM(N40,N78)</f>
        <v>-27</v>
      </c>
      <c r="O86" s="208"/>
      <c r="P86" s="213"/>
      <c r="Q86" s="217">
        <f t="shared" ref="Q86" si="82">SUM(Q40,Q78)</f>
        <v>-11946</v>
      </c>
      <c r="R86" s="208"/>
      <c r="S86" s="213"/>
      <c r="T86" s="217">
        <f t="shared" ref="T86" si="83">SUM(T40,T78)</f>
        <v>-26158</v>
      </c>
      <c r="U86" s="208"/>
      <c r="V86" s="213"/>
      <c r="W86" s="217">
        <f>SUM(E86:V86)</f>
        <v>-71807</v>
      </c>
      <c r="X86" s="208"/>
      <c r="Y86" s="209"/>
    </row>
    <row r="87" spans="2:25" x14ac:dyDescent="0.4">
      <c r="B87" s="232"/>
      <c r="C87" s="198"/>
      <c r="D87" s="127" t="s">
        <v>105</v>
      </c>
      <c r="E87" s="228">
        <f>SUM(E41,E79)</f>
        <v>-19614</v>
      </c>
      <c r="F87" s="229"/>
      <c r="G87" s="230"/>
      <c r="H87" s="228">
        <f t="shared" ref="H87" si="84">SUM(H41,H79)</f>
        <v>19456</v>
      </c>
      <c r="I87" s="229"/>
      <c r="J87" s="230"/>
      <c r="K87" s="228">
        <f t="shared" ref="K87" si="85">SUM(K41,K79)</f>
        <v>19602</v>
      </c>
      <c r="L87" s="229"/>
      <c r="M87" s="230"/>
      <c r="N87" s="228">
        <f t="shared" ref="N87" si="86">SUM(N41,N79)</f>
        <v>13019</v>
      </c>
      <c r="O87" s="229"/>
      <c r="P87" s="230"/>
      <c r="Q87" s="228">
        <f t="shared" ref="Q87" si="87">SUM(Q41,Q79)</f>
        <v>4985</v>
      </c>
      <c r="R87" s="229"/>
      <c r="S87" s="230"/>
      <c r="T87" s="228">
        <f t="shared" ref="T87" si="88">SUM(T41,T79)</f>
        <v>-11969</v>
      </c>
      <c r="U87" s="229"/>
      <c r="V87" s="230"/>
      <c r="W87" s="228">
        <f>SUM(E87:V87)</f>
        <v>25479</v>
      </c>
      <c r="X87" s="229"/>
      <c r="Y87" s="231"/>
    </row>
    <row r="88" spans="2:25" x14ac:dyDescent="0.4">
      <c r="B88" s="232"/>
      <c r="C88" s="198"/>
      <c r="D88" s="128" t="s">
        <v>106</v>
      </c>
      <c r="E88" s="227">
        <f>E87-E86</f>
        <v>19806</v>
      </c>
      <c r="F88" s="195"/>
      <c r="G88" s="196"/>
      <c r="H88" s="227">
        <f>H87-H86</f>
        <v>27033</v>
      </c>
      <c r="I88" s="195"/>
      <c r="J88" s="196"/>
      <c r="K88" s="227">
        <f>K87-K86</f>
        <v>6281</v>
      </c>
      <c r="L88" s="195"/>
      <c r="M88" s="196"/>
      <c r="N88" s="227">
        <f>N87-N86</f>
        <v>13046</v>
      </c>
      <c r="O88" s="195"/>
      <c r="P88" s="196"/>
      <c r="Q88" s="227">
        <f>Q87-Q86</f>
        <v>16931</v>
      </c>
      <c r="R88" s="195"/>
      <c r="S88" s="196"/>
      <c r="T88" s="227">
        <f>T87-T86</f>
        <v>14189</v>
      </c>
      <c r="U88" s="195"/>
      <c r="V88" s="196"/>
      <c r="W88" s="227">
        <f>W87-W86</f>
        <v>97286</v>
      </c>
      <c r="X88" s="195"/>
      <c r="Y88" s="212"/>
    </row>
    <row r="89" spans="2:25" ht="19.5" thickBot="1" x14ac:dyDescent="0.45">
      <c r="B89" s="233"/>
      <c r="C89" s="199"/>
      <c r="D89" s="102" t="s">
        <v>107</v>
      </c>
      <c r="E89" s="216">
        <f>IF(E86&lt;&gt;0,IF(E87&lt;&gt;0,E87/E86,0),0)</f>
        <v>0.4975646879756469</v>
      </c>
      <c r="F89" s="206"/>
      <c r="G89" s="215"/>
      <c r="H89" s="216">
        <f>IF(H86&lt;&gt;0,IF(H87&lt;&gt;0,H87/H86,0),0)</f>
        <v>-2.5677708855747658</v>
      </c>
      <c r="I89" s="206"/>
      <c r="J89" s="215"/>
      <c r="K89" s="216">
        <f>IF(K86&lt;&gt;0,IF(K87&lt;&gt;0,K87/K86,0),0)</f>
        <v>1.4715111478117258</v>
      </c>
      <c r="L89" s="206"/>
      <c r="M89" s="215"/>
      <c r="N89" s="216">
        <f>IF(N86&lt;&gt;0,IF(N87&lt;&gt;0,N87/N86,0),0)</f>
        <v>-482.18518518518516</v>
      </c>
      <c r="O89" s="206"/>
      <c r="P89" s="215"/>
      <c r="Q89" s="216">
        <f>IF(Q86&lt;&gt;0,IF(Q87&lt;&gt;0,Q87/Q86,0),0)</f>
        <v>-0.41729449188012724</v>
      </c>
      <c r="R89" s="206"/>
      <c r="S89" s="215"/>
      <c r="T89" s="216">
        <f>IF(T86&lt;&gt;0,IF(T87&lt;&gt;0,T87/T86,0),0)</f>
        <v>0.45756556311644619</v>
      </c>
      <c r="U89" s="206"/>
      <c r="V89" s="215"/>
      <c r="W89" s="216">
        <f>IF(W86&lt;&gt;0,IF(W87&lt;&gt;0,W87/W86,0),0)</f>
        <v>-0.35482613115712952</v>
      </c>
      <c r="X89" s="206"/>
      <c r="Y89" s="207"/>
    </row>
    <row r="90" spans="2:25" x14ac:dyDescent="0.4">
      <c r="B90" s="185" t="s">
        <v>128</v>
      </c>
      <c r="C90" s="188" t="s">
        <v>102</v>
      </c>
      <c r="D90" s="94" t="s">
        <v>103</v>
      </c>
      <c r="E90" s="157">
        <v>2</v>
      </c>
      <c r="F90" s="157">
        <v>4</v>
      </c>
      <c r="G90" s="173">
        <v>19788</v>
      </c>
      <c r="H90" s="157">
        <v>4</v>
      </c>
      <c r="I90" s="172">
        <v>6</v>
      </c>
      <c r="J90" s="157">
        <v>35572</v>
      </c>
      <c r="K90" s="173">
        <v>5</v>
      </c>
      <c r="L90" s="157">
        <v>13</v>
      </c>
      <c r="M90" s="173">
        <v>46437</v>
      </c>
      <c r="N90" s="157">
        <v>3</v>
      </c>
      <c r="O90" s="157">
        <v>6</v>
      </c>
      <c r="P90" s="173">
        <v>25474</v>
      </c>
      <c r="Q90" s="157">
        <v>6</v>
      </c>
      <c r="R90" s="157">
        <v>10</v>
      </c>
      <c r="S90" s="173">
        <v>38094</v>
      </c>
      <c r="T90" s="157">
        <v>9</v>
      </c>
      <c r="U90" s="157">
        <v>6</v>
      </c>
      <c r="V90" s="173">
        <v>37534</v>
      </c>
      <c r="W90" s="157">
        <f t="shared" ref="W90:X92" si="89">E90+H90+K90+N90+Q90+T90</f>
        <v>29</v>
      </c>
      <c r="X90" s="157">
        <f t="shared" si="89"/>
        <v>45</v>
      </c>
      <c r="Y90" s="174">
        <f>G90+J90+P90+S90+M90+V90</f>
        <v>202899</v>
      </c>
    </row>
    <row r="91" spans="2:25" x14ac:dyDescent="0.4">
      <c r="B91" s="186"/>
      <c r="C91" s="189"/>
      <c r="D91" s="95" t="s">
        <v>104</v>
      </c>
      <c r="E91" s="158">
        <v>2</v>
      </c>
      <c r="F91" s="158">
        <v>5</v>
      </c>
      <c r="G91" s="175">
        <v>20000</v>
      </c>
      <c r="H91" s="158">
        <v>6</v>
      </c>
      <c r="I91" s="175">
        <v>3</v>
      </c>
      <c r="J91" s="175">
        <v>40000</v>
      </c>
      <c r="K91" s="175">
        <v>5</v>
      </c>
      <c r="L91" s="158">
        <v>9</v>
      </c>
      <c r="M91" s="175">
        <v>46600</v>
      </c>
      <c r="N91" s="158">
        <v>1</v>
      </c>
      <c r="O91" s="158">
        <v>7</v>
      </c>
      <c r="P91" s="175">
        <v>24500</v>
      </c>
      <c r="Q91" s="158">
        <v>6</v>
      </c>
      <c r="R91" s="158">
        <v>9</v>
      </c>
      <c r="S91" s="175">
        <v>41000</v>
      </c>
      <c r="T91" s="158">
        <v>2</v>
      </c>
      <c r="U91" s="158">
        <v>14</v>
      </c>
      <c r="V91" s="175">
        <v>37600</v>
      </c>
      <c r="W91" s="164">
        <f t="shared" si="89"/>
        <v>22</v>
      </c>
      <c r="X91" s="164">
        <f t="shared" si="89"/>
        <v>47</v>
      </c>
      <c r="Y91" s="176">
        <f>G91+J91+P91+S91+M91+V91</f>
        <v>209700</v>
      </c>
    </row>
    <row r="92" spans="2:25" x14ac:dyDescent="0.4">
      <c r="B92" s="232"/>
      <c r="C92" s="189"/>
      <c r="D92" s="97" t="s">
        <v>105</v>
      </c>
      <c r="E92" s="149">
        <v>3</v>
      </c>
      <c r="F92" s="149">
        <v>5</v>
      </c>
      <c r="G92" s="150">
        <v>25114</v>
      </c>
      <c r="H92" s="162">
        <v>5</v>
      </c>
      <c r="I92" s="148">
        <v>3</v>
      </c>
      <c r="J92" s="159">
        <v>37332</v>
      </c>
      <c r="K92" s="149">
        <v>5</v>
      </c>
      <c r="L92" s="162">
        <v>9</v>
      </c>
      <c r="M92" s="150">
        <v>43339</v>
      </c>
      <c r="N92" s="162">
        <v>1</v>
      </c>
      <c r="O92" s="162">
        <v>7</v>
      </c>
      <c r="P92" s="150">
        <v>24426</v>
      </c>
      <c r="Q92" s="162">
        <v>6</v>
      </c>
      <c r="R92" s="162">
        <v>9</v>
      </c>
      <c r="S92" s="150">
        <v>41599</v>
      </c>
      <c r="T92" s="162">
        <v>1</v>
      </c>
      <c r="U92" s="162">
        <v>14</v>
      </c>
      <c r="V92" s="150">
        <v>38055</v>
      </c>
      <c r="W92" s="159">
        <f t="shared" si="89"/>
        <v>21</v>
      </c>
      <c r="X92" s="159">
        <f t="shared" si="89"/>
        <v>47</v>
      </c>
      <c r="Y92" s="147">
        <f>G92+J92+M92+P92+S92+V92</f>
        <v>209865</v>
      </c>
    </row>
    <row r="93" spans="2:25" x14ac:dyDescent="0.4">
      <c r="B93" s="232"/>
      <c r="C93" s="189"/>
      <c r="D93" s="98" t="s">
        <v>106</v>
      </c>
      <c r="E93" s="160">
        <f>E92-E90</f>
        <v>1</v>
      </c>
      <c r="F93" s="160">
        <f>F92-F90</f>
        <v>1</v>
      </c>
      <c r="G93" s="143">
        <f t="shared" ref="G93" si="90">G92-G90</f>
        <v>5326</v>
      </c>
      <c r="H93" s="160">
        <f>H92-H90</f>
        <v>1</v>
      </c>
      <c r="I93" s="160">
        <f t="shared" ref="I93:J93" si="91">I92-I90</f>
        <v>-3</v>
      </c>
      <c r="J93" s="143">
        <f t="shared" si="91"/>
        <v>1760</v>
      </c>
      <c r="K93" s="143">
        <f>K92-K90</f>
        <v>0</v>
      </c>
      <c r="L93" s="160">
        <f t="shared" ref="L93:M93" si="92">L92-L90</f>
        <v>-4</v>
      </c>
      <c r="M93" s="143">
        <f t="shared" si="92"/>
        <v>-3098</v>
      </c>
      <c r="N93" s="160">
        <f>N92-N90</f>
        <v>-2</v>
      </c>
      <c r="O93" s="160">
        <f t="shared" ref="O93:P93" si="93">O92-O90</f>
        <v>1</v>
      </c>
      <c r="P93" s="143">
        <f t="shared" si="93"/>
        <v>-1048</v>
      </c>
      <c r="Q93" s="160">
        <f>Q92-Q90</f>
        <v>0</v>
      </c>
      <c r="R93" s="160">
        <f t="shared" ref="R93:S93" si="94">R92-R90</f>
        <v>-1</v>
      </c>
      <c r="S93" s="143">
        <f t="shared" si="94"/>
        <v>3505</v>
      </c>
      <c r="T93" s="160">
        <f>T92-T90</f>
        <v>-8</v>
      </c>
      <c r="U93" s="160">
        <f t="shared" ref="U93:Y93" si="95">U92-U90</f>
        <v>8</v>
      </c>
      <c r="V93" s="143">
        <f t="shared" si="95"/>
        <v>521</v>
      </c>
      <c r="W93" s="160">
        <f t="shared" si="95"/>
        <v>-8</v>
      </c>
      <c r="X93" s="160">
        <f t="shared" si="95"/>
        <v>2</v>
      </c>
      <c r="Y93" s="145">
        <f t="shared" si="95"/>
        <v>6966</v>
      </c>
    </row>
    <row r="94" spans="2:25" x14ac:dyDescent="0.4">
      <c r="B94" s="232"/>
      <c r="C94" s="190"/>
      <c r="D94" s="100" t="s">
        <v>107</v>
      </c>
      <c r="E94" s="223">
        <f>IF(G90&lt;&gt;0,IF(G92&lt;&gt;0, G92/G90, 0),0)</f>
        <v>1.2691530220335556</v>
      </c>
      <c r="F94" s="224"/>
      <c r="G94" s="225"/>
      <c r="H94" s="223">
        <f>IF(J90&lt;&gt;0,IF(J92&lt;&gt;0, J92/J90, 0),0)</f>
        <v>1.0494771168334645</v>
      </c>
      <c r="I94" s="224"/>
      <c r="J94" s="225"/>
      <c r="K94" s="223">
        <f>IF(M90&lt;&gt;0,IF(M92&lt;&gt;0, M92/M90, 0),0)</f>
        <v>0.9332859573185176</v>
      </c>
      <c r="L94" s="224"/>
      <c r="M94" s="225"/>
      <c r="N94" s="223">
        <f>IF(P90&lt;&gt;0,IF(P92&lt;&gt;0, P92/P90, 0),0)</f>
        <v>0.95886001413205624</v>
      </c>
      <c r="O94" s="224"/>
      <c r="P94" s="225"/>
      <c r="Q94" s="223">
        <f>IF(S90&lt;&gt;0,IF(S92&lt;&gt;0, S92/S90, 0),0)</f>
        <v>1.0920092403003097</v>
      </c>
      <c r="R94" s="224"/>
      <c r="S94" s="225"/>
      <c r="T94" s="223">
        <f>IF(V90&lt;&gt;0,IF(V92&lt;&gt;0, V92/V90, 0),0)</f>
        <v>1.0138807481217029</v>
      </c>
      <c r="U94" s="224"/>
      <c r="V94" s="225"/>
      <c r="W94" s="223">
        <f>IF(Y90&lt;&gt;0,IF(Y92&lt;&gt;0, Y92/Y90, 0),0)</f>
        <v>1.0343323525497907</v>
      </c>
      <c r="X94" s="224"/>
      <c r="Y94" s="226"/>
    </row>
    <row r="95" spans="2:25" x14ac:dyDescent="0.4">
      <c r="B95" s="232"/>
      <c r="C95" s="197" t="s">
        <v>108</v>
      </c>
      <c r="D95" s="104" t="s">
        <v>103</v>
      </c>
      <c r="E95" s="217">
        <v>-11248</v>
      </c>
      <c r="F95" s="208"/>
      <c r="G95" s="213"/>
      <c r="H95" s="217">
        <v>-5968</v>
      </c>
      <c r="I95" s="208"/>
      <c r="J95" s="213"/>
      <c r="K95" s="217">
        <v>-711</v>
      </c>
      <c r="L95" s="208"/>
      <c r="M95" s="213"/>
      <c r="N95" s="217">
        <v>-6971</v>
      </c>
      <c r="O95" s="208"/>
      <c r="P95" s="213"/>
      <c r="Q95" s="217">
        <v>-159</v>
      </c>
      <c r="R95" s="208"/>
      <c r="S95" s="213"/>
      <c r="T95" s="217">
        <v>-5107</v>
      </c>
      <c r="U95" s="208"/>
      <c r="V95" s="213"/>
      <c r="W95" s="217">
        <f>E95+H95+K95+T95+N95+Q95</f>
        <v>-30164</v>
      </c>
      <c r="X95" s="208"/>
      <c r="Y95" s="209"/>
    </row>
    <row r="96" spans="2:25" x14ac:dyDescent="0.4">
      <c r="B96" s="232"/>
      <c r="C96" s="198"/>
      <c r="D96" s="105" t="s">
        <v>109</v>
      </c>
      <c r="E96" s="255">
        <v>-11100</v>
      </c>
      <c r="F96" s="256"/>
      <c r="G96" s="257"/>
      <c r="H96" s="255">
        <v>-4000</v>
      </c>
      <c r="I96" s="256"/>
      <c r="J96" s="257"/>
      <c r="K96" s="255">
        <v>-3995</v>
      </c>
      <c r="L96" s="256"/>
      <c r="M96" s="257"/>
      <c r="N96" s="255">
        <v>1500</v>
      </c>
      <c r="O96" s="256"/>
      <c r="P96" s="257"/>
      <c r="Q96" s="255">
        <v>1000</v>
      </c>
      <c r="R96" s="256"/>
      <c r="S96" s="257"/>
      <c r="T96" s="255">
        <v>-5000</v>
      </c>
      <c r="U96" s="256"/>
      <c r="V96" s="257"/>
      <c r="W96" s="234">
        <f>E96+H96+K96+T96+N96+Q96</f>
        <v>-21595</v>
      </c>
      <c r="X96" s="235"/>
      <c r="Y96" s="237"/>
    </row>
    <row r="97" spans="2:25" x14ac:dyDescent="0.4">
      <c r="B97" s="232"/>
      <c r="C97" s="198"/>
      <c r="D97" s="97" t="s">
        <v>105</v>
      </c>
      <c r="E97" s="241">
        <v>-4769</v>
      </c>
      <c r="F97" s="242"/>
      <c r="G97" s="243"/>
      <c r="H97" s="228">
        <v>-189</v>
      </c>
      <c r="I97" s="229"/>
      <c r="J97" s="230"/>
      <c r="K97" s="228">
        <v>-489</v>
      </c>
      <c r="L97" s="229"/>
      <c r="M97" s="230"/>
      <c r="N97" s="228">
        <v>1140</v>
      </c>
      <c r="O97" s="229"/>
      <c r="P97" s="230"/>
      <c r="Q97" s="228">
        <v>3510</v>
      </c>
      <c r="R97" s="229"/>
      <c r="S97" s="230"/>
      <c r="T97" s="228">
        <v>363</v>
      </c>
      <c r="U97" s="229"/>
      <c r="V97" s="230"/>
      <c r="W97" s="238">
        <f>E97+H97+K97+T97+N97+Q97</f>
        <v>-434</v>
      </c>
      <c r="X97" s="239"/>
      <c r="Y97" s="240"/>
    </row>
    <row r="98" spans="2:25" x14ac:dyDescent="0.4">
      <c r="B98" s="232"/>
      <c r="C98" s="198"/>
      <c r="D98" s="98" t="s">
        <v>106</v>
      </c>
      <c r="E98" s="227">
        <f>E97-E95</f>
        <v>6479</v>
      </c>
      <c r="F98" s="195"/>
      <c r="G98" s="196"/>
      <c r="H98" s="227">
        <f>H97-H95</f>
        <v>5779</v>
      </c>
      <c r="I98" s="195"/>
      <c r="J98" s="196"/>
      <c r="K98" s="227">
        <f>K97-K95</f>
        <v>222</v>
      </c>
      <c r="L98" s="195"/>
      <c r="M98" s="196"/>
      <c r="N98" s="227">
        <f>N97-N95</f>
        <v>8111</v>
      </c>
      <c r="O98" s="195"/>
      <c r="P98" s="196"/>
      <c r="Q98" s="227">
        <f>Q97-Q95</f>
        <v>3669</v>
      </c>
      <c r="R98" s="195"/>
      <c r="S98" s="196"/>
      <c r="T98" s="227">
        <f>T97-T95</f>
        <v>5470</v>
      </c>
      <c r="U98" s="195"/>
      <c r="V98" s="196"/>
      <c r="W98" s="227">
        <f>W97-W95</f>
        <v>29730</v>
      </c>
      <c r="X98" s="195"/>
      <c r="Y98" s="212"/>
    </row>
    <row r="99" spans="2:25" ht="19.5" thickBot="1" x14ac:dyDescent="0.45">
      <c r="B99" s="233"/>
      <c r="C99" s="199"/>
      <c r="D99" s="102" t="s">
        <v>107</v>
      </c>
      <c r="E99" s="216">
        <f>IF(E95&lt;&gt;0,IF(E97&lt;&gt;0,E97/E95,0),0)</f>
        <v>0.42398648648648651</v>
      </c>
      <c r="F99" s="206"/>
      <c r="G99" s="215"/>
      <c r="H99" s="216">
        <f>IF(H95&lt;&gt;0,IF(H97&lt;&gt;0,H97/H95,0),0)</f>
        <v>3.1668900804289545E-2</v>
      </c>
      <c r="I99" s="206"/>
      <c r="J99" s="215"/>
      <c r="K99" s="216">
        <f>IF(K95&lt;&gt;0,IF(K97&lt;&gt;0,K97/K95,0),0)</f>
        <v>0.68776371308016881</v>
      </c>
      <c r="L99" s="206"/>
      <c r="M99" s="215"/>
      <c r="N99" s="216">
        <f>IF(N95&lt;&gt;0,IF(N97&lt;&gt;0,N97/N95,0),0)</f>
        <v>-0.16353464352316741</v>
      </c>
      <c r="O99" s="206"/>
      <c r="P99" s="215"/>
      <c r="Q99" s="216">
        <f>IF(Q95&lt;&gt;0,IF(Q97&lt;&gt;0,Q97/Q95,0),0)</f>
        <v>-22.075471698113208</v>
      </c>
      <c r="R99" s="206"/>
      <c r="S99" s="215"/>
      <c r="T99" s="216">
        <f>IF(T95&lt;&gt;0,IF(T97&lt;&gt;0,T97/T95,0),0)</f>
        <v>-7.1078911298218125E-2</v>
      </c>
      <c r="U99" s="206"/>
      <c r="V99" s="215"/>
      <c r="W99" s="216">
        <f>IF(W95&lt;&gt;0,IF(W97&lt;&gt;0,W97/W95,0),0)</f>
        <v>1.4388012199973479E-2</v>
      </c>
      <c r="X99" s="206"/>
      <c r="Y99" s="207"/>
    </row>
    <row r="100" spans="2:25" x14ac:dyDescent="0.4">
      <c r="B100" s="185" t="s">
        <v>129</v>
      </c>
      <c r="C100" s="188" t="s">
        <v>102</v>
      </c>
      <c r="D100" s="94" t="s">
        <v>103</v>
      </c>
      <c r="E100" s="157">
        <v>2</v>
      </c>
      <c r="F100" s="157">
        <v>5</v>
      </c>
      <c r="G100" s="173">
        <v>20863</v>
      </c>
      <c r="H100" s="157">
        <v>4</v>
      </c>
      <c r="I100" s="172">
        <v>6</v>
      </c>
      <c r="J100" s="157">
        <v>35693</v>
      </c>
      <c r="K100" s="173">
        <v>6</v>
      </c>
      <c r="L100" s="157">
        <v>11</v>
      </c>
      <c r="M100" s="173">
        <v>46474</v>
      </c>
      <c r="N100" s="157">
        <v>3</v>
      </c>
      <c r="O100" s="157">
        <v>6</v>
      </c>
      <c r="P100" s="173">
        <v>25018</v>
      </c>
      <c r="Q100" s="157">
        <v>6</v>
      </c>
      <c r="R100" s="157">
        <v>10</v>
      </c>
      <c r="S100" s="173">
        <v>36965</v>
      </c>
      <c r="T100" s="157">
        <v>10</v>
      </c>
      <c r="U100" s="157">
        <v>5</v>
      </c>
      <c r="V100" s="173">
        <v>38334</v>
      </c>
      <c r="W100" s="157">
        <f t="shared" ref="W100:X102" si="96">E100+H100+K100+N100+Q100+T100</f>
        <v>31</v>
      </c>
      <c r="X100" s="157">
        <f t="shared" si="96"/>
        <v>43</v>
      </c>
      <c r="Y100" s="174">
        <f>G100+J100+P100+S100+M100+V100</f>
        <v>203347</v>
      </c>
    </row>
    <row r="101" spans="2:25" x14ac:dyDescent="0.4">
      <c r="B101" s="186"/>
      <c r="C101" s="189"/>
      <c r="D101" s="95" t="s">
        <v>104</v>
      </c>
      <c r="E101" s="158">
        <v>2</v>
      </c>
      <c r="F101" s="158">
        <v>5</v>
      </c>
      <c r="G101" s="175">
        <v>21000</v>
      </c>
      <c r="H101" s="158">
        <v>5</v>
      </c>
      <c r="I101" s="175">
        <v>5</v>
      </c>
      <c r="J101" s="175">
        <v>48000</v>
      </c>
      <c r="K101" s="175">
        <v>2</v>
      </c>
      <c r="L101" s="158">
        <v>16</v>
      </c>
      <c r="M101" s="175">
        <v>46500</v>
      </c>
      <c r="N101" s="158">
        <v>1</v>
      </c>
      <c r="O101" s="158">
        <v>6</v>
      </c>
      <c r="P101" s="175">
        <v>25100</v>
      </c>
      <c r="Q101" s="158">
        <v>6</v>
      </c>
      <c r="R101" s="158">
        <v>8</v>
      </c>
      <c r="S101" s="175">
        <v>38000</v>
      </c>
      <c r="T101" s="158">
        <v>4</v>
      </c>
      <c r="U101" s="158">
        <v>11</v>
      </c>
      <c r="V101" s="175">
        <v>39000</v>
      </c>
      <c r="W101" s="164">
        <f t="shared" si="96"/>
        <v>20</v>
      </c>
      <c r="X101" s="164">
        <f t="shared" si="96"/>
        <v>51</v>
      </c>
      <c r="Y101" s="176">
        <f>G101+J101+P101+S101+M101+V101</f>
        <v>217600</v>
      </c>
    </row>
    <row r="102" spans="2:25" x14ac:dyDescent="0.4">
      <c r="B102" s="232"/>
      <c r="C102" s="189"/>
      <c r="D102" s="97" t="s">
        <v>105</v>
      </c>
      <c r="E102" s="149">
        <v>2</v>
      </c>
      <c r="F102" s="149">
        <v>5</v>
      </c>
      <c r="G102" s="150">
        <v>22705</v>
      </c>
      <c r="H102" s="162">
        <v>6</v>
      </c>
      <c r="I102" s="148">
        <v>5</v>
      </c>
      <c r="J102" s="159">
        <v>47212</v>
      </c>
      <c r="K102" s="149">
        <v>1</v>
      </c>
      <c r="L102" s="162">
        <v>16</v>
      </c>
      <c r="M102" s="150">
        <v>47145</v>
      </c>
      <c r="N102" s="162">
        <v>2</v>
      </c>
      <c r="O102" s="162">
        <v>6</v>
      </c>
      <c r="P102" s="150">
        <v>28763</v>
      </c>
      <c r="Q102" s="162">
        <v>6</v>
      </c>
      <c r="R102" s="162">
        <v>8</v>
      </c>
      <c r="S102" s="150">
        <v>37500</v>
      </c>
      <c r="T102" s="162">
        <v>4</v>
      </c>
      <c r="U102" s="162">
        <v>11</v>
      </c>
      <c r="V102" s="150">
        <v>38858</v>
      </c>
      <c r="W102" s="159">
        <f t="shared" si="96"/>
        <v>21</v>
      </c>
      <c r="X102" s="159">
        <f t="shared" si="96"/>
        <v>51</v>
      </c>
      <c r="Y102" s="147">
        <f>G102+J102+M102+P102+S102+V102</f>
        <v>222183</v>
      </c>
    </row>
    <row r="103" spans="2:25" x14ac:dyDescent="0.4">
      <c r="B103" s="232"/>
      <c r="C103" s="189"/>
      <c r="D103" s="98" t="s">
        <v>106</v>
      </c>
      <c r="E103" s="160">
        <f>E102-E100</f>
        <v>0</v>
      </c>
      <c r="F103" s="160">
        <f>F102-F100</f>
        <v>0</v>
      </c>
      <c r="G103" s="143">
        <f t="shared" ref="G103" si="97">G102-G100</f>
        <v>1842</v>
      </c>
      <c r="H103" s="160">
        <f>H102-H100</f>
        <v>2</v>
      </c>
      <c r="I103" s="160">
        <f t="shared" ref="I103:J103" si="98">I102-I100</f>
        <v>-1</v>
      </c>
      <c r="J103" s="143">
        <f t="shared" si="98"/>
        <v>11519</v>
      </c>
      <c r="K103" s="143">
        <f>K102-K100</f>
        <v>-5</v>
      </c>
      <c r="L103" s="160">
        <f t="shared" ref="L103:M103" si="99">L102-L100</f>
        <v>5</v>
      </c>
      <c r="M103" s="143">
        <f t="shared" si="99"/>
        <v>671</v>
      </c>
      <c r="N103" s="160">
        <f>N102-N100</f>
        <v>-1</v>
      </c>
      <c r="O103" s="160">
        <f t="shared" ref="O103:P103" si="100">O102-O100</f>
        <v>0</v>
      </c>
      <c r="P103" s="143">
        <f t="shared" si="100"/>
        <v>3745</v>
      </c>
      <c r="Q103" s="160">
        <f>Q102-Q100</f>
        <v>0</v>
      </c>
      <c r="R103" s="160">
        <f t="shared" ref="R103:S103" si="101">R102-R100</f>
        <v>-2</v>
      </c>
      <c r="S103" s="143">
        <f t="shared" si="101"/>
        <v>535</v>
      </c>
      <c r="T103" s="160">
        <f>T102-T100</f>
        <v>-6</v>
      </c>
      <c r="U103" s="160">
        <f t="shared" ref="U103:Y103" si="102">U102-U100</f>
        <v>6</v>
      </c>
      <c r="V103" s="143">
        <f t="shared" si="102"/>
        <v>524</v>
      </c>
      <c r="W103" s="160">
        <f t="shared" si="102"/>
        <v>-10</v>
      </c>
      <c r="X103" s="160">
        <f t="shared" si="102"/>
        <v>8</v>
      </c>
      <c r="Y103" s="145">
        <f t="shared" si="102"/>
        <v>18836</v>
      </c>
    </row>
    <row r="104" spans="2:25" x14ac:dyDescent="0.4">
      <c r="B104" s="232"/>
      <c r="C104" s="190"/>
      <c r="D104" s="100" t="s">
        <v>107</v>
      </c>
      <c r="E104" s="223">
        <f>IF(G100&lt;&gt;0,IF(G102&lt;&gt;0, G102/G100, 0),0)</f>
        <v>1.0882902746489</v>
      </c>
      <c r="F104" s="224"/>
      <c r="G104" s="225"/>
      <c r="H104" s="223">
        <f>IF(J100&lt;&gt;0,IF(J102&lt;&gt;0, J102/J100, 0),0)</f>
        <v>1.3227243437088505</v>
      </c>
      <c r="I104" s="224"/>
      <c r="J104" s="225"/>
      <c r="K104" s="223">
        <f>IF(M100&lt;&gt;0,IF(M102&lt;&gt;0, M102/M100, 0),0)</f>
        <v>1.0144381804880147</v>
      </c>
      <c r="L104" s="224"/>
      <c r="M104" s="225"/>
      <c r="N104" s="223">
        <f>IF(P100&lt;&gt;0,IF(P102&lt;&gt;0, P102/P100, 0),0)</f>
        <v>1.1496922216004477</v>
      </c>
      <c r="O104" s="224"/>
      <c r="P104" s="225"/>
      <c r="Q104" s="223">
        <f>IF(S100&lt;&gt;0,IF(S102&lt;&gt;0, S102/S100, 0),0)</f>
        <v>1.0144731502772892</v>
      </c>
      <c r="R104" s="224"/>
      <c r="S104" s="225"/>
      <c r="T104" s="223">
        <f>IF(V100&lt;&gt;0,IF(V102&lt;&gt;0, V102/V100, 0),0)</f>
        <v>1.0136693274899566</v>
      </c>
      <c r="U104" s="224"/>
      <c r="V104" s="225"/>
      <c r="W104" s="223">
        <f>IF(Y100&lt;&gt;0,IF(Y102&lt;&gt;0, Y102/Y100, 0),0)</f>
        <v>1.0926298396337295</v>
      </c>
      <c r="X104" s="224"/>
      <c r="Y104" s="226"/>
    </row>
    <row r="105" spans="2:25" x14ac:dyDescent="0.4">
      <c r="B105" s="232"/>
      <c r="C105" s="197" t="s">
        <v>108</v>
      </c>
      <c r="D105" s="104" t="s">
        <v>103</v>
      </c>
      <c r="E105" s="217">
        <v>-8777</v>
      </c>
      <c r="F105" s="208"/>
      <c r="G105" s="213"/>
      <c r="H105" s="217">
        <v>-3481</v>
      </c>
      <c r="I105" s="208"/>
      <c r="J105" s="213"/>
      <c r="K105" s="217">
        <v>-330</v>
      </c>
      <c r="L105" s="208"/>
      <c r="M105" s="213"/>
      <c r="N105" s="217">
        <v>1145</v>
      </c>
      <c r="O105" s="208"/>
      <c r="P105" s="213"/>
      <c r="Q105" s="217">
        <v>8000</v>
      </c>
      <c r="R105" s="208"/>
      <c r="S105" s="213"/>
      <c r="T105" s="217">
        <v>1847</v>
      </c>
      <c r="U105" s="208"/>
      <c r="V105" s="213"/>
      <c r="W105" s="217">
        <f>E105+H105+K105+T105+N105+Q105</f>
        <v>-1596</v>
      </c>
      <c r="X105" s="208"/>
      <c r="Y105" s="209"/>
    </row>
    <row r="106" spans="2:25" x14ac:dyDescent="0.4">
      <c r="B106" s="232"/>
      <c r="C106" s="198"/>
      <c r="D106" s="105" t="s">
        <v>109</v>
      </c>
      <c r="E106" s="234">
        <v>-8700</v>
      </c>
      <c r="F106" s="235"/>
      <c r="G106" s="236"/>
      <c r="H106" s="234">
        <v>3000</v>
      </c>
      <c r="I106" s="235"/>
      <c r="J106" s="236"/>
      <c r="K106" s="234">
        <v>0</v>
      </c>
      <c r="L106" s="235"/>
      <c r="M106" s="236"/>
      <c r="N106" s="234">
        <v>1200</v>
      </c>
      <c r="O106" s="235"/>
      <c r="P106" s="236"/>
      <c r="Q106" s="234">
        <v>10000</v>
      </c>
      <c r="R106" s="235"/>
      <c r="S106" s="236"/>
      <c r="T106" s="234">
        <v>1900</v>
      </c>
      <c r="U106" s="235"/>
      <c r="V106" s="236"/>
      <c r="W106" s="234">
        <f>E106+H106+K106+T106+N106+Q106</f>
        <v>7400</v>
      </c>
      <c r="X106" s="235"/>
      <c r="Y106" s="237"/>
    </row>
    <row r="107" spans="2:25" x14ac:dyDescent="0.4">
      <c r="B107" s="232"/>
      <c r="C107" s="198"/>
      <c r="D107" s="97" t="s">
        <v>105</v>
      </c>
      <c r="E107" s="241">
        <v>-7194</v>
      </c>
      <c r="F107" s="242"/>
      <c r="G107" s="243"/>
      <c r="H107" s="228">
        <v>4454</v>
      </c>
      <c r="I107" s="229"/>
      <c r="J107" s="230"/>
      <c r="K107" s="228">
        <v>2311</v>
      </c>
      <c r="L107" s="229"/>
      <c r="M107" s="230"/>
      <c r="N107" s="228">
        <v>2873</v>
      </c>
      <c r="O107" s="229"/>
      <c r="P107" s="230"/>
      <c r="Q107" s="228">
        <v>1506</v>
      </c>
      <c r="R107" s="229"/>
      <c r="S107" s="230"/>
      <c r="T107" s="228">
        <v>4554</v>
      </c>
      <c r="U107" s="229"/>
      <c r="V107" s="230"/>
      <c r="W107" s="238">
        <f>E107+H107+K107+T107+N107+Q107</f>
        <v>8504</v>
      </c>
      <c r="X107" s="239"/>
      <c r="Y107" s="240"/>
    </row>
    <row r="108" spans="2:25" x14ac:dyDescent="0.4">
      <c r="B108" s="232"/>
      <c r="C108" s="198"/>
      <c r="D108" s="98" t="s">
        <v>106</v>
      </c>
      <c r="E108" s="227">
        <f>E107-E105</f>
        <v>1583</v>
      </c>
      <c r="F108" s="195"/>
      <c r="G108" s="196"/>
      <c r="H108" s="227">
        <f>H107-H105</f>
        <v>7935</v>
      </c>
      <c r="I108" s="195"/>
      <c r="J108" s="196"/>
      <c r="K108" s="227">
        <f>K107-K105</f>
        <v>2641</v>
      </c>
      <c r="L108" s="195"/>
      <c r="M108" s="196"/>
      <c r="N108" s="227">
        <f>N107-N105</f>
        <v>1728</v>
      </c>
      <c r="O108" s="195"/>
      <c r="P108" s="196"/>
      <c r="Q108" s="227">
        <f>Q107-Q105</f>
        <v>-6494</v>
      </c>
      <c r="R108" s="195"/>
      <c r="S108" s="196"/>
      <c r="T108" s="227">
        <f>T107-T105</f>
        <v>2707</v>
      </c>
      <c r="U108" s="195"/>
      <c r="V108" s="196"/>
      <c r="W108" s="227">
        <f>W107-W105</f>
        <v>10100</v>
      </c>
      <c r="X108" s="195"/>
      <c r="Y108" s="212"/>
    </row>
    <row r="109" spans="2:25" ht="19.5" thickBot="1" x14ac:dyDescent="0.45">
      <c r="B109" s="233"/>
      <c r="C109" s="199"/>
      <c r="D109" s="102" t="s">
        <v>107</v>
      </c>
      <c r="E109" s="216">
        <f>IF(E105&lt;&gt;0,IF(E107&lt;&gt;0,E107/E105,0),0)</f>
        <v>0.81964224678136033</v>
      </c>
      <c r="F109" s="206"/>
      <c r="G109" s="215"/>
      <c r="H109" s="216">
        <f>IF(H105&lt;&gt;0,IF(H107&lt;&gt;0,H107/H105,0),0)</f>
        <v>-1.2795173800632003</v>
      </c>
      <c r="I109" s="206"/>
      <c r="J109" s="215"/>
      <c r="K109" s="216">
        <f>IF(K105&lt;&gt;0,IF(K107&lt;&gt;0,K107/K105,0),0)</f>
        <v>-7.0030303030303029</v>
      </c>
      <c r="L109" s="206"/>
      <c r="M109" s="215"/>
      <c r="N109" s="216">
        <f>IF(N105&lt;&gt;0,IF(N107&lt;&gt;0,N107/N105,0),0)</f>
        <v>2.5091703056768559</v>
      </c>
      <c r="O109" s="206"/>
      <c r="P109" s="215"/>
      <c r="Q109" s="216">
        <f>IF(Q105&lt;&gt;0,IF(Q107&lt;&gt;0,Q107/Q105,0),0)</f>
        <v>0.18825</v>
      </c>
      <c r="R109" s="206"/>
      <c r="S109" s="215"/>
      <c r="T109" s="216">
        <f>IF(T105&lt;&gt;0,IF(T107&lt;&gt;0,T107/T105,0),0)</f>
        <v>2.4656199242014076</v>
      </c>
      <c r="U109" s="206"/>
      <c r="V109" s="215"/>
      <c r="W109" s="216">
        <f>IF(W105&lt;&gt;0,IF(W107&lt;&gt;0,W107/W105,0),0)</f>
        <v>-5.3283208020050123</v>
      </c>
      <c r="X109" s="206"/>
      <c r="Y109" s="207"/>
    </row>
    <row r="110" spans="2:25" x14ac:dyDescent="0.4">
      <c r="B110" s="185" t="s">
        <v>130</v>
      </c>
      <c r="C110" s="188" t="s">
        <v>102</v>
      </c>
      <c r="D110" s="94" t="s">
        <v>103</v>
      </c>
      <c r="E110" s="157">
        <v>2</v>
      </c>
      <c r="F110" s="157">
        <v>5</v>
      </c>
      <c r="G110" s="173">
        <v>20093</v>
      </c>
      <c r="H110" s="157">
        <v>4</v>
      </c>
      <c r="I110" s="157">
        <v>6</v>
      </c>
      <c r="J110" s="173">
        <v>34947</v>
      </c>
      <c r="K110" s="173">
        <v>7</v>
      </c>
      <c r="L110" s="157">
        <v>10</v>
      </c>
      <c r="M110" s="173">
        <v>46654</v>
      </c>
      <c r="N110" s="157">
        <v>4</v>
      </c>
      <c r="O110" s="157">
        <v>6</v>
      </c>
      <c r="P110" s="173">
        <v>26083</v>
      </c>
      <c r="Q110" s="157">
        <v>6</v>
      </c>
      <c r="R110" s="157">
        <v>10</v>
      </c>
      <c r="S110" s="173">
        <v>38324</v>
      </c>
      <c r="T110" s="157">
        <v>8</v>
      </c>
      <c r="U110" s="157">
        <v>5</v>
      </c>
      <c r="V110" s="173">
        <v>34473</v>
      </c>
      <c r="W110" s="157">
        <f t="shared" ref="W110:W112" si="103">E110+H110+K110+N110+Q110+T110</f>
        <v>31</v>
      </c>
      <c r="X110" s="157">
        <f t="shared" ref="X110:X112" si="104">F110+I110+L110+O110+R110+U110</f>
        <v>42</v>
      </c>
      <c r="Y110" s="174">
        <f>G110+J110+P110+S110+M110+V110</f>
        <v>200574</v>
      </c>
    </row>
    <row r="111" spans="2:25" x14ac:dyDescent="0.4">
      <c r="B111" s="186"/>
      <c r="C111" s="189"/>
      <c r="D111" s="95" t="s">
        <v>104</v>
      </c>
      <c r="E111" s="158">
        <v>0</v>
      </c>
      <c r="F111" s="158">
        <v>9</v>
      </c>
      <c r="G111" s="175">
        <v>20100</v>
      </c>
      <c r="H111" s="158">
        <v>4</v>
      </c>
      <c r="I111" s="175">
        <v>6</v>
      </c>
      <c r="J111" s="175">
        <v>40000</v>
      </c>
      <c r="K111" s="175">
        <v>2</v>
      </c>
      <c r="L111" s="158">
        <v>19</v>
      </c>
      <c r="M111" s="175">
        <v>47000</v>
      </c>
      <c r="N111" s="158">
        <v>1</v>
      </c>
      <c r="O111" s="158">
        <v>6</v>
      </c>
      <c r="P111" s="175">
        <v>26500</v>
      </c>
      <c r="Q111" s="158">
        <v>5</v>
      </c>
      <c r="R111" s="158">
        <v>8</v>
      </c>
      <c r="S111" s="175">
        <v>40000</v>
      </c>
      <c r="T111" s="158">
        <v>2</v>
      </c>
      <c r="U111" s="158">
        <v>13</v>
      </c>
      <c r="V111" s="175">
        <v>34500</v>
      </c>
      <c r="W111" s="164">
        <f t="shared" si="103"/>
        <v>14</v>
      </c>
      <c r="X111" s="164">
        <f t="shared" si="104"/>
        <v>61</v>
      </c>
      <c r="Y111" s="176">
        <f>G111+J111+P111+S111+M111+V111</f>
        <v>208100</v>
      </c>
    </row>
    <row r="112" spans="2:25" x14ac:dyDescent="0.4">
      <c r="B112" s="232"/>
      <c r="C112" s="189"/>
      <c r="D112" s="97" t="s">
        <v>105</v>
      </c>
      <c r="E112" s="155">
        <v>0</v>
      </c>
      <c r="F112" s="155">
        <v>9</v>
      </c>
      <c r="G112" s="156">
        <v>23757</v>
      </c>
      <c r="H112" s="162">
        <v>4</v>
      </c>
      <c r="I112" s="154">
        <v>6</v>
      </c>
      <c r="J112" s="159">
        <v>40340</v>
      </c>
      <c r="K112" s="155">
        <v>0</v>
      </c>
      <c r="L112" s="162">
        <v>19</v>
      </c>
      <c r="M112" s="156">
        <v>46793</v>
      </c>
      <c r="N112" s="162">
        <v>1</v>
      </c>
      <c r="O112" s="162">
        <v>6</v>
      </c>
      <c r="P112" s="156">
        <v>27510</v>
      </c>
      <c r="Q112" s="162">
        <v>5</v>
      </c>
      <c r="R112" s="162">
        <v>8</v>
      </c>
      <c r="S112" s="156">
        <v>42497</v>
      </c>
      <c r="T112" s="162">
        <v>2</v>
      </c>
      <c r="U112" s="162">
        <v>13</v>
      </c>
      <c r="V112" s="156">
        <v>36001</v>
      </c>
      <c r="W112" s="159">
        <f t="shared" si="103"/>
        <v>12</v>
      </c>
      <c r="X112" s="159">
        <f t="shared" si="104"/>
        <v>61</v>
      </c>
      <c r="Y112" s="153">
        <f>G112+J112+M112+P112+S112+V112</f>
        <v>216898</v>
      </c>
    </row>
    <row r="113" spans="2:25" x14ac:dyDescent="0.4">
      <c r="B113" s="232"/>
      <c r="C113" s="189"/>
      <c r="D113" s="98" t="s">
        <v>106</v>
      </c>
      <c r="E113" s="151">
        <f>E112-E110</f>
        <v>-2</v>
      </c>
      <c r="F113" s="160">
        <f>F112-F110</f>
        <v>4</v>
      </c>
      <c r="G113" s="151">
        <f t="shared" ref="G113" si="105">G112-G110</f>
        <v>3664</v>
      </c>
      <c r="H113" s="160">
        <f>H112-H110</f>
        <v>0</v>
      </c>
      <c r="I113" s="160">
        <f t="shared" ref="I113:J113" si="106">I112-I110</f>
        <v>0</v>
      </c>
      <c r="J113" s="151">
        <f t="shared" si="106"/>
        <v>5393</v>
      </c>
      <c r="K113" s="151">
        <f>K112-K110</f>
        <v>-7</v>
      </c>
      <c r="L113" s="160">
        <f t="shared" ref="L113:M113" si="107">L112-L110</f>
        <v>9</v>
      </c>
      <c r="M113" s="151">
        <f t="shared" si="107"/>
        <v>139</v>
      </c>
      <c r="N113" s="160">
        <f>N112-N110</f>
        <v>-3</v>
      </c>
      <c r="O113" s="160">
        <f t="shared" ref="O113:P113" si="108">O112-O110</f>
        <v>0</v>
      </c>
      <c r="P113" s="151">
        <f t="shared" si="108"/>
        <v>1427</v>
      </c>
      <c r="Q113" s="160">
        <f>Q112-Q110</f>
        <v>-1</v>
      </c>
      <c r="R113" s="160">
        <f t="shared" ref="R113:S113" si="109">R112-R110</f>
        <v>-2</v>
      </c>
      <c r="S113" s="151">
        <f t="shared" si="109"/>
        <v>4173</v>
      </c>
      <c r="T113" s="160">
        <f>T112-T110</f>
        <v>-6</v>
      </c>
      <c r="U113" s="160">
        <f t="shared" ref="U113:Y113" si="110">U112-U110</f>
        <v>8</v>
      </c>
      <c r="V113" s="151">
        <f t="shared" si="110"/>
        <v>1528</v>
      </c>
      <c r="W113" s="160">
        <f t="shared" si="110"/>
        <v>-19</v>
      </c>
      <c r="X113" s="160">
        <f t="shared" si="110"/>
        <v>19</v>
      </c>
      <c r="Y113" s="152">
        <f t="shared" si="110"/>
        <v>16324</v>
      </c>
    </row>
    <row r="114" spans="2:25" x14ac:dyDescent="0.4">
      <c r="B114" s="232"/>
      <c r="C114" s="190"/>
      <c r="D114" s="100" t="s">
        <v>107</v>
      </c>
      <c r="E114" s="223">
        <f>IF(G110&lt;&gt;0,IF(G112&lt;&gt;0, G112/G110, 0),0)</f>
        <v>1.1823520629074802</v>
      </c>
      <c r="F114" s="224"/>
      <c r="G114" s="225"/>
      <c r="H114" s="223">
        <f>IF(J110&lt;&gt;0,IF(J112&lt;&gt;0, J112/J110, 0),0)</f>
        <v>1.1543193979454602</v>
      </c>
      <c r="I114" s="224"/>
      <c r="J114" s="225"/>
      <c r="K114" s="223">
        <f>IF(M110&lt;&gt;0,IF(M112&lt;&gt;0, M112/M110, 0),0)</f>
        <v>1.0029793801174605</v>
      </c>
      <c r="L114" s="224"/>
      <c r="M114" s="225"/>
      <c r="N114" s="223">
        <f>IF(P110&lt;&gt;0,IF(P112&lt;&gt;0, P112/P110, 0),0)</f>
        <v>1.0547099643445923</v>
      </c>
      <c r="O114" s="224"/>
      <c r="P114" s="225"/>
      <c r="Q114" s="223">
        <f>IF(S110&lt;&gt;0,IF(S112&lt;&gt;0, S112/S110, 0),0)</f>
        <v>1.108887381275441</v>
      </c>
      <c r="R114" s="224"/>
      <c r="S114" s="225"/>
      <c r="T114" s="223">
        <f>IF(V110&lt;&gt;0,IF(V112&lt;&gt;0, V112/V110, 0),0)</f>
        <v>1.0443245438459083</v>
      </c>
      <c r="U114" s="224"/>
      <c r="V114" s="225"/>
      <c r="W114" s="223">
        <f>IF(Y110&lt;&gt;0,IF(Y112&lt;&gt;0, Y112/Y110, 0),0)</f>
        <v>1.0813864209718109</v>
      </c>
      <c r="X114" s="224"/>
      <c r="Y114" s="226"/>
    </row>
    <row r="115" spans="2:25" x14ac:dyDescent="0.4">
      <c r="B115" s="232"/>
      <c r="C115" s="197" t="s">
        <v>108</v>
      </c>
      <c r="D115" s="104" t="s">
        <v>103</v>
      </c>
      <c r="E115" s="217">
        <v>-8211</v>
      </c>
      <c r="F115" s="208"/>
      <c r="G115" s="213"/>
      <c r="H115" s="217">
        <v>-3419</v>
      </c>
      <c r="I115" s="208"/>
      <c r="J115" s="213"/>
      <c r="K115" s="217">
        <v>770</v>
      </c>
      <c r="L115" s="208"/>
      <c r="M115" s="213"/>
      <c r="N115" s="217">
        <v>2259</v>
      </c>
      <c r="O115" s="208"/>
      <c r="P115" s="213"/>
      <c r="Q115" s="217">
        <v>-9744</v>
      </c>
      <c r="R115" s="208"/>
      <c r="S115" s="213"/>
      <c r="T115" s="217">
        <v>-3179</v>
      </c>
      <c r="U115" s="208"/>
      <c r="V115" s="213"/>
      <c r="W115" s="217">
        <f>E115+H115+K115+T115+N115+Q115</f>
        <v>-21524</v>
      </c>
      <c r="X115" s="208"/>
      <c r="Y115" s="209"/>
    </row>
    <row r="116" spans="2:25" x14ac:dyDescent="0.4">
      <c r="B116" s="232"/>
      <c r="C116" s="198"/>
      <c r="D116" s="105" t="s">
        <v>109</v>
      </c>
      <c r="E116" s="234">
        <v>-8200</v>
      </c>
      <c r="F116" s="235"/>
      <c r="G116" s="236"/>
      <c r="H116" s="234">
        <v>-950</v>
      </c>
      <c r="I116" s="235"/>
      <c r="J116" s="236"/>
      <c r="K116" s="234">
        <v>800</v>
      </c>
      <c r="L116" s="235"/>
      <c r="M116" s="236"/>
      <c r="N116" s="234">
        <v>2300</v>
      </c>
      <c r="O116" s="235"/>
      <c r="P116" s="236"/>
      <c r="Q116" s="234">
        <v>-3000</v>
      </c>
      <c r="R116" s="235"/>
      <c r="S116" s="236"/>
      <c r="T116" s="234">
        <v>-3000</v>
      </c>
      <c r="U116" s="235"/>
      <c r="V116" s="236"/>
      <c r="W116" s="234">
        <f>E116+H116+K116+T116+N116+Q116</f>
        <v>-12050</v>
      </c>
      <c r="X116" s="235"/>
      <c r="Y116" s="237"/>
    </row>
    <row r="117" spans="2:25" x14ac:dyDescent="0.4">
      <c r="B117" s="232"/>
      <c r="C117" s="198"/>
      <c r="D117" s="97" t="s">
        <v>105</v>
      </c>
      <c r="E117" s="241">
        <v>-3819</v>
      </c>
      <c r="F117" s="242"/>
      <c r="G117" s="243"/>
      <c r="H117" s="228">
        <v>1692</v>
      </c>
      <c r="I117" s="229"/>
      <c r="J117" s="230"/>
      <c r="K117" s="228">
        <v>892</v>
      </c>
      <c r="L117" s="229"/>
      <c r="M117" s="230"/>
      <c r="N117" s="228">
        <v>1887</v>
      </c>
      <c r="O117" s="229"/>
      <c r="P117" s="230"/>
      <c r="Q117" s="228">
        <v>2086</v>
      </c>
      <c r="R117" s="229"/>
      <c r="S117" s="230"/>
      <c r="T117" s="228">
        <v>1119</v>
      </c>
      <c r="U117" s="229"/>
      <c r="V117" s="230"/>
      <c r="W117" s="238">
        <f>E117+H117+K117+T117+N117+Q117</f>
        <v>3857</v>
      </c>
      <c r="X117" s="239"/>
      <c r="Y117" s="240"/>
    </row>
    <row r="118" spans="2:25" x14ac:dyDescent="0.4">
      <c r="B118" s="232"/>
      <c r="C118" s="198"/>
      <c r="D118" s="98" t="s">
        <v>106</v>
      </c>
      <c r="E118" s="227">
        <f>E117-E115</f>
        <v>4392</v>
      </c>
      <c r="F118" s="195"/>
      <c r="G118" s="196"/>
      <c r="H118" s="227">
        <f>H117-H115</f>
        <v>5111</v>
      </c>
      <c r="I118" s="195"/>
      <c r="J118" s="196"/>
      <c r="K118" s="227">
        <f>K117-K115</f>
        <v>122</v>
      </c>
      <c r="L118" s="195"/>
      <c r="M118" s="196"/>
      <c r="N118" s="227">
        <f>N117-N115</f>
        <v>-372</v>
      </c>
      <c r="O118" s="195"/>
      <c r="P118" s="196"/>
      <c r="Q118" s="227">
        <f>Q117-Q115</f>
        <v>11830</v>
      </c>
      <c r="R118" s="195"/>
      <c r="S118" s="196"/>
      <c r="T118" s="227">
        <f>T117-T115</f>
        <v>4298</v>
      </c>
      <c r="U118" s="195"/>
      <c r="V118" s="196"/>
      <c r="W118" s="227">
        <f>W117-W115</f>
        <v>25381</v>
      </c>
      <c r="X118" s="195"/>
      <c r="Y118" s="212"/>
    </row>
    <row r="119" spans="2:25" ht="19.5" thickBot="1" x14ac:dyDescent="0.45">
      <c r="B119" s="233"/>
      <c r="C119" s="199"/>
      <c r="D119" s="102" t="s">
        <v>107</v>
      </c>
      <c r="E119" s="216">
        <f>IF(E115&lt;&gt;0,IF(E117&lt;&gt;0,E117/E115,0),0)</f>
        <v>0.4651077822433321</v>
      </c>
      <c r="F119" s="206"/>
      <c r="G119" s="215"/>
      <c r="H119" s="216">
        <f>IF(H115&lt;&gt;0,IF(H117&lt;&gt;0,H117/H115,0),0)</f>
        <v>-0.49488154431120213</v>
      </c>
      <c r="I119" s="206"/>
      <c r="J119" s="215"/>
      <c r="K119" s="216">
        <f>IF(K115&lt;&gt;0,IF(K117&lt;&gt;0,K117/K115,0),0)</f>
        <v>1.1584415584415584</v>
      </c>
      <c r="L119" s="206"/>
      <c r="M119" s="215"/>
      <c r="N119" s="216">
        <f>IF(N115&lt;&gt;0,IF(N117&lt;&gt;0,N117/N115,0),0)</f>
        <v>0.83532536520584333</v>
      </c>
      <c r="O119" s="206"/>
      <c r="P119" s="215"/>
      <c r="Q119" s="216">
        <f>IF(Q115&lt;&gt;0,IF(Q117&lt;&gt;0,Q117/Q115,0),0)</f>
        <v>-0.21408045977011494</v>
      </c>
      <c r="R119" s="206"/>
      <c r="S119" s="215"/>
      <c r="T119" s="216">
        <f>IF(T115&lt;&gt;0,IF(T117&lt;&gt;0,T117/T115,0),0)</f>
        <v>-0.35199748348537274</v>
      </c>
      <c r="U119" s="206"/>
      <c r="V119" s="215"/>
      <c r="W119" s="216">
        <f>IF(W115&lt;&gt;0,IF(W117&lt;&gt;0,W117/W115,0),0)</f>
        <v>-0.17919531685560305</v>
      </c>
      <c r="X119" s="206"/>
      <c r="Y119" s="207"/>
    </row>
    <row r="120" spans="2:25" x14ac:dyDescent="0.4">
      <c r="B120" s="185" t="s">
        <v>138</v>
      </c>
      <c r="C120" s="188" t="s">
        <v>102</v>
      </c>
      <c r="D120" s="94" t="s">
        <v>103</v>
      </c>
      <c r="E120" s="157">
        <f t="shared" ref="E120:V120" si="111">SUM(E90,E100,E110)</f>
        <v>6</v>
      </c>
      <c r="F120" s="157">
        <f t="shared" si="111"/>
        <v>14</v>
      </c>
      <c r="G120" s="173">
        <f t="shared" si="111"/>
        <v>60744</v>
      </c>
      <c r="H120" s="157">
        <f t="shared" si="111"/>
        <v>12</v>
      </c>
      <c r="I120" s="157">
        <f t="shared" si="111"/>
        <v>18</v>
      </c>
      <c r="J120" s="173">
        <f t="shared" si="111"/>
        <v>106212</v>
      </c>
      <c r="K120" s="173">
        <f t="shared" si="111"/>
        <v>18</v>
      </c>
      <c r="L120" s="157">
        <f t="shared" si="111"/>
        <v>34</v>
      </c>
      <c r="M120" s="173">
        <f t="shared" si="111"/>
        <v>139565</v>
      </c>
      <c r="N120" s="157">
        <f t="shared" si="111"/>
        <v>10</v>
      </c>
      <c r="O120" s="157">
        <f t="shared" si="111"/>
        <v>18</v>
      </c>
      <c r="P120" s="173">
        <f t="shared" si="111"/>
        <v>76575</v>
      </c>
      <c r="Q120" s="157">
        <f t="shared" si="111"/>
        <v>18</v>
      </c>
      <c r="R120" s="157">
        <f t="shared" si="111"/>
        <v>30</v>
      </c>
      <c r="S120" s="173">
        <f t="shared" si="111"/>
        <v>113383</v>
      </c>
      <c r="T120" s="157">
        <f t="shared" si="111"/>
        <v>27</v>
      </c>
      <c r="U120" s="157">
        <f t="shared" si="111"/>
        <v>16</v>
      </c>
      <c r="V120" s="173">
        <f t="shared" si="111"/>
        <v>110341</v>
      </c>
      <c r="W120" s="157">
        <f t="shared" ref="W120:W121" si="112">E120+H120+K120+N120+Q120+T120</f>
        <v>91</v>
      </c>
      <c r="X120" s="157">
        <f t="shared" ref="X120:X121" si="113">F120+I120+L120+O120+R120+U120</f>
        <v>130</v>
      </c>
      <c r="Y120" s="174">
        <f t="shared" ref="Y120:Y121" si="114">G120+J120+M120+P120+S120+V120</f>
        <v>606820</v>
      </c>
    </row>
    <row r="121" spans="2:25" x14ac:dyDescent="0.4">
      <c r="B121" s="232"/>
      <c r="C121" s="189"/>
      <c r="D121" s="97" t="s">
        <v>105</v>
      </c>
      <c r="E121" s="181">
        <f t="shared" ref="E121:V121" si="115">SUM(E92,E102,E112)</f>
        <v>5</v>
      </c>
      <c r="F121" s="181">
        <f t="shared" si="115"/>
        <v>19</v>
      </c>
      <c r="G121" s="182">
        <f t="shared" si="115"/>
        <v>71576</v>
      </c>
      <c r="H121" s="162">
        <f t="shared" si="115"/>
        <v>15</v>
      </c>
      <c r="I121" s="162">
        <f t="shared" si="115"/>
        <v>14</v>
      </c>
      <c r="J121" s="182">
        <f t="shared" si="115"/>
        <v>124884</v>
      </c>
      <c r="K121" s="181">
        <f t="shared" si="115"/>
        <v>6</v>
      </c>
      <c r="L121" s="162">
        <f t="shared" si="115"/>
        <v>44</v>
      </c>
      <c r="M121" s="182">
        <f t="shared" si="115"/>
        <v>137277</v>
      </c>
      <c r="N121" s="162">
        <f t="shared" si="115"/>
        <v>4</v>
      </c>
      <c r="O121" s="162">
        <f t="shared" si="115"/>
        <v>19</v>
      </c>
      <c r="P121" s="182">
        <f t="shared" si="115"/>
        <v>80699</v>
      </c>
      <c r="Q121" s="162">
        <f t="shared" si="115"/>
        <v>17</v>
      </c>
      <c r="R121" s="162">
        <f t="shared" si="115"/>
        <v>25</v>
      </c>
      <c r="S121" s="182">
        <f t="shared" si="115"/>
        <v>121596</v>
      </c>
      <c r="T121" s="162">
        <f t="shared" si="115"/>
        <v>7</v>
      </c>
      <c r="U121" s="162">
        <f t="shared" si="115"/>
        <v>38</v>
      </c>
      <c r="V121" s="182">
        <f t="shared" si="115"/>
        <v>112914</v>
      </c>
      <c r="W121" s="159">
        <f t="shared" si="112"/>
        <v>54</v>
      </c>
      <c r="X121" s="159">
        <f t="shared" si="113"/>
        <v>159</v>
      </c>
      <c r="Y121" s="180">
        <f t="shared" si="114"/>
        <v>648946</v>
      </c>
    </row>
    <row r="122" spans="2:25" x14ac:dyDescent="0.4">
      <c r="B122" s="232"/>
      <c r="C122" s="189"/>
      <c r="D122" s="98" t="s">
        <v>106</v>
      </c>
      <c r="E122" s="160">
        <f>E121-E120</f>
        <v>-1</v>
      </c>
      <c r="F122" s="160">
        <f t="shared" ref="F122:G122" si="116">F121-F120</f>
        <v>5</v>
      </c>
      <c r="G122" s="178">
        <f t="shared" si="116"/>
        <v>10832</v>
      </c>
      <c r="H122" s="160">
        <f>H121-H120</f>
        <v>3</v>
      </c>
      <c r="I122" s="160">
        <f t="shared" ref="I122:J122" si="117">I121-I120</f>
        <v>-4</v>
      </c>
      <c r="J122" s="178">
        <f t="shared" si="117"/>
        <v>18672</v>
      </c>
      <c r="K122" s="178">
        <f>K121-K120</f>
        <v>-12</v>
      </c>
      <c r="L122" s="160">
        <f t="shared" ref="L122:M122" si="118">L121-L120</f>
        <v>10</v>
      </c>
      <c r="M122" s="178">
        <f t="shared" si="118"/>
        <v>-2288</v>
      </c>
      <c r="N122" s="160">
        <f>N121-N120</f>
        <v>-6</v>
      </c>
      <c r="O122" s="160">
        <f t="shared" ref="O122:P122" si="119">O121-O120</f>
        <v>1</v>
      </c>
      <c r="P122" s="178">
        <f t="shared" si="119"/>
        <v>4124</v>
      </c>
      <c r="Q122" s="160">
        <f>Q121-Q120</f>
        <v>-1</v>
      </c>
      <c r="R122" s="160">
        <f t="shared" ref="R122:S122" si="120">R121-R120</f>
        <v>-5</v>
      </c>
      <c r="S122" s="178">
        <f t="shared" si="120"/>
        <v>8213</v>
      </c>
      <c r="T122" s="160">
        <f>T121-T120</f>
        <v>-20</v>
      </c>
      <c r="U122" s="160">
        <f t="shared" ref="U122:V122" si="121">U121-U120</f>
        <v>22</v>
      </c>
      <c r="V122" s="178">
        <f t="shared" si="121"/>
        <v>2573</v>
      </c>
      <c r="W122" s="160">
        <f>W121-W120</f>
        <v>-37</v>
      </c>
      <c r="X122" s="160">
        <f t="shared" ref="X122:Y122" si="122">X121-X120</f>
        <v>29</v>
      </c>
      <c r="Y122" s="179">
        <f t="shared" si="122"/>
        <v>42126</v>
      </c>
    </row>
    <row r="123" spans="2:25" x14ac:dyDescent="0.4">
      <c r="B123" s="232"/>
      <c r="C123" s="190"/>
      <c r="D123" s="100" t="s">
        <v>107</v>
      </c>
      <c r="E123" s="223">
        <f>IF(G120&lt;&gt;0,IF(G121&lt;&gt;0,G121/G120,0),0)</f>
        <v>1.1783221388120637</v>
      </c>
      <c r="F123" s="224"/>
      <c r="G123" s="225"/>
      <c r="H123" s="223">
        <f>IF(J120&lt;&gt;0,IF(J121&lt;&gt;0,J121/J120,0),0)</f>
        <v>1.1757993447068127</v>
      </c>
      <c r="I123" s="224"/>
      <c r="J123" s="225"/>
      <c r="K123" s="223">
        <f>IF(M120&lt;&gt;0,IF(M121&lt;&gt;0,M121/M120,0),0)</f>
        <v>0.9836062049940888</v>
      </c>
      <c r="L123" s="224"/>
      <c r="M123" s="225"/>
      <c r="N123" s="223">
        <f>IF(P120&lt;&gt;0,IF(P121&lt;&gt;0,P121/P120,0),0)</f>
        <v>1.0538556970290565</v>
      </c>
      <c r="O123" s="224"/>
      <c r="P123" s="225"/>
      <c r="Q123" s="223">
        <f>IF(S120&lt;&gt;0,IF(S121&lt;&gt;0,S121/S120,0),0)</f>
        <v>1.0724359030895285</v>
      </c>
      <c r="R123" s="224"/>
      <c r="S123" s="225"/>
      <c r="T123" s="223">
        <f>IF(V120&lt;&gt;0,IF(V121&lt;&gt;0,V121/V120,0),0)</f>
        <v>1.0233186213646785</v>
      </c>
      <c r="U123" s="224"/>
      <c r="V123" s="225"/>
      <c r="W123" s="223">
        <f>IF(Y120&lt;&gt;0,IF(Y121&lt;&gt;0,Y121/Y120,0),0)</f>
        <v>1.0694209155927623</v>
      </c>
      <c r="X123" s="224"/>
      <c r="Y123" s="226"/>
    </row>
    <row r="124" spans="2:25" x14ac:dyDescent="0.4">
      <c r="B124" s="232"/>
      <c r="C124" s="197" t="s">
        <v>108</v>
      </c>
      <c r="D124" s="126" t="s">
        <v>103</v>
      </c>
      <c r="E124" s="217">
        <f>SUM(E95,E105,E115)</f>
        <v>-28236</v>
      </c>
      <c r="F124" s="208"/>
      <c r="G124" s="213"/>
      <c r="H124" s="217">
        <f t="shared" ref="H124" si="123">SUM(H95,H105,H115)</f>
        <v>-12868</v>
      </c>
      <c r="I124" s="208"/>
      <c r="J124" s="213"/>
      <c r="K124" s="217">
        <f t="shared" ref="K124" si="124">SUM(K95,K105,K115)</f>
        <v>-271</v>
      </c>
      <c r="L124" s="208"/>
      <c r="M124" s="213"/>
      <c r="N124" s="217">
        <f t="shared" ref="N124" si="125">SUM(N95,N105,N115)</f>
        <v>-3567</v>
      </c>
      <c r="O124" s="208"/>
      <c r="P124" s="213"/>
      <c r="Q124" s="217">
        <f t="shared" ref="Q124" si="126">SUM(Q95,Q105,Q115)</f>
        <v>-1903</v>
      </c>
      <c r="R124" s="208"/>
      <c r="S124" s="213"/>
      <c r="T124" s="217">
        <f t="shared" ref="T124" si="127">SUM(T95,T105,T115)</f>
        <v>-6439</v>
      </c>
      <c r="U124" s="208"/>
      <c r="V124" s="213"/>
      <c r="W124" s="217">
        <f>SUM(E124:V124)</f>
        <v>-53284</v>
      </c>
      <c r="X124" s="208"/>
      <c r="Y124" s="209"/>
    </row>
    <row r="125" spans="2:25" x14ac:dyDescent="0.4">
      <c r="B125" s="232"/>
      <c r="C125" s="198"/>
      <c r="D125" s="127" t="s">
        <v>105</v>
      </c>
      <c r="E125" s="228">
        <f>SUM(E97,E107,E117)</f>
        <v>-15782</v>
      </c>
      <c r="F125" s="229"/>
      <c r="G125" s="230"/>
      <c r="H125" s="228">
        <f t="shared" ref="H125" si="128">SUM(H97,H107,H117)</f>
        <v>5957</v>
      </c>
      <c r="I125" s="229"/>
      <c r="J125" s="230"/>
      <c r="K125" s="228">
        <f t="shared" ref="K125" si="129">SUM(K97,K107,K117)</f>
        <v>2714</v>
      </c>
      <c r="L125" s="229"/>
      <c r="M125" s="230"/>
      <c r="N125" s="228">
        <f t="shared" ref="N125" si="130">SUM(N97,N107,N117)</f>
        <v>5900</v>
      </c>
      <c r="O125" s="229"/>
      <c r="P125" s="230"/>
      <c r="Q125" s="228">
        <f t="shared" ref="Q125" si="131">SUM(Q97,Q107,Q117)</f>
        <v>7102</v>
      </c>
      <c r="R125" s="229"/>
      <c r="S125" s="230"/>
      <c r="T125" s="228">
        <f t="shared" ref="T125" si="132">SUM(T97,T107,T117)</f>
        <v>6036</v>
      </c>
      <c r="U125" s="229"/>
      <c r="V125" s="230"/>
      <c r="W125" s="228">
        <f>SUM(E125:V125)</f>
        <v>11927</v>
      </c>
      <c r="X125" s="229"/>
      <c r="Y125" s="231"/>
    </row>
    <row r="126" spans="2:25" x14ac:dyDescent="0.4">
      <c r="B126" s="232"/>
      <c r="C126" s="198"/>
      <c r="D126" s="128" t="s">
        <v>106</v>
      </c>
      <c r="E126" s="227">
        <f>E125-E124</f>
        <v>12454</v>
      </c>
      <c r="F126" s="195"/>
      <c r="G126" s="196"/>
      <c r="H126" s="227">
        <f>H125-H124</f>
        <v>18825</v>
      </c>
      <c r="I126" s="195"/>
      <c r="J126" s="196"/>
      <c r="K126" s="227">
        <f>K125-K124</f>
        <v>2985</v>
      </c>
      <c r="L126" s="195"/>
      <c r="M126" s="196"/>
      <c r="N126" s="227">
        <f>N125-N124</f>
        <v>9467</v>
      </c>
      <c r="O126" s="195"/>
      <c r="P126" s="196"/>
      <c r="Q126" s="227">
        <f>Q125-Q124</f>
        <v>9005</v>
      </c>
      <c r="R126" s="195"/>
      <c r="S126" s="196"/>
      <c r="T126" s="227">
        <f>T125-T124</f>
        <v>12475</v>
      </c>
      <c r="U126" s="195"/>
      <c r="V126" s="196"/>
      <c r="W126" s="227">
        <f>W125-W124</f>
        <v>65211</v>
      </c>
      <c r="X126" s="195"/>
      <c r="Y126" s="212"/>
    </row>
    <row r="127" spans="2:25" ht="19.5" thickBot="1" x14ac:dyDescent="0.45">
      <c r="B127" s="233"/>
      <c r="C127" s="199"/>
      <c r="D127" s="102" t="s">
        <v>107</v>
      </c>
      <c r="E127" s="216">
        <f>IF(E124&lt;&gt;0,IF(E125&lt;&gt;0,E125/E124,0),0)</f>
        <v>0.55893186003683237</v>
      </c>
      <c r="F127" s="206"/>
      <c r="G127" s="215"/>
      <c r="H127" s="216">
        <f>IF(H124&lt;&gt;0,IF(H125&lt;&gt;0,H125/H124,0),0)</f>
        <v>-0.46293130245570407</v>
      </c>
      <c r="I127" s="206"/>
      <c r="J127" s="215"/>
      <c r="K127" s="216">
        <f>IF(K124&lt;&gt;0,IF(K125&lt;&gt;0,K125/K124,0),0)</f>
        <v>-10.014760147601477</v>
      </c>
      <c r="L127" s="206"/>
      <c r="M127" s="215"/>
      <c r="N127" s="216">
        <f>IF(N124&lt;&gt;0,IF(N125&lt;&gt;0,N125/N124,0),0)</f>
        <v>-1.6540510232688534</v>
      </c>
      <c r="O127" s="206"/>
      <c r="P127" s="215"/>
      <c r="Q127" s="216">
        <f>IF(Q124&lt;&gt;0,IF(Q125&lt;&gt;0,Q125/Q124,0),0)</f>
        <v>-3.7320021019442984</v>
      </c>
      <c r="R127" s="206"/>
      <c r="S127" s="215"/>
      <c r="T127" s="216">
        <f>IF(T124&lt;&gt;0,IF(T125&lt;&gt;0,T125/T124,0),0)</f>
        <v>-0.93741264171455196</v>
      </c>
      <c r="U127" s="206"/>
      <c r="V127" s="215"/>
      <c r="W127" s="216">
        <f>IF(W124&lt;&gt;0,IF(W125&lt;&gt;0,W125/W124,0),0)</f>
        <v>-0.22383830042789579</v>
      </c>
      <c r="X127" s="206"/>
      <c r="Y127" s="207"/>
    </row>
    <row r="128" spans="2:25" x14ac:dyDescent="0.4">
      <c r="B128" s="185" t="s">
        <v>131</v>
      </c>
      <c r="C128" s="188" t="s">
        <v>102</v>
      </c>
      <c r="D128" s="94" t="s">
        <v>103</v>
      </c>
      <c r="E128" s="157">
        <v>2</v>
      </c>
      <c r="F128" s="157">
        <v>5</v>
      </c>
      <c r="G128" s="173">
        <v>19960</v>
      </c>
      <c r="H128" s="157">
        <v>4</v>
      </c>
      <c r="I128" s="172">
        <v>7</v>
      </c>
      <c r="J128" s="157">
        <v>37160</v>
      </c>
      <c r="K128" s="173">
        <v>7</v>
      </c>
      <c r="L128" s="157">
        <v>11</v>
      </c>
      <c r="M128" s="173">
        <v>46606</v>
      </c>
      <c r="N128" s="157">
        <v>3</v>
      </c>
      <c r="O128" s="157">
        <v>6</v>
      </c>
      <c r="P128" s="173">
        <v>24436</v>
      </c>
      <c r="Q128" s="157">
        <v>7</v>
      </c>
      <c r="R128" s="157">
        <v>11</v>
      </c>
      <c r="S128" s="173">
        <v>40342</v>
      </c>
      <c r="T128" s="157">
        <v>8</v>
      </c>
      <c r="U128" s="157">
        <v>4</v>
      </c>
      <c r="V128" s="173">
        <v>33257</v>
      </c>
      <c r="W128" s="157">
        <f t="shared" ref="W128:W130" si="133">E128+H128+K128+N128+Q128+T128</f>
        <v>31</v>
      </c>
      <c r="X128" s="157">
        <f t="shared" ref="X128:X130" si="134">F128+I128+L128+O128+R128+U128</f>
        <v>44</v>
      </c>
      <c r="Y128" s="174">
        <f>G128+J128+P128+S128+M128+V128</f>
        <v>201761</v>
      </c>
    </row>
    <row r="129" spans="2:25" x14ac:dyDescent="0.4">
      <c r="B129" s="186"/>
      <c r="C129" s="189"/>
      <c r="D129" s="95" t="s">
        <v>104</v>
      </c>
      <c r="E129" s="158">
        <v>2</v>
      </c>
      <c r="F129" s="158">
        <v>5</v>
      </c>
      <c r="G129" s="175">
        <v>20700</v>
      </c>
      <c r="H129" s="158">
        <v>5</v>
      </c>
      <c r="I129" s="175">
        <v>7</v>
      </c>
      <c r="J129" s="175">
        <v>37800</v>
      </c>
      <c r="K129" s="175">
        <v>4</v>
      </c>
      <c r="L129" s="158">
        <v>16</v>
      </c>
      <c r="M129" s="175">
        <v>49500</v>
      </c>
      <c r="N129" s="158">
        <v>1</v>
      </c>
      <c r="O129" s="158">
        <v>6</v>
      </c>
      <c r="P129" s="175">
        <v>24500</v>
      </c>
      <c r="Q129" s="158">
        <v>5</v>
      </c>
      <c r="R129" s="158">
        <v>12</v>
      </c>
      <c r="S129" s="175">
        <v>40500</v>
      </c>
      <c r="T129" s="158">
        <v>0</v>
      </c>
      <c r="U129" s="158">
        <v>13</v>
      </c>
      <c r="V129" s="175">
        <v>33300</v>
      </c>
      <c r="W129" s="164">
        <f t="shared" si="133"/>
        <v>17</v>
      </c>
      <c r="X129" s="164">
        <f t="shared" si="134"/>
        <v>59</v>
      </c>
      <c r="Y129" s="176">
        <f>G129+J129+P129+S129+M129+V129</f>
        <v>206300</v>
      </c>
    </row>
    <row r="130" spans="2:25" x14ac:dyDescent="0.4">
      <c r="B130" s="232"/>
      <c r="C130" s="189"/>
      <c r="D130" s="97" t="s">
        <v>105</v>
      </c>
      <c r="E130" s="155">
        <v>0</v>
      </c>
      <c r="F130" s="155">
        <v>0</v>
      </c>
      <c r="G130" s="156">
        <v>0</v>
      </c>
      <c r="H130" s="162">
        <v>0</v>
      </c>
      <c r="I130" s="154">
        <v>0</v>
      </c>
      <c r="J130" s="159">
        <v>0</v>
      </c>
      <c r="K130" s="155">
        <v>0</v>
      </c>
      <c r="L130" s="162">
        <v>0</v>
      </c>
      <c r="M130" s="156">
        <v>0</v>
      </c>
      <c r="N130" s="162">
        <v>0</v>
      </c>
      <c r="O130" s="162">
        <v>0</v>
      </c>
      <c r="P130" s="156">
        <v>0</v>
      </c>
      <c r="Q130" s="162">
        <v>0</v>
      </c>
      <c r="R130" s="162">
        <v>0</v>
      </c>
      <c r="S130" s="156">
        <v>0</v>
      </c>
      <c r="T130" s="162">
        <v>0</v>
      </c>
      <c r="U130" s="162">
        <v>0</v>
      </c>
      <c r="V130" s="156">
        <v>0</v>
      </c>
      <c r="W130" s="159">
        <f t="shared" si="133"/>
        <v>0</v>
      </c>
      <c r="X130" s="159">
        <f t="shared" si="134"/>
        <v>0</v>
      </c>
      <c r="Y130" s="153">
        <f>G130+J130+M130+P130+S130+V130</f>
        <v>0</v>
      </c>
    </row>
    <row r="131" spans="2:25" x14ac:dyDescent="0.4">
      <c r="B131" s="232"/>
      <c r="C131" s="189"/>
      <c r="D131" s="98" t="s">
        <v>106</v>
      </c>
      <c r="E131" s="160">
        <f>E130-E128</f>
        <v>-2</v>
      </c>
      <c r="F131" s="160">
        <f>F130-F128</f>
        <v>-5</v>
      </c>
      <c r="G131" s="151">
        <f t="shared" ref="G131" si="135">G130-G128</f>
        <v>-19960</v>
      </c>
      <c r="H131" s="160">
        <f>H130-H128</f>
        <v>-4</v>
      </c>
      <c r="I131" s="160">
        <f t="shared" ref="I131:J131" si="136">I130-I128</f>
        <v>-7</v>
      </c>
      <c r="J131" s="151">
        <f t="shared" si="136"/>
        <v>-37160</v>
      </c>
      <c r="K131" s="151">
        <f>K130-K128</f>
        <v>-7</v>
      </c>
      <c r="L131" s="160">
        <f t="shared" ref="L131:M131" si="137">L130-L128</f>
        <v>-11</v>
      </c>
      <c r="M131" s="151">
        <f t="shared" si="137"/>
        <v>-46606</v>
      </c>
      <c r="N131" s="160">
        <f>N130-N128</f>
        <v>-3</v>
      </c>
      <c r="O131" s="160">
        <f t="shared" ref="O131:P131" si="138">O130-O128</f>
        <v>-6</v>
      </c>
      <c r="P131" s="151">
        <f t="shared" si="138"/>
        <v>-24436</v>
      </c>
      <c r="Q131" s="160">
        <f>Q130-Q128</f>
        <v>-7</v>
      </c>
      <c r="R131" s="160">
        <f t="shared" ref="R131:S131" si="139">R130-R128</f>
        <v>-11</v>
      </c>
      <c r="S131" s="151">
        <f t="shared" si="139"/>
        <v>-40342</v>
      </c>
      <c r="T131" s="160">
        <f>T130-T128</f>
        <v>-8</v>
      </c>
      <c r="U131" s="160">
        <f t="shared" ref="U131:Y131" si="140">U130-U128</f>
        <v>-4</v>
      </c>
      <c r="V131" s="151">
        <f t="shared" si="140"/>
        <v>-33257</v>
      </c>
      <c r="W131" s="160">
        <f t="shared" si="140"/>
        <v>-31</v>
      </c>
      <c r="X131" s="160">
        <f t="shared" si="140"/>
        <v>-44</v>
      </c>
      <c r="Y131" s="152">
        <f t="shared" si="140"/>
        <v>-201761</v>
      </c>
    </row>
    <row r="132" spans="2:25" x14ac:dyDescent="0.4">
      <c r="B132" s="232"/>
      <c r="C132" s="190"/>
      <c r="D132" s="100" t="s">
        <v>107</v>
      </c>
      <c r="E132" s="223">
        <f>IF(G128&lt;&gt;0,IF(G130&lt;&gt;0, G130/G128, 0),0)</f>
        <v>0</v>
      </c>
      <c r="F132" s="224"/>
      <c r="G132" s="225"/>
      <c r="H132" s="223">
        <f>IF(J128&lt;&gt;0,IF(J130&lt;&gt;0, J130/J128, 0),0)</f>
        <v>0</v>
      </c>
      <c r="I132" s="224"/>
      <c r="J132" s="225"/>
      <c r="K132" s="223">
        <f>IF(M128&lt;&gt;0,IF(M130&lt;&gt;0, M130/M128, 0),0)</f>
        <v>0</v>
      </c>
      <c r="L132" s="224"/>
      <c r="M132" s="225"/>
      <c r="N132" s="223">
        <f>IF(P128&lt;&gt;0,IF(P130&lt;&gt;0, P130/P128, 0),0)</f>
        <v>0</v>
      </c>
      <c r="O132" s="224"/>
      <c r="P132" s="225"/>
      <c r="Q132" s="223">
        <f>IF(S128&lt;&gt;0,IF(S130&lt;&gt;0, S130/S128, 0),0)</f>
        <v>0</v>
      </c>
      <c r="R132" s="224"/>
      <c r="S132" s="225"/>
      <c r="T132" s="223">
        <f>IF(V128&lt;&gt;0,IF(V130&lt;&gt;0, V130/V128, 0),0)</f>
        <v>0</v>
      </c>
      <c r="U132" s="224"/>
      <c r="V132" s="225"/>
      <c r="W132" s="223">
        <f>IF(Y128&lt;&gt;0,IF(Y130&lt;&gt;0, Y130/Y128, 0),0)</f>
        <v>0</v>
      </c>
      <c r="X132" s="224"/>
      <c r="Y132" s="226"/>
    </row>
    <row r="133" spans="2:25" x14ac:dyDescent="0.4">
      <c r="B133" s="232"/>
      <c r="C133" s="197" t="s">
        <v>108</v>
      </c>
      <c r="D133" s="104" t="s">
        <v>103</v>
      </c>
      <c r="E133" s="244">
        <v>-6924</v>
      </c>
      <c r="F133" s="245"/>
      <c r="G133" s="250"/>
      <c r="H133" s="244">
        <v>-749</v>
      </c>
      <c r="I133" s="245"/>
      <c r="J133" s="250"/>
      <c r="K133" s="244">
        <v>3861</v>
      </c>
      <c r="L133" s="245"/>
      <c r="M133" s="250"/>
      <c r="N133" s="244">
        <v>2283</v>
      </c>
      <c r="O133" s="245"/>
      <c r="P133" s="250"/>
      <c r="Q133" s="244">
        <v>4613</v>
      </c>
      <c r="R133" s="245"/>
      <c r="S133" s="250"/>
      <c r="T133" s="244">
        <v>-11356</v>
      </c>
      <c r="U133" s="245"/>
      <c r="V133" s="250"/>
      <c r="W133" s="244">
        <f>E133+H133+K133+T133+N133+Q133</f>
        <v>-8272</v>
      </c>
      <c r="X133" s="245"/>
      <c r="Y133" s="246"/>
    </row>
    <row r="134" spans="2:25" x14ac:dyDescent="0.4">
      <c r="B134" s="232"/>
      <c r="C134" s="198"/>
      <c r="D134" s="105" t="s">
        <v>109</v>
      </c>
      <c r="E134" s="247">
        <v>-8400</v>
      </c>
      <c r="F134" s="248"/>
      <c r="G134" s="251"/>
      <c r="H134" s="247">
        <v>70</v>
      </c>
      <c r="I134" s="248"/>
      <c r="J134" s="251"/>
      <c r="K134" s="247">
        <v>4000</v>
      </c>
      <c r="L134" s="248"/>
      <c r="M134" s="251"/>
      <c r="N134" s="247">
        <v>2300</v>
      </c>
      <c r="O134" s="248"/>
      <c r="P134" s="251"/>
      <c r="Q134" s="247">
        <v>-1000</v>
      </c>
      <c r="R134" s="248"/>
      <c r="S134" s="251"/>
      <c r="T134" s="247">
        <v>-7000</v>
      </c>
      <c r="U134" s="248"/>
      <c r="V134" s="251"/>
      <c r="W134" s="247">
        <f>E134+H134+K134+T134+N134+Q134</f>
        <v>-10030</v>
      </c>
      <c r="X134" s="248"/>
      <c r="Y134" s="249"/>
    </row>
    <row r="135" spans="2:25" x14ac:dyDescent="0.4">
      <c r="B135" s="232"/>
      <c r="C135" s="198"/>
      <c r="D135" s="97" t="s">
        <v>105</v>
      </c>
      <c r="E135" s="241">
        <v>0</v>
      </c>
      <c r="F135" s="242"/>
      <c r="G135" s="243"/>
      <c r="H135" s="252">
        <v>0</v>
      </c>
      <c r="I135" s="253"/>
      <c r="J135" s="254"/>
      <c r="K135" s="252">
        <v>0</v>
      </c>
      <c r="L135" s="253"/>
      <c r="M135" s="254"/>
      <c r="N135" s="252">
        <v>0</v>
      </c>
      <c r="O135" s="253"/>
      <c r="P135" s="254"/>
      <c r="Q135" s="252">
        <v>0</v>
      </c>
      <c r="R135" s="253"/>
      <c r="S135" s="254"/>
      <c r="T135" s="252">
        <v>0</v>
      </c>
      <c r="U135" s="253"/>
      <c r="V135" s="254"/>
      <c r="W135" s="238">
        <f>E135+H135+K135+T135+N135+Q135</f>
        <v>0</v>
      </c>
      <c r="X135" s="239"/>
      <c r="Y135" s="240"/>
    </row>
    <row r="136" spans="2:25" x14ac:dyDescent="0.4">
      <c r="B136" s="232"/>
      <c r="C136" s="198"/>
      <c r="D136" s="98" t="s">
        <v>106</v>
      </c>
      <c r="E136" s="227">
        <f>E135-E133</f>
        <v>6924</v>
      </c>
      <c r="F136" s="195"/>
      <c r="G136" s="196"/>
      <c r="H136" s="227">
        <f>H135-H133</f>
        <v>749</v>
      </c>
      <c r="I136" s="195"/>
      <c r="J136" s="196"/>
      <c r="K136" s="227">
        <f>K135-K133</f>
        <v>-3861</v>
      </c>
      <c r="L136" s="195"/>
      <c r="M136" s="196"/>
      <c r="N136" s="227">
        <f>N135-N133</f>
        <v>-2283</v>
      </c>
      <c r="O136" s="195"/>
      <c r="P136" s="196"/>
      <c r="Q136" s="227">
        <f>Q135-Q133</f>
        <v>-4613</v>
      </c>
      <c r="R136" s="195"/>
      <c r="S136" s="196"/>
      <c r="T136" s="227">
        <f>T135-T133</f>
        <v>11356</v>
      </c>
      <c r="U136" s="195"/>
      <c r="V136" s="196"/>
      <c r="W136" s="227">
        <f>W135-W133</f>
        <v>8272</v>
      </c>
      <c r="X136" s="195"/>
      <c r="Y136" s="212"/>
    </row>
    <row r="137" spans="2:25" ht="19.5" thickBot="1" x14ac:dyDescent="0.45">
      <c r="B137" s="233"/>
      <c r="C137" s="199"/>
      <c r="D137" s="102" t="s">
        <v>107</v>
      </c>
      <c r="E137" s="216">
        <f>IF(E133&lt;&gt;0,IF(E135&lt;&gt;0,E135/E133,0),0)</f>
        <v>0</v>
      </c>
      <c r="F137" s="206"/>
      <c r="G137" s="215"/>
      <c r="H137" s="216">
        <f>IF(H133&lt;&gt;0,IF(H135&lt;&gt;0,H135/H133,0),0)</f>
        <v>0</v>
      </c>
      <c r="I137" s="206"/>
      <c r="J137" s="215"/>
      <c r="K137" s="216">
        <f>IF(K133&lt;&gt;0,IF(K135&lt;&gt;0,K135/K133,0),0)</f>
        <v>0</v>
      </c>
      <c r="L137" s="206"/>
      <c r="M137" s="215"/>
      <c r="N137" s="216">
        <f>IF(N133&lt;&gt;0,IF(N135&lt;&gt;0,N135/N133,0),0)</f>
        <v>0</v>
      </c>
      <c r="O137" s="206"/>
      <c r="P137" s="215"/>
      <c r="Q137" s="216">
        <f>IF(Q133&lt;&gt;0,IF(Q135&lt;&gt;0,Q135/Q133,0),0)</f>
        <v>0</v>
      </c>
      <c r="R137" s="206"/>
      <c r="S137" s="215"/>
      <c r="T137" s="216">
        <f>IF(T133&lt;&gt;0,IF(T135&lt;&gt;0,T135/T133,0),0)</f>
        <v>0</v>
      </c>
      <c r="U137" s="206"/>
      <c r="V137" s="215"/>
      <c r="W137" s="216">
        <f>IF(W133&lt;&gt;0,IF(W135&lt;&gt;0,W135/W133,0),0)</f>
        <v>0</v>
      </c>
      <c r="X137" s="206"/>
      <c r="Y137" s="207"/>
    </row>
    <row r="138" spans="2:25" x14ac:dyDescent="0.4">
      <c r="B138" s="185" t="s">
        <v>132</v>
      </c>
      <c r="C138" s="188" t="s">
        <v>102</v>
      </c>
      <c r="D138" s="94" t="s">
        <v>103</v>
      </c>
      <c r="E138" s="157">
        <v>1</v>
      </c>
      <c r="F138" s="157">
        <v>5</v>
      </c>
      <c r="G138" s="173">
        <v>18514</v>
      </c>
      <c r="H138" s="157">
        <v>4</v>
      </c>
      <c r="I138" s="172">
        <v>7</v>
      </c>
      <c r="J138" s="157">
        <v>37236</v>
      </c>
      <c r="K138" s="173">
        <v>7</v>
      </c>
      <c r="L138" s="157">
        <v>10</v>
      </c>
      <c r="M138" s="173">
        <v>46757</v>
      </c>
      <c r="N138" s="157">
        <v>3</v>
      </c>
      <c r="O138" s="157">
        <v>6</v>
      </c>
      <c r="P138" s="173">
        <v>24552</v>
      </c>
      <c r="Q138" s="157">
        <v>7</v>
      </c>
      <c r="R138" s="157">
        <v>11</v>
      </c>
      <c r="S138" s="173">
        <v>41796</v>
      </c>
      <c r="T138" s="157">
        <v>9</v>
      </c>
      <c r="U138" s="157">
        <v>5</v>
      </c>
      <c r="V138" s="173">
        <v>36561</v>
      </c>
      <c r="W138" s="157">
        <f t="shared" ref="W138:W140" si="141">E138+H138+K138+N138+Q138+T138</f>
        <v>31</v>
      </c>
      <c r="X138" s="157">
        <f t="shared" ref="X138:X140" si="142">F138+I138+L138+O138+R138+U138</f>
        <v>44</v>
      </c>
      <c r="Y138" s="174">
        <f>G138+J138+P138+S138+M138+V138</f>
        <v>205416</v>
      </c>
    </row>
    <row r="139" spans="2:25" x14ac:dyDescent="0.4">
      <c r="B139" s="186"/>
      <c r="C139" s="189"/>
      <c r="D139" s="95" t="s">
        <v>104</v>
      </c>
      <c r="E139" s="158">
        <v>0</v>
      </c>
      <c r="F139" s="158">
        <v>0</v>
      </c>
      <c r="G139" s="175">
        <v>0</v>
      </c>
      <c r="H139" s="158">
        <v>0</v>
      </c>
      <c r="I139" s="175">
        <v>0</v>
      </c>
      <c r="J139" s="175">
        <v>0</v>
      </c>
      <c r="K139" s="175">
        <v>0</v>
      </c>
      <c r="L139" s="158">
        <v>0</v>
      </c>
      <c r="M139" s="175">
        <v>0</v>
      </c>
      <c r="N139" s="158">
        <v>0</v>
      </c>
      <c r="O139" s="158">
        <v>0</v>
      </c>
      <c r="P139" s="175">
        <v>0</v>
      </c>
      <c r="Q139" s="158">
        <v>0</v>
      </c>
      <c r="R139" s="158">
        <v>0</v>
      </c>
      <c r="S139" s="175">
        <v>0</v>
      </c>
      <c r="T139" s="158">
        <v>0</v>
      </c>
      <c r="U139" s="158">
        <v>0</v>
      </c>
      <c r="V139" s="175">
        <v>0</v>
      </c>
      <c r="W139" s="164">
        <f t="shared" si="141"/>
        <v>0</v>
      </c>
      <c r="X139" s="164">
        <f t="shared" si="142"/>
        <v>0</v>
      </c>
      <c r="Y139" s="176">
        <f>G139+J139+P139+S139+M139+V139</f>
        <v>0</v>
      </c>
    </row>
    <row r="140" spans="2:25" x14ac:dyDescent="0.4">
      <c r="B140" s="232"/>
      <c r="C140" s="189"/>
      <c r="D140" s="97" t="s">
        <v>105</v>
      </c>
      <c r="E140" s="155">
        <v>0</v>
      </c>
      <c r="F140" s="155">
        <v>0</v>
      </c>
      <c r="G140" s="156">
        <v>0</v>
      </c>
      <c r="H140" s="162">
        <v>0</v>
      </c>
      <c r="I140" s="154">
        <v>0</v>
      </c>
      <c r="J140" s="159">
        <v>0</v>
      </c>
      <c r="K140" s="155">
        <v>0</v>
      </c>
      <c r="L140" s="162">
        <v>0</v>
      </c>
      <c r="M140" s="156">
        <v>0</v>
      </c>
      <c r="N140" s="162">
        <v>0</v>
      </c>
      <c r="O140" s="162">
        <v>0</v>
      </c>
      <c r="P140" s="156">
        <v>0</v>
      </c>
      <c r="Q140" s="162">
        <v>0</v>
      </c>
      <c r="R140" s="162">
        <v>0</v>
      </c>
      <c r="S140" s="156">
        <v>0</v>
      </c>
      <c r="T140" s="162">
        <v>0</v>
      </c>
      <c r="U140" s="162">
        <v>0</v>
      </c>
      <c r="V140" s="156">
        <v>0</v>
      </c>
      <c r="W140" s="159">
        <f t="shared" si="141"/>
        <v>0</v>
      </c>
      <c r="X140" s="159">
        <f t="shared" si="142"/>
        <v>0</v>
      </c>
      <c r="Y140" s="153">
        <f>G140+J140+M140+P140+S140+V140</f>
        <v>0</v>
      </c>
    </row>
    <row r="141" spans="2:25" x14ac:dyDescent="0.4">
      <c r="B141" s="232"/>
      <c r="C141" s="189"/>
      <c r="D141" s="98" t="s">
        <v>106</v>
      </c>
      <c r="E141" s="160">
        <f>E140-E138</f>
        <v>-1</v>
      </c>
      <c r="F141" s="160">
        <f>F140-F138</f>
        <v>-5</v>
      </c>
      <c r="G141" s="151">
        <f t="shared" ref="G141" si="143">G140-G138</f>
        <v>-18514</v>
      </c>
      <c r="H141" s="160">
        <f>H140-H138</f>
        <v>-4</v>
      </c>
      <c r="I141" s="160">
        <f t="shared" ref="I141:J141" si="144">I140-I138</f>
        <v>-7</v>
      </c>
      <c r="J141" s="151">
        <f t="shared" si="144"/>
        <v>-37236</v>
      </c>
      <c r="K141" s="151">
        <f>K140-K138</f>
        <v>-7</v>
      </c>
      <c r="L141" s="160">
        <f t="shared" ref="L141:M141" si="145">L140-L138</f>
        <v>-10</v>
      </c>
      <c r="M141" s="151">
        <f t="shared" si="145"/>
        <v>-46757</v>
      </c>
      <c r="N141" s="160">
        <f>N140-N138</f>
        <v>-3</v>
      </c>
      <c r="O141" s="160">
        <f t="shared" ref="O141:P141" si="146">O140-O138</f>
        <v>-6</v>
      </c>
      <c r="P141" s="151">
        <f t="shared" si="146"/>
        <v>-24552</v>
      </c>
      <c r="Q141" s="160">
        <f>Q140-Q138</f>
        <v>-7</v>
      </c>
      <c r="R141" s="160">
        <f t="shared" ref="R141:S141" si="147">R140-R138</f>
        <v>-11</v>
      </c>
      <c r="S141" s="151">
        <f t="shared" si="147"/>
        <v>-41796</v>
      </c>
      <c r="T141" s="160">
        <f>T140-T138</f>
        <v>-9</v>
      </c>
      <c r="U141" s="160">
        <f t="shared" ref="U141:Y141" si="148">U140-U138</f>
        <v>-5</v>
      </c>
      <c r="V141" s="151">
        <f t="shared" si="148"/>
        <v>-36561</v>
      </c>
      <c r="W141" s="160">
        <f t="shared" si="148"/>
        <v>-31</v>
      </c>
      <c r="X141" s="160">
        <f t="shared" si="148"/>
        <v>-44</v>
      </c>
      <c r="Y141" s="152">
        <f t="shared" si="148"/>
        <v>-205416</v>
      </c>
    </row>
    <row r="142" spans="2:25" x14ac:dyDescent="0.4">
      <c r="B142" s="232"/>
      <c r="C142" s="190"/>
      <c r="D142" s="100" t="s">
        <v>107</v>
      </c>
      <c r="E142" s="223">
        <f>IF(G138&lt;&gt;0,IF(G140&lt;&gt;0, G140/G138, 0),0)</f>
        <v>0</v>
      </c>
      <c r="F142" s="224"/>
      <c r="G142" s="225"/>
      <c r="H142" s="223">
        <f>IF(J138&lt;&gt;0,IF(J140&lt;&gt;0, J140/J138, 0),0)</f>
        <v>0</v>
      </c>
      <c r="I142" s="224"/>
      <c r="J142" s="225"/>
      <c r="K142" s="223">
        <f>IF(M138&lt;&gt;0,IF(M140&lt;&gt;0, M140/M138, 0),0)</f>
        <v>0</v>
      </c>
      <c r="L142" s="224"/>
      <c r="M142" s="225"/>
      <c r="N142" s="223">
        <f>IF(P138&lt;&gt;0,IF(P140&lt;&gt;0, P140/P138, 0),0)</f>
        <v>0</v>
      </c>
      <c r="O142" s="224"/>
      <c r="P142" s="225"/>
      <c r="Q142" s="223">
        <f>IF(S138&lt;&gt;0,IF(S140&lt;&gt;0, S140/S138, 0),0)</f>
        <v>0</v>
      </c>
      <c r="R142" s="224"/>
      <c r="S142" s="225"/>
      <c r="T142" s="223">
        <f>IF(V138&lt;&gt;0,IF(V140&lt;&gt;0, V140/V138, 0),0)</f>
        <v>0</v>
      </c>
      <c r="U142" s="224"/>
      <c r="V142" s="225"/>
      <c r="W142" s="223">
        <f>IF(Y138&lt;&gt;0,IF(Y140&lt;&gt;0, Y140/Y138, 0),0)</f>
        <v>0</v>
      </c>
      <c r="X142" s="224"/>
      <c r="Y142" s="226"/>
    </row>
    <row r="143" spans="2:25" x14ac:dyDescent="0.4">
      <c r="B143" s="232"/>
      <c r="C143" s="197" t="s">
        <v>108</v>
      </c>
      <c r="D143" s="104" t="s">
        <v>103</v>
      </c>
      <c r="E143" s="217">
        <v>-13673</v>
      </c>
      <c r="F143" s="208"/>
      <c r="G143" s="213"/>
      <c r="H143" s="217">
        <v>-7998</v>
      </c>
      <c r="I143" s="208"/>
      <c r="J143" s="213"/>
      <c r="K143" s="217">
        <v>-5759</v>
      </c>
      <c r="L143" s="208"/>
      <c r="M143" s="213"/>
      <c r="N143" s="217">
        <v>-2356</v>
      </c>
      <c r="O143" s="208"/>
      <c r="P143" s="213"/>
      <c r="Q143" s="217">
        <v>-1209</v>
      </c>
      <c r="R143" s="208"/>
      <c r="S143" s="213"/>
      <c r="T143" s="217">
        <v>-4689</v>
      </c>
      <c r="U143" s="208"/>
      <c r="V143" s="213"/>
      <c r="W143" s="217">
        <f>E143+H143+K143+T143+N143+Q143</f>
        <v>-35684</v>
      </c>
      <c r="X143" s="208"/>
      <c r="Y143" s="209"/>
    </row>
    <row r="144" spans="2:25" x14ac:dyDescent="0.4">
      <c r="B144" s="232"/>
      <c r="C144" s="198"/>
      <c r="D144" s="105" t="s">
        <v>109</v>
      </c>
      <c r="E144" s="234">
        <v>0</v>
      </c>
      <c r="F144" s="235"/>
      <c r="G144" s="236"/>
      <c r="H144" s="234">
        <v>0</v>
      </c>
      <c r="I144" s="235"/>
      <c r="J144" s="236"/>
      <c r="K144" s="234">
        <v>0</v>
      </c>
      <c r="L144" s="235"/>
      <c r="M144" s="236"/>
      <c r="N144" s="234">
        <v>0</v>
      </c>
      <c r="O144" s="235"/>
      <c r="P144" s="236"/>
      <c r="Q144" s="234">
        <v>0</v>
      </c>
      <c r="R144" s="235"/>
      <c r="S144" s="236"/>
      <c r="T144" s="234">
        <v>0</v>
      </c>
      <c r="U144" s="235"/>
      <c r="V144" s="236"/>
      <c r="W144" s="234">
        <f>E144+H144+K144+T144+N144+Q144</f>
        <v>0</v>
      </c>
      <c r="X144" s="235"/>
      <c r="Y144" s="237"/>
    </row>
    <row r="145" spans="2:25" x14ac:dyDescent="0.4">
      <c r="B145" s="232"/>
      <c r="C145" s="198"/>
      <c r="D145" s="97" t="s">
        <v>105</v>
      </c>
      <c r="E145" s="241">
        <v>0</v>
      </c>
      <c r="F145" s="242"/>
      <c r="G145" s="243"/>
      <c r="H145" s="228">
        <v>0</v>
      </c>
      <c r="I145" s="229"/>
      <c r="J145" s="230"/>
      <c r="K145" s="228">
        <v>0</v>
      </c>
      <c r="L145" s="229"/>
      <c r="M145" s="230"/>
      <c r="N145" s="228">
        <v>0</v>
      </c>
      <c r="O145" s="229"/>
      <c r="P145" s="230"/>
      <c r="Q145" s="228">
        <v>0</v>
      </c>
      <c r="R145" s="229"/>
      <c r="S145" s="230"/>
      <c r="T145" s="228">
        <v>0</v>
      </c>
      <c r="U145" s="229"/>
      <c r="V145" s="230"/>
      <c r="W145" s="238">
        <f>E145+H145+K145+T145+N145+Q145</f>
        <v>0</v>
      </c>
      <c r="X145" s="239"/>
      <c r="Y145" s="240"/>
    </row>
    <row r="146" spans="2:25" x14ac:dyDescent="0.4">
      <c r="B146" s="232"/>
      <c r="C146" s="198"/>
      <c r="D146" s="98" t="s">
        <v>106</v>
      </c>
      <c r="E146" s="227">
        <f>E145-E143</f>
        <v>13673</v>
      </c>
      <c r="F146" s="195"/>
      <c r="G146" s="196"/>
      <c r="H146" s="227">
        <f>H145-H143</f>
        <v>7998</v>
      </c>
      <c r="I146" s="195"/>
      <c r="J146" s="196"/>
      <c r="K146" s="227">
        <f>K145-K143</f>
        <v>5759</v>
      </c>
      <c r="L146" s="195"/>
      <c r="M146" s="196"/>
      <c r="N146" s="227">
        <f>N145-N143</f>
        <v>2356</v>
      </c>
      <c r="O146" s="195"/>
      <c r="P146" s="196"/>
      <c r="Q146" s="227">
        <f>Q145-Q143</f>
        <v>1209</v>
      </c>
      <c r="R146" s="195"/>
      <c r="S146" s="196"/>
      <c r="T146" s="227">
        <f>T145-T143</f>
        <v>4689</v>
      </c>
      <c r="U146" s="195"/>
      <c r="V146" s="196"/>
      <c r="W146" s="227">
        <f>W145-W143</f>
        <v>35684</v>
      </c>
      <c r="X146" s="195"/>
      <c r="Y146" s="212"/>
    </row>
    <row r="147" spans="2:25" ht="19.5" thickBot="1" x14ac:dyDescent="0.45">
      <c r="B147" s="233"/>
      <c r="C147" s="199"/>
      <c r="D147" s="102" t="s">
        <v>107</v>
      </c>
      <c r="E147" s="216">
        <f>IF(E143&lt;&gt;0,IF(E145&lt;&gt;0,E145/E143,0),0)</f>
        <v>0</v>
      </c>
      <c r="F147" s="206"/>
      <c r="G147" s="215"/>
      <c r="H147" s="216">
        <f>IF(H143&lt;&gt;0,IF(H145&lt;&gt;0,H145/H143,0),0)</f>
        <v>0</v>
      </c>
      <c r="I147" s="206"/>
      <c r="J147" s="215"/>
      <c r="K147" s="216">
        <f>IF(K143&lt;&gt;0,IF(K145&lt;&gt;0,K145/K143,0),0)</f>
        <v>0</v>
      </c>
      <c r="L147" s="206"/>
      <c r="M147" s="215"/>
      <c r="N147" s="216">
        <f>IF(N143&lt;&gt;0,IF(N145&lt;&gt;0,N145/N143,0),0)</f>
        <v>0</v>
      </c>
      <c r="O147" s="206"/>
      <c r="P147" s="215"/>
      <c r="Q147" s="216">
        <f>IF(Q143&lt;&gt;0,IF(Q145&lt;&gt;0,Q145/Q143,0),0)</f>
        <v>0</v>
      </c>
      <c r="R147" s="206"/>
      <c r="S147" s="215"/>
      <c r="T147" s="216">
        <f>IF(T143&lt;&gt;0,IF(T145&lt;&gt;0,T145/T143,0),0)</f>
        <v>0</v>
      </c>
      <c r="U147" s="206"/>
      <c r="V147" s="215"/>
      <c r="W147" s="216">
        <f>IF(W143&lt;&gt;0,IF(W145&lt;&gt;0,W145/W143,0),0)</f>
        <v>0</v>
      </c>
      <c r="X147" s="206"/>
      <c r="Y147" s="207"/>
    </row>
    <row r="148" spans="2:25" x14ac:dyDescent="0.4">
      <c r="B148" s="185" t="s">
        <v>133</v>
      </c>
      <c r="C148" s="188" t="s">
        <v>102</v>
      </c>
      <c r="D148" s="94" t="s">
        <v>103</v>
      </c>
      <c r="E148" s="157">
        <v>2</v>
      </c>
      <c r="F148" s="157">
        <v>5</v>
      </c>
      <c r="G148" s="173">
        <v>20009</v>
      </c>
      <c r="H148" s="157">
        <v>4</v>
      </c>
      <c r="I148" s="172">
        <v>7</v>
      </c>
      <c r="J148" s="157">
        <v>36252</v>
      </c>
      <c r="K148" s="173">
        <v>6</v>
      </c>
      <c r="L148" s="157">
        <v>12</v>
      </c>
      <c r="M148" s="173">
        <v>48244</v>
      </c>
      <c r="N148" s="157">
        <v>3</v>
      </c>
      <c r="O148" s="157">
        <v>6</v>
      </c>
      <c r="P148" s="173">
        <v>25437</v>
      </c>
      <c r="Q148" s="157">
        <v>7</v>
      </c>
      <c r="R148" s="157">
        <v>11</v>
      </c>
      <c r="S148" s="173">
        <v>40356</v>
      </c>
      <c r="T148" s="157">
        <v>10</v>
      </c>
      <c r="U148" s="157">
        <v>4</v>
      </c>
      <c r="V148" s="173">
        <v>37074</v>
      </c>
      <c r="W148" s="157">
        <f t="shared" ref="W148:W150" si="149">E148+H148+K148+N148+Q148+T148</f>
        <v>32</v>
      </c>
      <c r="X148" s="157">
        <f t="shared" ref="X148:X150" si="150">F148+I148+L148+O148+R148+U148</f>
        <v>45</v>
      </c>
      <c r="Y148" s="174">
        <f>G148+J148+P148+S148+M148+V148</f>
        <v>207372</v>
      </c>
    </row>
    <row r="149" spans="2:25" x14ac:dyDescent="0.4">
      <c r="B149" s="186"/>
      <c r="C149" s="189"/>
      <c r="D149" s="95" t="s">
        <v>104</v>
      </c>
      <c r="E149" s="158">
        <v>0</v>
      </c>
      <c r="F149" s="158">
        <v>0</v>
      </c>
      <c r="G149" s="175">
        <v>0</v>
      </c>
      <c r="H149" s="158">
        <v>0</v>
      </c>
      <c r="I149" s="175">
        <v>0</v>
      </c>
      <c r="J149" s="175">
        <v>0</v>
      </c>
      <c r="K149" s="175">
        <v>0</v>
      </c>
      <c r="L149" s="158">
        <v>0</v>
      </c>
      <c r="M149" s="175">
        <v>0</v>
      </c>
      <c r="N149" s="158">
        <v>0</v>
      </c>
      <c r="O149" s="158">
        <v>0</v>
      </c>
      <c r="P149" s="175">
        <v>0</v>
      </c>
      <c r="Q149" s="158">
        <v>0</v>
      </c>
      <c r="R149" s="158">
        <v>0</v>
      </c>
      <c r="S149" s="175">
        <v>0</v>
      </c>
      <c r="T149" s="158">
        <v>0</v>
      </c>
      <c r="U149" s="158">
        <v>0</v>
      </c>
      <c r="V149" s="175">
        <v>0</v>
      </c>
      <c r="W149" s="164">
        <f t="shared" si="149"/>
        <v>0</v>
      </c>
      <c r="X149" s="164">
        <f t="shared" si="150"/>
        <v>0</v>
      </c>
      <c r="Y149" s="176">
        <f>G149+J149+P149+S149+M149+V149</f>
        <v>0</v>
      </c>
    </row>
    <row r="150" spans="2:25" x14ac:dyDescent="0.4">
      <c r="B150" s="232"/>
      <c r="C150" s="189"/>
      <c r="D150" s="97" t="s">
        <v>105</v>
      </c>
      <c r="E150" s="155">
        <v>0</v>
      </c>
      <c r="F150" s="155"/>
      <c r="G150" s="156">
        <v>0</v>
      </c>
      <c r="H150" s="162">
        <v>0</v>
      </c>
      <c r="I150" s="154">
        <v>0</v>
      </c>
      <c r="J150" s="159">
        <v>0</v>
      </c>
      <c r="K150" s="155">
        <v>0</v>
      </c>
      <c r="L150" s="162">
        <v>0</v>
      </c>
      <c r="M150" s="156">
        <v>0</v>
      </c>
      <c r="N150" s="162">
        <v>0</v>
      </c>
      <c r="O150" s="162">
        <v>0</v>
      </c>
      <c r="P150" s="156">
        <v>0</v>
      </c>
      <c r="Q150" s="162">
        <v>0</v>
      </c>
      <c r="R150" s="162">
        <v>0</v>
      </c>
      <c r="S150" s="156">
        <v>0</v>
      </c>
      <c r="T150" s="162">
        <v>0</v>
      </c>
      <c r="U150" s="162">
        <v>0</v>
      </c>
      <c r="V150" s="156">
        <v>0</v>
      </c>
      <c r="W150" s="159">
        <f t="shared" si="149"/>
        <v>0</v>
      </c>
      <c r="X150" s="159">
        <f t="shared" si="150"/>
        <v>0</v>
      </c>
      <c r="Y150" s="153">
        <f>G150+J150+M150+P150+S150+V150</f>
        <v>0</v>
      </c>
    </row>
    <row r="151" spans="2:25" x14ac:dyDescent="0.4">
      <c r="B151" s="232"/>
      <c r="C151" s="189"/>
      <c r="D151" s="98" t="s">
        <v>106</v>
      </c>
      <c r="E151" s="160">
        <f>E150-E148</f>
        <v>-2</v>
      </c>
      <c r="F151" s="160">
        <f>F150-F148</f>
        <v>-5</v>
      </c>
      <c r="G151" s="151">
        <f t="shared" ref="G151" si="151">G150-G148</f>
        <v>-20009</v>
      </c>
      <c r="H151" s="160">
        <f>H150-H148</f>
        <v>-4</v>
      </c>
      <c r="I151" s="160">
        <f t="shared" ref="I151:J151" si="152">I150-I148</f>
        <v>-7</v>
      </c>
      <c r="J151" s="151">
        <f t="shared" si="152"/>
        <v>-36252</v>
      </c>
      <c r="K151" s="151">
        <f>K150-K148</f>
        <v>-6</v>
      </c>
      <c r="L151" s="160">
        <f t="shared" ref="L151:M151" si="153">L150-L148</f>
        <v>-12</v>
      </c>
      <c r="M151" s="151">
        <f t="shared" si="153"/>
        <v>-48244</v>
      </c>
      <c r="N151" s="160">
        <f>N150-N148</f>
        <v>-3</v>
      </c>
      <c r="O151" s="160">
        <f t="shared" ref="O151:P151" si="154">O150-O148</f>
        <v>-6</v>
      </c>
      <c r="P151" s="151">
        <f t="shared" si="154"/>
        <v>-25437</v>
      </c>
      <c r="Q151" s="160">
        <f>Q150-Q148</f>
        <v>-7</v>
      </c>
      <c r="R151" s="160">
        <f t="shared" ref="R151:S151" si="155">R150-R148</f>
        <v>-11</v>
      </c>
      <c r="S151" s="151">
        <f t="shared" si="155"/>
        <v>-40356</v>
      </c>
      <c r="T151" s="160">
        <f>T150-T148</f>
        <v>-10</v>
      </c>
      <c r="U151" s="160">
        <f t="shared" ref="U151:Y151" si="156">U150-U148</f>
        <v>-4</v>
      </c>
      <c r="V151" s="151">
        <f t="shared" si="156"/>
        <v>-37074</v>
      </c>
      <c r="W151" s="160">
        <f t="shared" si="156"/>
        <v>-32</v>
      </c>
      <c r="X151" s="160">
        <f t="shared" si="156"/>
        <v>-45</v>
      </c>
      <c r="Y151" s="152">
        <f t="shared" si="156"/>
        <v>-207372</v>
      </c>
    </row>
    <row r="152" spans="2:25" x14ac:dyDescent="0.4">
      <c r="B152" s="232"/>
      <c r="C152" s="190"/>
      <c r="D152" s="100" t="s">
        <v>107</v>
      </c>
      <c r="E152" s="223">
        <f>IF(G148&lt;&gt;0,IF(G150&lt;&gt;0, G150/G148, 0),0)</f>
        <v>0</v>
      </c>
      <c r="F152" s="224"/>
      <c r="G152" s="225"/>
      <c r="H152" s="223">
        <f>IF(J148&lt;&gt;0,IF(J150&lt;&gt;0, J150/J148, 0),0)</f>
        <v>0</v>
      </c>
      <c r="I152" s="224"/>
      <c r="J152" s="225"/>
      <c r="K152" s="223">
        <f>IF(M148&lt;&gt;0,IF(M150&lt;&gt;0, M150/M148, 0),0)</f>
        <v>0</v>
      </c>
      <c r="L152" s="224"/>
      <c r="M152" s="225"/>
      <c r="N152" s="223">
        <f>IF(P148&lt;&gt;0,IF(P150&lt;&gt;0, P150/P148, 0),0)</f>
        <v>0</v>
      </c>
      <c r="O152" s="224"/>
      <c r="P152" s="225"/>
      <c r="Q152" s="223">
        <f>IF(S148&lt;&gt;0,IF(S150&lt;&gt;0, S150/S148, 0),0)</f>
        <v>0</v>
      </c>
      <c r="R152" s="224"/>
      <c r="S152" s="225"/>
      <c r="T152" s="223">
        <f>IF(V148&lt;&gt;0,IF(V150&lt;&gt;0, V150/V148, 0),0)</f>
        <v>0</v>
      </c>
      <c r="U152" s="224"/>
      <c r="V152" s="225"/>
      <c r="W152" s="223">
        <f>IF(Y148&lt;&gt;0,IF(Y150&lt;&gt;0, Y150/Y148, 0),0)</f>
        <v>0</v>
      </c>
      <c r="X152" s="224"/>
      <c r="Y152" s="226"/>
    </row>
    <row r="153" spans="2:25" x14ac:dyDescent="0.4">
      <c r="B153" s="232"/>
      <c r="C153" s="197" t="s">
        <v>108</v>
      </c>
      <c r="D153" s="104" t="s">
        <v>103</v>
      </c>
      <c r="E153" s="217">
        <v>0</v>
      </c>
      <c r="F153" s="208"/>
      <c r="G153" s="213"/>
      <c r="H153" s="217">
        <v>-2365</v>
      </c>
      <c r="I153" s="208"/>
      <c r="J153" s="213"/>
      <c r="K153" s="217">
        <v>1064</v>
      </c>
      <c r="L153" s="208"/>
      <c r="M153" s="213"/>
      <c r="N153" s="217">
        <v>997</v>
      </c>
      <c r="O153" s="208"/>
      <c r="P153" s="213"/>
      <c r="Q153" s="217">
        <v>3398</v>
      </c>
      <c r="R153" s="208"/>
      <c r="S153" s="213"/>
      <c r="T153" s="217">
        <v>311</v>
      </c>
      <c r="U153" s="208"/>
      <c r="V153" s="213"/>
      <c r="W153" s="217">
        <f>E153+H153+K153+T153+N153+Q153</f>
        <v>3405</v>
      </c>
      <c r="X153" s="208"/>
      <c r="Y153" s="209"/>
    </row>
    <row r="154" spans="2:25" x14ac:dyDescent="0.4">
      <c r="B154" s="232"/>
      <c r="C154" s="198"/>
      <c r="D154" s="105" t="s">
        <v>109</v>
      </c>
      <c r="E154" s="234">
        <v>0</v>
      </c>
      <c r="F154" s="235"/>
      <c r="G154" s="236"/>
      <c r="H154" s="234">
        <v>0</v>
      </c>
      <c r="I154" s="235"/>
      <c r="J154" s="236"/>
      <c r="K154" s="234">
        <v>0</v>
      </c>
      <c r="L154" s="235"/>
      <c r="M154" s="236"/>
      <c r="N154" s="234">
        <v>0</v>
      </c>
      <c r="O154" s="235"/>
      <c r="P154" s="236"/>
      <c r="Q154" s="234">
        <v>0</v>
      </c>
      <c r="R154" s="235"/>
      <c r="S154" s="236"/>
      <c r="T154" s="234">
        <v>0</v>
      </c>
      <c r="U154" s="235"/>
      <c r="V154" s="236"/>
      <c r="W154" s="234">
        <f>E154+H154+K154+T154+N154+Q154</f>
        <v>0</v>
      </c>
      <c r="X154" s="235"/>
      <c r="Y154" s="237"/>
    </row>
    <row r="155" spans="2:25" x14ac:dyDescent="0.4">
      <c r="B155" s="232"/>
      <c r="C155" s="198"/>
      <c r="D155" s="97" t="s">
        <v>105</v>
      </c>
      <c r="E155" s="241">
        <v>0</v>
      </c>
      <c r="F155" s="242"/>
      <c r="G155" s="243"/>
      <c r="H155" s="228">
        <v>0</v>
      </c>
      <c r="I155" s="229"/>
      <c r="J155" s="230"/>
      <c r="K155" s="228">
        <v>0</v>
      </c>
      <c r="L155" s="229"/>
      <c r="M155" s="230"/>
      <c r="N155" s="228">
        <v>0</v>
      </c>
      <c r="O155" s="229"/>
      <c r="P155" s="230"/>
      <c r="Q155" s="228">
        <v>0</v>
      </c>
      <c r="R155" s="229"/>
      <c r="S155" s="230"/>
      <c r="T155" s="228">
        <v>0</v>
      </c>
      <c r="U155" s="229"/>
      <c r="V155" s="230"/>
      <c r="W155" s="238">
        <f>E155+H155+K155+T155+N155+Q155</f>
        <v>0</v>
      </c>
      <c r="X155" s="239"/>
      <c r="Y155" s="240"/>
    </row>
    <row r="156" spans="2:25" x14ac:dyDescent="0.4">
      <c r="B156" s="232"/>
      <c r="C156" s="198"/>
      <c r="D156" s="98" t="s">
        <v>106</v>
      </c>
      <c r="E156" s="227">
        <f>E155-E153</f>
        <v>0</v>
      </c>
      <c r="F156" s="195"/>
      <c r="G156" s="196"/>
      <c r="H156" s="227">
        <f>H155-H153</f>
        <v>2365</v>
      </c>
      <c r="I156" s="195"/>
      <c r="J156" s="196"/>
      <c r="K156" s="227">
        <f>K155-K153</f>
        <v>-1064</v>
      </c>
      <c r="L156" s="195"/>
      <c r="M156" s="196"/>
      <c r="N156" s="227">
        <f>N155-N153</f>
        <v>-997</v>
      </c>
      <c r="O156" s="195"/>
      <c r="P156" s="196"/>
      <c r="Q156" s="227">
        <f>Q155-Q153</f>
        <v>-3398</v>
      </c>
      <c r="R156" s="195"/>
      <c r="S156" s="196"/>
      <c r="T156" s="227">
        <f>T155-T153</f>
        <v>-311</v>
      </c>
      <c r="U156" s="195"/>
      <c r="V156" s="196"/>
      <c r="W156" s="227">
        <f>W155-W153</f>
        <v>-3405</v>
      </c>
      <c r="X156" s="195"/>
      <c r="Y156" s="212"/>
    </row>
    <row r="157" spans="2:25" ht="19.5" thickBot="1" x14ac:dyDescent="0.45">
      <c r="B157" s="233"/>
      <c r="C157" s="199"/>
      <c r="D157" s="102" t="s">
        <v>107</v>
      </c>
      <c r="E157" s="216">
        <f>IF(E153&lt;&gt;0,IF(E155&lt;&gt;0,E155/E153,0),0)</f>
        <v>0</v>
      </c>
      <c r="F157" s="206"/>
      <c r="G157" s="215"/>
      <c r="H157" s="216">
        <f>IF(H153&lt;&gt;0,IF(H155&lt;&gt;0,H155/H153,0),0)</f>
        <v>0</v>
      </c>
      <c r="I157" s="206"/>
      <c r="J157" s="215"/>
      <c r="K157" s="216">
        <f>IF(K153&lt;&gt;0,IF(K155&lt;&gt;0,K155/K153,0),0)</f>
        <v>0</v>
      </c>
      <c r="L157" s="206"/>
      <c r="M157" s="215"/>
      <c r="N157" s="216">
        <f>IF(N153&lt;&gt;0,IF(N155&lt;&gt;0,N155/N153,0),0)</f>
        <v>0</v>
      </c>
      <c r="O157" s="206"/>
      <c r="P157" s="215"/>
      <c r="Q157" s="216">
        <f>IF(Q153&lt;&gt;0,IF(Q155&lt;&gt;0,Q155/Q153,0),0)</f>
        <v>0</v>
      </c>
      <c r="R157" s="206"/>
      <c r="S157" s="215"/>
      <c r="T157" s="216">
        <f>IF(T153&lt;&gt;0,IF(T155&lt;&gt;0,T155/T153,0),0)</f>
        <v>0</v>
      </c>
      <c r="U157" s="206"/>
      <c r="V157" s="215"/>
      <c r="W157" s="216">
        <f>IF(W153&lt;&gt;0,IF(W155&lt;&gt;0,W155/W153,0),0)</f>
        <v>0</v>
      </c>
      <c r="X157" s="206"/>
      <c r="Y157" s="207"/>
    </row>
    <row r="158" spans="2:25" x14ac:dyDescent="0.4">
      <c r="B158" s="185" t="s">
        <v>139</v>
      </c>
      <c r="C158" s="188" t="s">
        <v>102</v>
      </c>
      <c r="D158" s="94" t="s">
        <v>103</v>
      </c>
      <c r="E158" s="157">
        <f>SUM(E128,E138,E148)</f>
        <v>5</v>
      </c>
      <c r="F158" s="157">
        <f>SUM(F128,F138,F148)</f>
        <v>15</v>
      </c>
      <c r="G158" s="173">
        <f>SUM(G128,G138,G148)</f>
        <v>58483</v>
      </c>
      <c r="H158" s="157">
        <f t="shared" ref="H158:V158" si="157">SUM(H128,H138,H148)</f>
        <v>12</v>
      </c>
      <c r="I158" s="157">
        <f t="shared" si="157"/>
        <v>21</v>
      </c>
      <c r="J158" s="173">
        <f t="shared" si="157"/>
        <v>110648</v>
      </c>
      <c r="K158" s="173">
        <f t="shared" si="157"/>
        <v>20</v>
      </c>
      <c r="L158" s="157">
        <f t="shared" si="157"/>
        <v>33</v>
      </c>
      <c r="M158" s="173">
        <f t="shared" si="157"/>
        <v>141607</v>
      </c>
      <c r="N158" s="157">
        <f t="shared" si="157"/>
        <v>9</v>
      </c>
      <c r="O158" s="157">
        <f t="shared" si="157"/>
        <v>18</v>
      </c>
      <c r="P158" s="173">
        <f t="shared" si="157"/>
        <v>74425</v>
      </c>
      <c r="Q158" s="157">
        <f t="shared" si="157"/>
        <v>21</v>
      </c>
      <c r="R158" s="157">
        <f t="shared" si="157"/>
        <v>33</v>
      </c>
      <c r="S158" s="173">
        <f t="shared" si="157"/>
        <v>122494</v>
      </c>
      <c r="T158" s="157">
        <f t="shared" si="157"/>
        <v>27</v>
      </c>
      <c r="U158" s="157">
        <f t="shared" si="157"/>
        <v>13</v>
      </c>
      <c r="V158" s="173">
        <f t="shared" si="157"/>
        <v>106892</v>
      </c>
      <c r="W158" s="157">
        <f t="shared" ref="W158:W159" si="158">E158+H158+K158+N158+Q158+T158</f>
        <v>94</v>
      </c>
      <c r="X158" s="157">
        <f t="shared" ref="X158:X159" si="159">F158+I158+L158+O158+R158+U158</f>
        <v>133</v>
      </c>
      <c r="Y158" s="174">
        <f t="shared" ref="Y158:Y159" si="160">G158+J158+M158+P158+S158+V158</f>
        <v>614549</v>
      </c>
    </row>
    <row r="159" spans="2:25" x14ac:dyDescent="0.4">
      <c r="B159" s="232"/>
      <c r="C159" s="189"/>
      <c r="D159" s="97" t="s">
        <v>105</v>
      </c>
      <c r="E159" s="181">
        <f>SUM(E130,E140,E150)</f>
        <v>0</v>
      </c>
      <c r="F159" s="181">
        <f>SUM(F130,F140,F150)</f>
        <v>0</v>
      </c>
      <c r="G159" s="182">
        <f>SUM(G130,G140,G150)</f>
        <v>0</v>
      </c>
      <c r="H159" s="162">
        <f t="shared" ref="H159:V159" si="161">SUM(H130,H140,H150)</f>
        <v>0</v>
      </c>
      <c r="I159" s="162">
        <f t="shared" si="161"/>
        <v>0</v>
      </c>
      <c r="J159" s="182">
        <f t="shared" si="161"/>
        <v>0</v>
      </c>
      <c r="K159" s="181">
        <f t="shared" si="161"/>
        <v>0</v>
      </c>
      <c r="L159" s="162">
        <f t="shared" si="161"/>
        <v>0</v>
      </c>
      <c r="M159" s="182">
        <f t="shared" si="161"/>
        <v>0</v>
      </c>
      <c r="N159" s="162">
        <f t="shared" si="161"/>
        <v>0</v>
      </c>
      <c r="O159" s="162">
        <f t="shared" si="161"/>
        <v>0</v>
      </c>
      <c r="P159" s="182">
        <f t="shared" si="161"/>
        <v>0</v>
      </c>
      <c r="Q159" s="162">
        <f t="shared" si="161"/>
        <v>0</v>
      </c>
      <c r="R159" s="162">
        <f t="shared" si="161"/>
        <v>0</v>
      </c>
      <c r="S159" s="182">
        <f t="shared" si="161"/>
        <v>0</v>
      </c>
      <c r="T159" s="162">
        <f t="shared" si="161"/>
        <v>0</v>
      </c>
      <c r="U159" s="162">
        <f t="shared" si="161"/>
        <v>0</v>
      </c>
      <c r="V159" s="182">
        <f t="shared" si="161"/>
        <v>0</v>
      </c>
      <c r="W159" s="159">
        <f t="shared" si="158"/>
        <v>0</v>
      </c>
      <c r="X159" s="159">
        <f t="shared" si="159"/>
        <v>0</v>
      </c>
      <c r="Y159" s="180">
        <f t="shared" si="160"/>
        <v>0</v>
      </c>
    </row>
    <row r="160" spans="2:25" x14ac:dyDescent="0.4">
      <c r="B160" s="232"/>
      <c r="C160" s="189"/>
      <c r="D160" s="98" t="s">
        <v>106</v>
      </c>
      <c r="E160" s="160">
        <f>E159-E158</f>
        <v>-5</v>
      </c>
      <c r="F160" s="160">
        <f t="shared" ref="F160:H160" si="162">F159-F158</f>
        <v>-15</v>
      </c>
      <c r="G160" s="178">
        <f t="shared" si="162"/>
        <v>-58483</v>
      </c>
      <c r="H160" s="160">
        <f t="shared" si="162"/>
        <v>-12</v>
      </c>
      <c r="I160" s="160">
        <f t="shared" ref="I160:V160" si="163">I159-I158</f>
        <v>-21</v>
      </c>
      <c r="J160" s="178">
        <f t="shared" si="163"/>
        <v>-110648</v>
      </c>
      <c r="K160" s="178">
        <f t="shared" si="163"/>
        <v>-20</v>
      </c>
      <c r="L160" s="160">
        <f t="shared" si="163"/>
        <v>-33</v>
      </c>
      <c r="M160" s="178">
        <f t="shared" si="163"/>
        <v>-141607</v>
      </c>
      <c r="N160" s="160">
        <f t="shared" si="163"/>
        <v>-9</v>
      </c>
      <c r="O160" s="160">
        <f t="shared" si="163"/>
        <v>-18</v>
      </c>
      <c r="P160" s="178">
        <f t="shared" si="163"/>
        <v>-74425</v>
      </c>
      <c r="Q160" s="160">
        <f t="shared" si="163"/>
        <v>-21</v>
      </c>
      <c r="R160" s="160">
        <f t="shared" si="163"/>
        <v>-33</v>
      </c>
      <c r="S160" s="178">
        <f t="shared" si="163"/>
        <v>-122494</v>
      </c>
      <c r="T160" s="160">
        <f t="shared" si="163"/>
        <v>-27</v>
      </c>
      <c r="U160" s="160">
        <f t="shared" si="163"/>
        <v>-13</v>
      </c>
      <c r="V160" s="178">
        <f t="shared" si="163"/>
        <v>-106892</v>
      </c>
      <c r="W160" s="160">
        <f>W159-W158</f>
        <v>-94</v>
      </c>
      <c r="X160" s="160">
        <f t="shared" ref="X160:Y160" si="164">X159-X158</f>
        <v>-133</v>
      </c>
      <c r="Y160" s="179">
        <f t="shared" si="164"/>
        <v>-614549</v>
      </c>
    </row>
    <row r="161" spans="2:25" x14ac:dyDescent="0.4">
      <c r="B161" s="232"/>
      <c r="C161" s="190"/>
      <c r="D161" s="100" t="s">
        <v>107</v>
      </c>
      <c r="E161" s="223">
        <f>IF(G158&lt;&gt;0,IF(G159&lt;&gt;0,G159/G158,0),0)</f>
        <v>0</v>
      </c>
      <c r="F161" s="224"/>
      <c r="G161" s="225"/>
      <c r="H161" s="223">
        <f>IF(J158&lt;&gt;0,IF(J159&lt;&gt;0,J159/J158,0),0)</f>
        <v>0</v>
      </c>
      <c r="I161" s="224"/>
      <c r="J161" s="225"/>
      <c r="K161" s="223">
        <f>IF(M158&lt;&gt;0,IF(M159&lt;&gt;0,M159/M158,0),0)</f>
        <v>0</v>
      </c>
      <c r="L161" s="224"/>
      <c r="M161" s="225"/>
      <c r="N161" s="223">
        <f>IF(P158&lt;&gt;0,IF(P159&lt;&gt;0,P159/P158,0),0)</f>
        <v>0</v>
      </c>
      <c r="O161" s="224"/>
      <c r="P161" s="225"/>
      <c r="Q161" s="223">
        <f>IF(S158&lt;&gt;0,IF(S159&lt;&gt;0,S159/S158,0),0)</f>
        <v>0</v>
      </c>
      <c r="R161" s="224"/>
      <c r="S161" s="225"/>
      <c r="T161" s="223">
        <f>IF(V158&lt;&gt;0,IF(V159&lt;&gt;0,V159/V158,0),0)</f>
        <v>0</v>
      </c>
      <c r="U161" s="224"/>
      <c r="V161" s="225"/>
      <c r="W161" s="223">
        <f>IF(Y158&lt;&gt;0,IF(Y159&lt;&gt;0,Y159/Y158,0),0)</f>
        <v>0</v>
      </c>
      <c r="X161" s="224"/>
      <c r="Y161" s="226"/>
    </row>
    <row r="162" spans="2:25" x14ac:dyDescent="0.4">
      <c r="B162" s="232"/>
      <c r="C162" s="197" t="s">
        <v>108</v>
      </c>
      <c r="D162" s="126" t="s">
        <v>103</v>
      </c>
      <c r="E162" s="217">
        <f>SUM(E133,E143,E153)</f>
        <v>-20597</v>
      </c>
      <c r="F162" s="208"/>
      <c r="G162" s="213"/>
      <c r="H162" s="217">
        <f t="shared" ref="H162" si="165">SUM(H133,H143,H153)</f>
        <v>-11112</v>
      </c>
      <c r="I162" s="208"/>
      <c r="J162" s="213"/>
      <c r="K162" s="217">
        <f t="shared" ref="K162" si="166">SUM(K133,K143,K153)</f>
        <v>-834</v>
      </c>
      <c r="L162" s="208"/>
      <c r="M162" s="213"/>
      <c r="N162" s="217">
        <f t="shared" ref="N162" si="167">SUM(N133,N143,N153)</f>
        <v>924</v>
      </c>
      <c r="O162" s="208"/>
      <c r="P162" s="213"/>
      <c r="Q162" s="217">
        <f t="shared" ref="Q162" si="168">SUM(Q133,Q143,Q153)</f>
        <v>6802</v>
      </c>
      <c r="R162" s="208"/>
      <c r="S162" s="213"/>
      <c r="T162" s="217">
        <f t="shared" ref="T162" si="169">SUM(T133,T143,T153)</f>
        <v>-15734</v>
      </c>
      <c r="U162" s="208"/>
      <c r="V162" s="213"/>
      <c r="W162" s="217">
        <f>SUM(E162:V162)</f>
        <v>-40551</v>
      </c>
      <c r="X162" s="208"/>
      <c r="Y162" s="209"/>
    </row>
    <row r="163" spans="2:25" x14ac:dyDescent="0.4">
      <c r="B163" s="232"/>
      <c r="C163" s="198"/>
      <c r="D163" s="127" t="s">
        <v>105</v>
      </c>
      <c r="E163" s="228">
        <f>SUM(E135,E145,E155)</f>
        <v>0</v>
      </c>
      <c r="F163" s="229"/>
      <c r="G163" s="230"/>
      <c r="H163" s="228">
        <f t="shared" ref="H163" si="170">SUM(H135,H145,H155)</f>
        <v>0</v>
      </c>
      <c r="I163" s="229"/>
      <c r="J163" s="230"/>
      <c r="K163" s="228">
        <f t="shared" ref="K163" si="171">SUM(K135,K145,K155)</f>
        <v>0</v>
      </c>
      <c r="L163" s="229"/>
      <c r="M163" s="230"/>
      <c r="N163" s="228">
        <f t="shared" ref="N163" si="172">SUM(N135,N145,N155)</f>
        <v>0</v>
      </c>
      <c r="O163" s="229"/>
      <c r="P163" s="230"/>
      <c r="Q163" s="228">
        <f t="shared" ref="Q163" si="173">SUM(Q135,Q145,Q155)</f>
        <v>0</v>
      </c>
      <c r="R163" s="229"/>
      <c r="S163" s="230"/>
      <c r="T163" s="228">
        <f t="shared" ref="T163" si="174">SUM(T135,T145,T155)</f>
        <v>0</v>
      </c>
      <c r="U163" s="229"/>
      <c r="V163" s="230"/>
      <c r="W163" s="228">
        <f>SUM(E163:V163)</f>
        <v>0</v>
      </c>
      <c r="X163" s="229"/>
      <c r="Y163" s="231"/>
    </row>
    <row r="164" spans="2:25" x14ac:dyDescent="0.4">
      <c r="B164" s="232"/>
      <c r="C164" s="198"/>
      <c r="D164" s="128" t="s">
        <v>106</v>
      </c>
      <c r="E164" s="227">
        <f>E163-E162</f>
        <v>20597</v>
      </c>
      <c r="F164" s="195"/>
      <c r="G164" s="196"/>
      <c r="H164" s="227">
        <f>H163-H162</f>
        <v>11112</v>
      </c>
      <c r="I164" s="195"/>
      <c r="J164" s="196"/>
      <c r="K164" s="227">
        <f>K163-K162</f>
        <v>834</v>
      </c>
      <c r="L164" s="195"/>
      <c r="M164" s="196"/>
      <c r="N164" s="227">
        <f>N163-N162</f>
        <v>-924</v>
      </c>
      <c r="O164" s="195"/>
      <c r="P164" s="196"/>
      <c r="Q164" s="227">
        <f>Q163-Q162</f>
        <v>-6802</v>
      </c>
      <c r="R164" s="195"/>
      <c r="S164" s="196"/>
      <c r="T164" s="227">
        <f>T163-T162</f>
        <v>15734</v>
      </c>
      <c r="U164" s="195"/>
      <c r="V164" s="196"/>
      <c r="W164" s="227">
        <f>W163-W162</f>
        <v>40551</v>
      </c>
      <c r="X164" s="195"/>
      <c r="Y164" s="212"/>
    </row>
    <row r="165" spans="2:25" ht="19.5" thickBot="1" x14ac:dyDescent="0.45">
      <c r="B165" s="233"/>
      <c r="C165" s="199"/>
      <c r="D165" s="102" t="s">
        <v>107</v>
      </c>
      <c r="E165" s="216">
        <f>IF(E162&lt;&gt;0,IF(E163&lt;&gt;0,E163/E162,0),0)</f>
        <v>0</v>
      </c>
      <c r="F165" s="206"/>
      <c r="G165" s="215"/>
      <c r="H165" s="216">
        <f>IF(H162&lt;&gt;0,IF(H163&lt;&gt;0,H163/H162,0),0)</f>
        <v>0</v>
      </c>
      <c r="I165" s="206"/>
      <c r="J165" s="215"/>
      <c r="K165" s="216">
        <f>IF(K162&lt;&gt;0,IF(K163&lt;&gt;0,K163/K162,0),0)</f>
        <v>0</v>
      </c>
      <c r="L165" s="206"/>
      <c r="M165" s="215"/>
      <c r="N165" s="216">
        <f>IF(N162&lt;&gt;0,IF(N163&lt;&gt;0,N163/N162,0),0)</f>
        <v>0</v>
      </c>
      <c r="O165" s="206"/>
      <c r="P165" s="215"/>
      <c r="Q165" s="216">
        <f>IF(Q162&lt;&gt;0,IF(Q163&lt;&gt;0,Q163/Q162,0),0)</f>
        <v>0</v>
      </c>
      <c r="R165" s="206"/>
      <c r="S165" s="215"/>
      <c r="T165" s="216">
        <f>IF(T162&lt;&gt;0,IF(T163&lt;&gt;0,T163/T162,0),0)</f>
        <v>0</v>
      </c>
      <c r="U165" s="206"/>
      <c r="V165" s="215"/>
      <c r="W165" s="216">
        <f>IF(W162&lt;&gt;0,IF(W163&lt;&gt;0,W163/W162,0),0)</f>
        <v>0</v>
      </c>
      <c r="X165" s="206"/>
      <c r="Y165" s="207"/>
    </row>
    <row r="166" spans="2:25" x14ac:dyDescent="0.4">
      <c r="B166" s="185" t="s">
        <v>140</v>
      </c>
      <c r="C166" s="188" t="s">
        <v>102</v>
      </c>
      <c r="D166" s="94" t="s">
        <v>103</v>
      </c>
      <c r="E166" s="157">
        <f>SUM(E120,E158)</f>
        <v>11</v>
      </c>
      <c r="F166" s="157">
        <f t="shared" ref="F166:H166" si="175">SUM(F120,F158)</f>
        <v>29</v>
      </c>
      <c r="G166" s="173">
        <f t="shared" si="175"/>
        <v>119227</v>
      </c>
      <c r="H166" s="157">
        <f t="shared" si="175"/>
        <v>24</v>
      </c>
      <c r="I166" s="157">
        <f t="shared" ref="I166:V166" si="176">SUM(I120,I158)</f>
        <v>39</v>
      </c>
      <c r="J166" s="173">
        <f t="shared" si="176"/>
        <v>216860</v>
      </c>
      <c r="K166" s="173">
        <f t="shared" si="176"/>
        <v>38</v>
      </c>
      <c r="L166" s="157">
        <f t="shared" si="176"/>
        <v>67</v>
      </c>
      <c r="M166" s="173">
        <f t="shared" si="176"/>
        <v>281172</v>
      </c>
      <c r="N166" s="157">
        <f t="shared" si="176"/>
        <v>19</v>
      </c>
      <c r="O166" s="157">
        <f t="shared" si="176"/>
        <v>36</v>
      </c>
      <c r="P166" s="173">
        <f t="shared" si="176"/>
        <v>151000</v>
      </c>
      <c r="Q166" s="157">
        <f t="shared" si="176"/>
        <v>39</v>
      </c>
      <c r="R166" s="157">
        <f t="shared" si="176"/>
        <v>63</v>
      </c>
      <c r="S166" s="173">
        <f t="shared" si="176"/>
        <v>235877</v>
      </c>
      <c r="T166" s="157">
        <f t="shared" si="176"/>
        <v>54</v>
      </c>
      <c r="U166" s="157">
        <f t="shared" si="176"/>
        <v>29</v>
      </c>
      <c r="V166" s="173">
        <f t="shared" si="176"/>
        <v>217233</v>
      </c>
      <c r="W166" s="157">
        <f t="shared" ref="W166:W167" si="177">E166+H166+K166+N166+Q166+T166</f>
        <v>185</v>
      </c>
      <c r="X166" s="157">
        <f t="shared" ref="X166:X167" si="178">F166+I166+L166+O166+R166+U166</f>
        <v>263</v>
      </c>
      <c r="Y166" s="174">
        <f t="shared" ref="Y166:Y167" si="179">G166+J166+M166+P166+S166+V166</f>
        <v>1221369</v>
      </c>
    </row>
    <row r="167" spans="2:25" x14ac:dyDescent="0.4">
      <c r="B167" s="232"/>
      <c r="C167" s="189"/>
      <c r="D167" s="97" t="s">
        <v>105</v>
      </c>
      <c r="E167" s="181">
        <f>SUM(E121,E159)</f>
        <v>5</v>
      </c>
      <c r="F167" s="181">
        <f t="shared" ref="F167:H167" si="180">SUM(F121,F159)</f>
        <v>19</v>
      </c>
      <c r="G167" s="182">
        <f t="shared" si="180"/>
        <v>71576</v>
      </c>
      <c r="H167" s="162">
        <f t="shared" si="180"/>
        <v>15</v>
      </c>
      <c r="I167" s="162">
        <f t="shared" ref="I167:V167" si="181">SUM(I121,I159)</f>
        <v>14</v>
      </c>
      <c r="J167" s="182">
        <f t="shared" si="181"/>
        <v>124884</v>
      </c>
      <c r="K167" s="181">
        <f t="shared" si="181"/>
        <v>6</v>
      </c>
      <c r="L167" s="162">
        <f t="shared" si="181"/>
        <v>44</v>
      </c>
      <c r="M167" s="182">
        <f t="shared" si="181"/>
        <v>137277</v>
      </c>
      <c r="N167" s="162">
        <f t="shared" si="181"/>
        <v>4</v>
      </c>
      <c r="O167" s="162">
        <f t="shared" si="181"/>
        <v>19</v>
      </c>
      <c r="P167" s="182">
        <f t="shared" si="181"/>
        <v>80699</v>
      </c>
      <c r="Q167" s="162">
        <f t="shared" si="181"/>
        <v>17</v>
      </c>
      <c r="R167" s="162">
        <f t="shared" si="181"/>
        <v>25</v>
      </c>
      <c r="S167" s="182">
        <f t="shared" si="181"/>
        <v>121596</v>
      </c>
      <c r="T167" s="162">
        <f t="shared" si="181"/>
        <v>7</v>
      </c>
      <c r="U167" s="162">
        <f t="shared" si="181"/>
        <v>38</v>
      </c>
      <c r="V167" s="182">
        <f t="shared" si="181"/>
        <v>112914</v>
      </c>
      <c r="W167" s="159">
        <f t="shared" si="177"/>
        <v>54</v>
      </c>
      <c r="X167" s="159">
        <f t="shared" si="178"/>
        <v>159</v>
      </c>
      <c r="Y167" s="180">
        <f t="shared" si="179"/>
        <v>648946</v>
      </c>
    </row>
    <row r="168" spans="2:25" x14ac:dyDescent="0.4">
      <c r="B168" s="232"/>
      <c r="C168" s="189"/>
      <c r="D168" s="98" t="s">
        <v>106</v>
      </c>
      <c r="E168" s="160">
        <f>E167-E166</f>
        <v>-6</v>
      </c>
      <c r="F168" s="160">
        <f t="shared" ref="F168:H168" si="182">F167-F166</f>
        <v>-10</v>
      </c>
      <c r="G168" s="178">
        <f t="shared" si="182"/>
        <v>-47651</v>
      </c>
      <c r="H168" s="160">
        <f t="shared" si="182"/>
        <v>-9</v>
      </c>
      <c r="I168" s="160">
        <f t="shared" ref="I168:V168" si="183">I167-I166</f>
        <v>-25</v>
      </c>
      <c r="J168" s="178">
        <f t="shared" si="183"/>
        <v>-91976</v>
      </c>
      <c r="K168" s="178">
        <f t="shared" si="183"/>
        <v>-32</v>
      </c>
      <c r="L168" s="160">
        <f t="shared" si="183"/>
        <v>-23</v>
      </c>
      <c r="M168" s="178">
        <f t="shared" si="183"/>
        <v>-143895</v>
      </c>
      <c r="N168" s="160">
        <f t="shared" si="183"/>
        <v>-15</v>
      </c>
      <c r="O168" s="160">
        <f t="shared" si="183"/>
        <v>-17</v>
      </c>
      <c r="P168" s="178">
        <f t="shared" si="183"/>
        <v>-70301</v>
      </c>
      <c r="Q168" s="160">
        <f t="shared" si="183"/>
        <v>-22</v>
      </c>
      <c r="R168" s="160">
        <f t="shared" si="183"/>
        <v>-38</v>
      </c>
      <c r="S168" s="178">
        <f t="shared" si="183"/>
        <v>-114281</v>
      </c>
      <c r="T168" s="160">
        <f t="shared" si="183"/>
        <v>-47</v>
      </c>
      <c r="U168" s="160">
        <f t="shared" si="183"/>
        <v>9</v>
      </c>
      <c r="V168" s="178">
        <f t="shared" si="183"/>
        <v>-104319</v>
      </c>
      <c r="W168" s="160">
        <f>W167-W166</f>
        <v>-131</v>
      </c>
      <c r="X168" s="160">
        <f t="shared" ref="X168:Y168" si="184">X167-X166</f>
        <v>-104</v>
      </c>
      <c r="Y168" s="179">
        <f t="shared" si="184"/>
        <v>-572423</v>
      </c>
    </row>
    <row r="169" spans="2:25" x14ac:dyDescent="0.4">
      <c r="B169" s="232"/>
      <c r="C169" s="190"/>
      <c r="D169" s="100" t="s">
        <v>107</v>
      </c>
      <c r="E169" s="223">
        <f>IF(G166&lt;&gt;0,IF(G167&lt;&gt;0,G167/G166,0),0)</f>
        <v>0.60033381700453758</v>
      </c>
      <c r="F169" s="224"/>
      <c r="G169" s="225"/>
      <c r="H169" s="223">
        <f>IF(J166&lt;&gt;0,IF(J167&lt;&gt;0,J167/J166,0),0)</f>
        <v>0.57587383565433925</v>
      </c>
      <c r="I169" s="224"/>
      <c r="J169" s="225"/>
      <c r="K169" s="223">
        <f>IF(M166&lt;&gt;0,IF(M167&lt;&gt;0,M167/M166,0),0)</f>
        <v>0.48823140284238831</v>
      </c>
      <c r="L169" s="224"/>
      <c r="M169" s="225"/>
      <c r="N169" s="223">
        <f>IF(P166&lt;&gt;0,IF(P167&lt;&gt;0,P167/P166,0),0)</f>
        <v>0.53443046357615898</v>
      </c>
      <c r="O169" s="224"/>
      <c r="P169" s="225"/>
      <c r="Q169" s="223">
        <f>IF(S166&lt;&gt;0,IF(S167&lt;&gt;0,S167/S166,0),0)</f>
        <v>0.51550596285352113</v>
      </c>
      <c r="R169" s="224"/>
      <c r="S169" s="225"/>
      <c r="T169" s="223">
        <f>IF(V166&lt;&gt;0,IF(V167&lt;&gt;0,V167/V166,0),0)</f>
        <v>0.5197829059120852</v>
      </c>
      <c r="U169" s="224"/>
      <c r="V169" s="225"/>
      <c r="W169" s="223">
        <f>IF(Y166&lt;&gt;0,IF(Y167&lt;&gt;0,Y167/Y166,0),0)</f>
        <v>0.53132673254356377</v>
      </c>
      <c r="X169" s="224"/>
      <c r="Y169" s="226"/>
    </row>
    <row r="170" spans="2:25" x14ac:dyDescent="0.4">
      <c r="B170" s="232"/>
      <c r="C170" s="197" t="s">
        <v>108</v>
      </c>
      <c r="D170" s="126" t="s">
        <v>103</v>
      </c>
      <c r="E170" s="217">
        <f>SUM(E124,E162)</f>
        <v>-48833</v>
      </c>
      <c r="F170" s="208"/>
      <c r="G170" s="213"/>
      <c r="H170" s="217">
        <f t="shared" ref="H170" si="185">SUM(H124,H162)</f>
        <v>-23980</v>
      </c>
      <c r="I170" s="208"/>
      <c r="J170" s="213"/>
      <c r="K170" s="217">
        <f t="shared" ref="K170" si="186">SUM(K124,K162)</f>
        <v>-1105</v>
      </c>
      <c r="L170" s="208"/>
      <c r="M170" s="213"/>
      <c r="N170" s="217">
        <f t="shared" ref="N170" si="187">SUM(N124,N162)</f>
        <v>-2643</v>
      </c>
      <c r="O170" s="208"/>
      <c r="P170" s="213"/>
      <c r="Q170" s="217">
        <f t="shared" ref="Q170" si="188">SUM(Q124,Q162)</f>
        <v>4899</v>
      </c>
      <c r="R170" s="208"/>
      <c r="S170" s="213"/>
      <c r="T170" s="217">
        <f t="shared" ref="T170" si="189">SUM(T124,T162)</f>
        <v>-22173</v>
      </c>
      <c r="U170" s="208"/>
      <c r="V170" s="213"/>
      <c r="W170" s="217">
        <f>SUM(E170:V170)</f>
        <v>-93835</v>
      </c>
      <c r="X170" s="208"/>
      <c r="Y170" s="209"/>
    </row>
    <row r="171" spans="2:25" x14ac:dyDescent="0.4">
      <c r="B171" s="232"/>
      <c r="C171" s="198"/>
      <c r="D171" s="127" t="s">
        <v>105</v>
      </c>
      <c r="E171" s="228">
        <f>SUM(E125,E163)</f>
        <v>-15782</v>
      </c>
      <c r="F171" s="229"/>
      <c r="G171" s="230"/>
      <c r="H171" s="228">
        <f t="shared" ref="H171" si="190">SUM(H125,H163)</f>
        <v>5957</v>
      </c>
      <c r="I171" s="229"/>
      <c r="J171" s="230"/>
      <c r="K171" s="228">
        <f t="shared" ref="K171" si="191">SUM(K125,K163)</f>
        <v>2714</v>
      </c>
      <c r="L171" s="229"/>
      <c r="M171" s="230"/>
      <c r="N171" s="228">
        <f t="shared" ref="N171" si="192">SUM(N125,N163)</f>
        <v>5900</v>
      </c>
      <c r="O171" s="229"/>
      <c r="P171" s="230"/>
      <c r="Q171" s="228">
        <f t="shared" ref="Q171" si="193">SUM(Q125,Q163)</f>
        <v>7102</v>
      </c>
      <c r="R171" s="229"/>
      <c r="S171" s="230"/>
      <c r="T171" s="228">
        <f t="shared" ref="T171" si="194">SUM(T125,T163)</f>
        <v>6036</v>
      </c>
      <c r="U171" s="229"/>
      <c r="V171" s="230"/>
      <c r="W171" s="228">
        <f>SUM(E171:V171)</f>
        <v>11927</v>
      </c>
      <c r="X171" s="229"/>
      <c r="Y171" s="231"/>
    </row>
    <row r="172" spans="2:25" x14ac:dyDescent="0.4">
      <c r="B172" s="232"/>
      <c r="C172" s="198"/>
      <c r="D172" s="128" t="s">
        <v>106</v>
      </c>
      <c r="E172" s="227">
        <f>E171-E170</f>
        <v>33051</v>
      </c>
      <c r="F172" s="195"/>
      <c r="G172" s="196"/>
      <c r="H172" s="227">
        <f>H171-H170</f>
        <v>29937</v>
      </c>
      <c r="I172" s="195"/>
      <c r="J172" s="196"/>
      <c r="K172" s="227">
        <f>K171-K170</f>
        <v>3819</v>
      </c>
      <c r="L172" s="195"/>
      <c r="M172" s="196"/>
      <c r="N172" s="227">
        <f>N171-N170</f>
        <v>8543</v>
      </c>
      <c r="O172" s="195"/>
      <c r="P172" s="196"/>
      <c r="Q172" s="227">
        <f>Q171-Q170</f>
        <v>2203</v>
      </c>
      <c r="R172" s="195"/>
      <c r="S172" s="196"/>
      <c r="T172" s="227">
        <f>T171-T170</f>
        <v>28209</v>
      </c>
      <c r="U172" s="195"/>
      <c r="V172" s="196"/>
      <c r="W172" s="227">
        <f>W171-W170</f>
        <v>105762</v>
      </c>
      <c r="X172" s="195"/>
      <c r="Y172" s="212"/>
    </row>
    <row r="173" spans="2:25" ht="19.5" thickBot="1" x14ac:dyDescent="0.45">
      <c r="B173" s="233"/>
      <c r="C173" s="199"/>
      <c r="D173" s="102" t="s">
        <v>107</v>
      </c>
      <c r="E173" s="216">
        <f>IF(E170&lt;&gt;0,IF(E171&lt;&gt;0,E171/E170,0),0)</f>
        <v>0.32318309339995493</v>
      </c>
      <c r="F173" s="206"/>
      <c r="G173" s="215"/>
      <c r="H173" s="216">
        <f>IF(H170&lt;&gt;0,IF(H171&lt;&gt;0,H171/H170,0),0)</f>
        <v>-0.24841534612176813</v>
      </c>
      <c r="I173" s="206"/>
      <c r="J173" s="215"/>
      <c r="K173" s="216">
        <f>IF(K170&lt;&gt;0,IF(K171&lt;&gt;0,K171/K170,0),0)</f>
        <v>-2.456108597285068</v>
      </c>
      <c r="L173" s="206"/>
      <c r="M173" s="215"/>
      <c r="N173" s="216">
        <f>IF(N170&lt;&gt;0,IF(N171&lt;&gt;0,N171/N170,0),0)</f>
        <v>-2.2323117669315171</v>
      </c>
      <c r="O173" s="206"/>
      <c r="P173" s="215"/>
      <c r="Q173" s="216">
        <f>IF(Q170&lt;&gt;0,IF(Q171&lt;&gt;0,Q171/Q170,0),0)</f>
        <v>1.4496836088997755</v>
      </c>
      <c r="R173" s="206"/>
      <c r="S173" s="215"/>
      <c r="T173" s="216">
        <f>IF(T170&lt;&gt;0,IF(T171&lt;&gt;0,T171/T170,0),0)</f>
        <v>-0.27222297388716005</v>
      </c>
      <c r="U173" s="206"/>
      <c r="V173" s="215"/>
      <c r="W173" s="216">
        <f>IF(W170&lt;&gt;0,IF(W171&lt;&gt;0,W171/W170,0),0)</f>
        <v>-0.12710609047796664</v>
      </c>
      <c r="X173" s="206"/>
      <c r="Y173" s="207"/>
    </row>
    <row r="174" spans="2:25" x14ac:dyDescent="0.4">
      <c r="B174" s="185" t="s">
        <v>134</v>
      </c>
      <c r="C174" s="188" t="s">
        <v>102</v>
      </c>
      <c r="D174" s="94" t="s">
        <v>103</v>
      </c>
      <c r="E174" s="157">
        <f>SUM(E82,E166)</f>
        <v>20</v>
      </c>
      <c r="F174" s="157">
        <f>SUM(F82,F166)</f>
        <v>70</v>
      </c>
      <c r="G174" s="173">
        <f>SUM(G82,G166)</f>
        <v>255184</v>
      </c>
      <c r="H174" s="157">
        <f t="shared" ref="H174:V174" si="195">SUM(H82,H166)</f>
        <v>48</v>
      </c>
      <c r="I174" s="157">
        <f t="shared" si="195"/>
        <v>89</v>
      </c>
      <c r="J174" s="173">
        <f t="shared" si="195"/>
        <v>437352</v>
      </c>
      <c r="K174" s="173">
        <f t="shared" si="195"/>
        <v>70</v>
      </c>
      <c r="L174" s="157">
        <f t="shared" si="195"/>
        <v>137</v>
      </c>
      <c r="M174" s="173">
        <f t="shared" si="195"/>
        <v>556100</v>
      </c>
      <c r="N174" s="157">
        <f t="shared" si="195"/>
        <v>36</v>
      </c>
      <c r="O174" s="157">
        <f t="shared" si="195"/>
        <v>73</v>
      </c>
      <c r="P174" s="173">
        <f t="shared" si="195"/>
        <v>296320</v>
      </c>
      <c r="Q174" s="157">
        <f t="shared" si="195"/>
        <v>75</v>
      </c>
      <c r="R174" s="157">
        <f t="shared" si="195"/>
        <v>119</v>
      </c>
      <c r="S174" s="173">
        <f t="shared" si="195"/>
        <v>450850</v>
      </c>
      <c r="T174" s="157">
        <f t="shared" si="195"/>
        <v>96</v>
      </c>
      <c r="U174" s="157">
        <f t="shared" si="195"/>
        <v>57</v>
      </c>
      <c r="V174" s="173">
        <f t="shared" si="195"/>
        <v>410856</v>
      </c>
      <c r="W174" s="157">
        <f t="shared" ref="W174:Y175" si="196">E174+H174+K174+N174+Q174+T174</f>
        <v>345</v>
      </c>
      <c r="X174" s="157">
        <f t="shared" si="196"/>
        <v>545</v>
      </c>
      <c r="Y174" s="174">
        <f t="shared" si="196"/>
        <v>2406662</v>
      </c>
    </row>
    <row r="175" spans="2:25" x14ac:dyDescent="0.4">
      <c r="B175" s="232"/>
      <c r="C175" s="189"/>
      <c r="D175" s="97" t="s">
        <v>105</v>
      </c>
      <c r="E175" s="155">
        <f>SUM(E83,E167)</f>
        <v>13</v>
      </c>
      <c r="F175" s="155">
        <f t="shared" ref="F175:H175" si="197">SUM(F83,F167)</f>
        <v>64</v>
      </c>
      <c r="G175" s="156">
        <f t="shared" si="197"/>
        <v>222808</v>
      </c>
      <c r="H175" s="162">
        <f t="shared" si="197"/>
        <v>32</v>
      </c>
      <c r="I175" s="162">
        <f t="shared" ref="I175:V175" si="198">SUM(I83,I167)</f>
        <v>82</v>
      </c>
      <c r="J175" s="156">
        <f t="shared" si="198"/>
        <v>378167</v>
      </c>
      <c r="K175" s="155">
        <f t="shared" si="198"/>
        <v>23</v>
      </c>
      <c r="L175" s="162">
        <f t="shared" si="198"/>
        <v>127</v>
      </c>
      <c r="M175" s="156">
        <f t="shared" si="198"/>
        <v>434524</v>
      </c>
      <c r="N175" s="162">
        <f t="shared" si="198"/>
        <v>10</v>
      </c>
      <c r="O175" s="162">
        <f t="shared" si="198"/>
        <v>57</v>
      </c>
      <c r="P175" s="156">
        <f t="shared" si="198"/>
        <v>229499</v>
      </c>
      <c r="Q175" s="162">
        <f t="shared" si="198"/>
        <v>47</v>
      </c>
      <c r="R175" s="162">
        <f t="shared" si="198"/>
        <v>66</v>
      </c>
      <c r="S175" s="156">
        <f t="shared" si="198"/>
        <v>351096</v>
      </c>
      <c r="T175" s="162">
        <f t="shared" si="198"/>
        <v>25</v>
      </c>
      <c r="U175" s="162">
        <f t="shared" si="198"/>
        <v>81</v>
      </c>
      <c r="V175" s="156">
        <f t="shared" si="198"/>
        <v>306611</v>
      </c>
      <c r="W175" s="159">
        <f t="shared" si="196"/>
        <v>150</v>
      </c>
      <c r="X175" s="159">
        <f t="shared" si="196"/>
        <v>477</v>
      </c>
      <c r="Y175" s="153">
        <f t="shared" si="196"/>
        <v>1922705</v>
      </c>
    </row>
    <row r="176" spans="2:25" x14ac:dyDescent="0.4">
      <c r="B176" s="232"/>
      <c r="C176" s="189"/>
      <c r="D176" s="98" t="s">
        <v>106</v>
      </c>
      <c r="E176" s="160">
        <f>E175-E174</f>
        <v>-7</v>
      </c>
      <c r="F176" s="160">
        <f t="shared" ref="F176:Y176" si="199">F175-F174</f>
        <v>-6</v>
      </c>
      <c r="G176" s="151">
        <f t="shared" si="199"/>
        <v>-32376</v>
      </c>
      <c r="H176" s="160">
        <f t="shared" si="199"/>
        <v>-16</v>
      </c>
      <c r="I176" s="160">
        <f t="shared" ref="I176:V176" si="200">I175-I174</f>
        <v>-7</v>
      </c>
      <c r="J176" s="151">
        <f t="shared" si="200"/>
        <v>-59185</v>
      </c>
      <c r="K176" s="151">
        <f t="shared" si="200"/>
        <v>-47</v>
      </c>
      <c r="L176" s="160">
        <f t="shared" si="200"/>
        <v>-10</v>
      </c>
      <c r="M176" s="151">
        <f t="shared" si="200"/>
        <v>-121576</v>
      </c>
      <c r="N176" s="160">
        <f t="shared" si="200"/>
        <v>-26</v>
      </c>
      <c r="O176" s="160">
        <f t="shared" si="200"/>
        <v>-16</v>
      </c>
      <c r="P176" s="151">
        <f t="shared" si="200"/>
        <v>-66821</v>
      </c>
      <c r="Q176" s="160">
        <f t="shared" si="200"/>
        <v>-28</v>
      </c>
      <c r="R176" s="160">
        <f t="shared" si="200"/>
        <v>-53</v>
      </c>
      <c r="S176" s="151">
        <f t="shared" si="200"/>
        <v>-99754</v>
      </c>
      <c r="T176" s="160">
        <f t="shared" si="200"/>
        <v>-71</v>
      </c>
      <c r="U176" s="160">
        <f t="shared" si="200"/>
        <v>24</v>
      </c>
      <c r="V176" s="151">
        <f t="shared" si="200"/>
        <v>-104245</v>
      </c>
      <c r="W176" s="160">
        <f>W175-W174</f>
        <v>-195</v>
      </c>
      <c r="X176" s="160">
        <f t="shared" si="199"/>
        <v>-68</v>
      </c>
      <c r="Y176" s="152">
        <f t="shared" si="199"/>
        <v>-483957</v>
      </c>
    </row>
    <row r="177" spans="2:25" x14ac:dyDescent="0.4">
      <c r="B177" s="232"/>
      <c r="C177" s="190"/>
      <c r="D177" s="100" t="s">
        <v>107</v>
      </c>
      <c r="E177" s="223">
        <f>IF(G174&lt;&gt;0,IF(G175&lt;&gt;0,G175/G174,0),0)</f>
        <v>0.87312684180826383</v>
      </c>
      <c r="F177" s="224"/>
      <c r="G177" s="225"/>
      <c r="H177" s="223">
        <f>IF(J174&lt;&gt;0,IF(J175&lt;&gt;0,J175/J174,0),0)</f>
        <v>0.86467422122226489</v>
      </c>
      <c r="I177" s="224"/>
      <c r="J177" s="225"/>
      <c r="K177" s="223">
        <f>IF(M174&lt;&gt;0,IF(M175&lt;&gt;0,M175/M174,0),0)</f>
        <v>0.78137745009890303</v>
      </c>
      <c r="L177" s="224"/>
      <c r="M177" s="225"/>
      <c r="N177" s="223">
        <f>IF(P174&lt;&gt;0,IF(P175&lt;&gt;0,P175/P174,0),0)</f>
        <v>0.7744971652267818</v>
      </c>
      <c r="O177" s="224"/>
      <c r="P177" s="225"/>
      <c r="Q177" s="223">
        <f>IF(S174&lt;&gt;0,IF(S175&lt;&gt;0,S175/S174,0),0)</f>
        <v>0.77874237551292003</v>
      </c>
      <c r="R177" s="224"/>
      <c r="S177" s="225"/>
      <c r="T177" s="223">
        <f>IF(V174&lt;&gt;0,IF(V175&lt;&gt;0,V175/V174,0),0)</f>
        <v>0.74627363358451626</v>
      </c>
      <c r="U177" s="224"/>
      <c r="V177" s="225"/>
      <c r="W177" s="223">
        <f>IF(Y174&lt;&gt;0,IF(Y175&lt;&gt;0,Y175/Y174,0),0)</f>
        <v>0.79890944386872775</v>
      </c>
      <c r="X177" s="224"/>
      <c r="Y177" s="226"/>
    </row>
    <row r="178" spans="2:25" x14ac:dyDescent="0.4">
      <c r="B178" s="232"/>
      <c r="C178" s="197" t="s">
        <v>108</v>
      </c>
      <c r="D178" s="126" t="s">
        <v>103</v>
      </c>
      <c r="E178" s="217">
        <f>SUM(E86,E170)</f>
        <v>-88253</v>
      </c>
      <c r="F178" s="208"/>
      <c r="G178" s="213"/>
      <c r="H178" s="217">
        <f t="shared" ref="H178" si="201">SUM(H86,H170)</f>
        <v>-31557</v>
      </c>
      <c r="I178" s="208"/>
      <c r="J178" s="213"/>
      <c r="K178" s="217">
        <f t="shared" ref="K178" si="202">SUM(K86,K170)</f>
        <v>12216</v>
      </c>
      <c r="L178" s="208"/>
      <c r="M178" s="213"/>
      <c r="N178" s="217">
        <f t="shared" ref="N178" si="203">SUM(N86,N170)</f>
        <v>-2670</v>
      </c>
      <c r="O178" s="208"/>
      <c r="P178" s="213"/>
      <c r="Q178" s="217">
        <f t="shared" ref="Q178" si="204">SUM(Q86,Q170)</f>
        <v>-7047</v>
      </c>
      <c r="R178" s="208"/>
      <c r="S178" s="213"/>
      <c r="T178" s="217">
        <f t="shared" ref="T178" si="205">SUM(T86,T170)</f>
        <v>-48331</v>
      </c>
      <c r="U178" s="208"/>
      <c r="V178" s="213"/>
      <c r="W178" s="217">
        <f>SUM(E178:V178)</f>
        <v>-165642</v>
      </c>
      <c r="X178" s="208"/>
      <c r="Y178" s="209"/>
    </row>
    <row r="179" spans="2:25" x14ac:dyDescent="0.4">
      <c r="B179" s="232"/>
      <c r="C179" s="198"/>
      <c r="D179" s="127" t="s">
        <v>105</v>
      </c>
      <c r="E179" s="228">
        <f>SUM(E87,E171)</f>
        <v>-35396</v>
      </c>
      <c r="F179" s="229"/>
      <c r="G179" s="230"/>
      <c r="H179" s="228">
        <f t="shared" ref="H179" si="206">SUM(H87,H171)</f>
        <v>25413</v>
      </c>
      <c r="I179" s="229"/>
      <c r="J179" s="230"/>
      <c r="K179" s="228">
        <f t="shared" ref="K179" si="207">SUM(K87,K171)</f>
        <v>22316</v>
      </c>
      <c r="L179" s="229"/>
      <c r="M179" s="230"/>
      <c r="N179" s="228">
        <f t="shared" ref="N179" si="208">SUM(N87,N171)</f>
        <v>18919</v>
      </c>
      <c r="O179" s="229"/>
      <c r="P179" s="230"/>
      <c r="Q179" s="228">
        <f t="shared" ref="Q179" si="209">SUM(Q87,Q171)</f>
        <v>12087</v>
      </c>
      <c r="R179" s="229"/>
      <c r="S179" s="230"/>
      <c r="T179" s="228">
        <f t="shared" ref="T179" si="210">SUM(T87,T171)</f>
        <v>-5933</v>
      </c>
      <c r="U179" s="229"/>
      <c r="V179" s="230"/>
      <c r="W179" s="228">
        <f>SUM(E179:V179)</f>
        <v>37406</v>
      </c>
      <c r="X179" s="229"/>
      <c r="Y179" s="231"/>
    </row>
    <row r="180" spans="2:25" x14ac:dyDescent="0.4">
      <c r="B180" s="232"/>
      <c r="C180" s="198"/>
      <c r="D180" s="128" t="s">
        <v>106</v>
      </c>
      <c r="E180" s="227">
        <f>E179-E178</f>
        <v>52857</v>
      </c>
      <c r="F180" s="195"/>
      <c r="G180" s="196"/>
      <c r="H180" s="227">
        <f>H179-H178</f>
        <v>56970</v>
      </c>
      <c r="I180" s="195"/>
      <c r="J180" s="196"/>
      <c r="K180" s="227">
        <f>K179-K178</f>
        <v>10100</v>
      </c>
      <c r="L180" s="195"/>
      <c r="M180" s="196"/>
      <c r="N180" s="227">
        <f>N179-N178</f>
        <v>21589</v>
      </c>
      <c r="O180" s="195"/>
      <c r="P180" s="196"/>
      <c r="Q180" s="227">
        <f>Q179-Q178</f>
        <v>19134</v>
      </c>
      <c r="R180" s="195"/>
      <c r="S180" s="196"/>
      <c r="T180" s="227">
        <f>T179-T178</f>
        <v>42398</v>
      </c>
      <c r="U180" s="195"/>
      <c r="V180" s="196"/>
      <c r="W180" s="227">
        <f>W179-W178</f>
        <v>203048</v>
      </c>
      <c r="X180" s="195"/>
      <c r="Y180" s="212"/>
    </row>
    <row r="181" spans="2:25" ht="19.5" thickBot="1" x14ac:dyDescent="0.45">
      <c r="B181" s="233"/>
      <c r="C181" s="199"/>
      <c r="D181" s="102" t="s">
        <v>107</v>
      </c>
      <c r="E181" s="216">
        <f>IF(E178&lt;&gt;0,IF(E179&lt;&gt;0,E179/E178,0),0)</f>
        <v>0.40107418444698761</v>
      </c>
      <c r="F181" s="206"/>
      <c r="G181" s="215"/>
      <c r="H181" s="216">
        <f>IF(H178&lt;&gt;0,IF(H179&lt;&gt;0,H179/H178,0),0)</f>
        <v>-0.80530468675729627</v>
      </c>
      <c r="I181" s="206"/>
      <c r="J181" s="215"/>
      <c r="K181" s="216">
        <f>IF(K178&lt;&gt;0,IF(K179&lt;&gt;0,K179/K178,0),0)</f>
        <v>1.8267845448592011</v>
      </c>
      <c r="L181" s="206"/>
      <c r="M181" s="215"/>
      <c r="N181" s="216">
        <f>IF(N178&lt;&gt;0,IF(N179&lt;&gt;0,N179/N178,0),0)</f>
        <v>-7.0857677902621719</v>
      </c>
      <c r="O181" s="206"/>
      <c r="P181" s="215"/>
      <c r="Q181" s="216">
        <f>IF(Q178&lt;&gt;0,IF(Q179&lt;&gt;0,Q179/Q178,0),0)</f>
        <v>-1.7151979565772668</v>
      </c>
      <c r="R181" s="206"/>
      <c r="S181" s="215"/>
      <c r="T181" s="216">
        <f>IF(T178&lt;&gt;0,IF(T179&lt;&gt;0,T179/T178,0),0)</f>
        <v>0.12275765036932818</v>
      </c>
      <c r="U181" s="206"/>
      <c r="V181" s="215"/>
      <c r="W181" s="216">
        <f>IF(W178&lt;&gt;0,IF(W179&lt;&gt;0,W179/W178,0),0)</f>
        <v>-0.22582436821579069</v>
      </c>
      <c r="X181" s="206"/>
      <c r="Y181" s="207"/>
    </row>
  </sheetData>
  <dataConsolidate/>
  <mergeCells count="814">
    <mergeCell ref="E119:G119"/>
    <mergeCell ref="H114:J114"/>
    <mergeCell ref="N109:P109"/>
    <mergeCell ref="W104:Y104"/>
    <mergeCell ref="W105:Y105"/>
    <mergeCell ref="W106:Y106"/>
    <mergeCell ref="W107:Y107"/>
    <mergeCell ref="W108:Y108"/>
    <mergeCell ref="W109:Y109"/>
    <mergeCell ref="E114:G114"/>
    <mergeCell ref="E115:G115"/>
    <mergeCell ref="E109:G109"/>
    <mergeCell ref="H104:J104"/>
    <mergeCell ref="H105:J105"/>
    <mergeCell ref="H106:J106"/>
    <mergeCell ref="H107:J107"/>
    <mergeCell ref="H108:J108"/>
    <mergeCell ref="H109:J109"/>
    <mergeCell ref="K104:M104"/>
    <mergeCell ref="K105:M105"/>
    <mergeCell ref="K106:M106"/>
    <mergeCell ref="K107:M107"/>
    <mergeCell ref="K108:M108"/>
    <mergeCell ref="K109:M109"/>
    <mergeCell ref="N99:P99"/>
    <mergeCell ref="W94:Y94"/>
    <mergeCell ref="W95:Y95"/>
    <mergeCell ref="W96:Y96"/>
    <mergeCell ref="W97:Y97"/>
    <mergeCell ref="W98:Y98"/>
    <mergeCell ref="W99:Y99"/>
    <mergeCell ref="E104:G104"/>
    <mergeCell ref="E105:G105"/>
    <mergeCell ref="N104:P104"/>
    <mergeCell ref="N105:P105"/>
    <mergeCell ref="E99:G99"/>
    <mergeCell ref="H94:J94"/>
    <mergeCell ref="H95:J95"/>
    <mergeCell ref="H96:J96"/>
    <mergeCell ref="H97:J97"/>
    <mergeCell ref="H98:J98"/>
    <mergeCell ref="H99:J99"/>
    <mergeCell ref="K94:M94"/>
    <mergeCell ref="K95:M95"/>
    <mergeCell ref="K96:M96"/>
    <mergeCell ref="K97:M97"/>
    <mergeCell ref="K98:M98"/>
    <mergeCell ref="K99:M99"/>
    <mergeCell ref="W68:Y68"/>
    <mergeCell ref="W69:Y69"/>
    <mergeCell ref="W70:Y70"/>
    <mergeCell ref="W71:Y71"/>
    <mergeCell ref="W72:Y72"/>
    <mergeCell ref="W73:Y73"/>
    <mergeCell ref="E94:G94"/>
    <mergeCell ref="E95:G95"/>
    <mergeCell ref="N94:P94"/>
    <mergeCell ref="N95:P95"/>
    <mergeCell ref="E73:G73"/>
    <mergeCell ref="H68:J68"/>
    <mergeCell ref="H69:J69"/>
    <mergeCell ref="H70:J70"/>
    <mergeCell ref="H71:J71"/>
    <mergeCell ref="H72:J72"/>
    <mergeCell ref="H73:J73"/>
    <mergeCell ref="K68:M68"/>
    <mergeCell ref="K69:M69"/>
    <mergeCell ref="K70:M70"/>
    <mergeCell ref="K71:M71"/>
    <mergeCell ref="K72:M72"/>
    <mergeCell ref="K73:M73"/>
    <mergeCell ref="Q95:S95"/>
    <mergeCell ref="N63:P63"/>
    <mergeCell ref="W58:Y58"/>
    <mergeCell ref="W59:Y59"/>
    <mergeCell ref="W60:Y60"/>
    <mergeCell ref="W61:Y61"/>
    <mergeCell ref="W62:Y62"/>
    <mergeCell ref="W63:Y63"/>
    <mergeCell ref="E68:G68"/>
    <mergeCell ref="E69:G69"/>
    <mergeCell ref="N68:P68"/>
    <mergeCell ref="N69:P69"/>
    <mergeCell ref="E63:G63"/>
    <mergeCell ref="H58:J58"/>
    <mergeCell ref="H59:J59"/>
    <mergeCell ref="H60:J60"/>
    <mergeCell ref="H61:J61"/>
    <mergeCell ref="H62:J62"/>
    <mergeCell ref="H63:J63"/>
    <mergeCell ref="K58:M58"/>
    <mergeCell ref="K59:M59"/>
    <mergeCell ref="K60:M60"/>
    <mergeCell ref="K61:M61"/>
    <mergeCell ref="K62:M62"/>
    <mergeCell ref="K63:M63"/>
    <mergeCell ref="W52:Y52"/>
    <mergeCell ref="W53:Y53"/>
    <mergeCell ref="E58:G58"/>
    <mergeCell ref="E59:G59"/>
    <mergeCell ref="N58:P58"/>
    <mergeCell ref="N59:P59"/>
    <mergeCell ref="E53:G53"/>
    <mergeCell ref="H48:J48"/>
    <mergeCell ref="H49:J49"/>
    <mergeCell ref="H50:J50"/>
    <mergeCell ref="H51:J51"/>
    <mergeCell ref="H52:J52"/>
    <mergeCell ref="H53:J53"/>
    <mergeCell ref="K48:M48"/>
    <mergeCell ref="K49:M49"/>
    <mergeCell ref="K50:M50"/>
    <mergeCell ref="K51:M51"/>
    <mergeCell ref="K52:M52"/>
    <mergeCell ref="K53:M53"/>
    <mergeCell ref="Q59:S59"/>
    <mergeCell ref="T59:V59"/>
    <mergeCell ref="Q53:S53"/>
    <mergeCell ref="Q58:S58"/>
    <mergeCell ref="T58:V58"/>
    <mergeCell ref="W31:Y31"/>
    <mergeCell ref="W32:Y32"/>
    <mergeCell ref="W33:Y33"/>
    <mergeCell ref="W34:Y34"/>
    <mergeCell ref="W35:Y35"/>
    <mergeCell ref="E48:G48"/>
    <mergeCell ref="E49:G49"/>
    <mergeCell ref="E50:G50"/>
    <mergeCell ref="E51:G51"/>
    <mergeCell ref="T48:V48"/>
    <mergeCell ref="T49:V49"/>
    <mergeCell ref="T50:V50"/>
    <mergeCell ref="T51:V51"/>
    <mergeCell ref="W48:Y48"/>
    <mergeCell ref="W49:Y49"/>
    <mergeCell ref="W50:Y50"/>
    <mergeCell ref="W51:Y51"/>
    <mergeCell ref="N32:P32"/>
    <mergeCell ref="N33:P33"/>
    <mergeCell ref="N34:P34"/>
    <mergeCell ref="N35:P35"/>
    <mergeCell ref="T39:V39"/>
    <mergeCell ref="W39:Y39"/>
    <mergeCell ref="T40:V40"/>
    <mergeCell ref="W23:Y23"/>
    <mergeCell ref="W24:Y24"/>
    <mergeCell ref="W25:Y25"/>
    <mergeCell ref="E30:G30"/>
    <mergeCell ref="H30:J30"/>
    <mergeCell ref="E31:G31"/>
    <mergeCell ref="E32:G32"/>
    <mergeCell ref="E33:G33"/>
    <mergeCell ref="E34:G34"/>
    <mergeCell ref="H31:J31"/>
    <mergeCell ref="H32:J32"/>
    <mergeCell ref="H33:J33"/>
    <mergeCell ref="H34:J34"/>
    <mergeCell ref="K30:M30"/>
    <mergeCell ref="K31:M31"/>
    <mergeCell ref="K32:M32"/>
    <mergeCell ref="K33:M33"/>
    <mergeCell ref="K34:M34"/>
    <mergeCell ref="T30:V30"/>
    <mergeCell ref="T31:V31"/>
    <mergeCell ref="T32:V32"/>
    <mergeCell ref="T33:V33"/>
    <mergeCell ref="T34:V34"/>
    <mergeCell ref="W30:Y30"/>
    <mergeCell ref="T20:V20"/>
    <mergeCell ref="W20:Y20"/>
    <mergeCell ref="E21:G21"/>
    <mergeCell ref="E22:G22"/>
    <mergeCell ref="E23:G23"/>
    <mergeCell ref="E24:G24"/>
    <mergeCell ref="E25:G25"/>
    <mergeCell ref="H21:J21"/>
    <mergeCell ref="H22:J22"/>
    <mergeCell ref="H23:J23"/>
    <mergeCell ref="H24:J24"/>
    <mergeCell ref="H25:J25"/>
    <mergeCell ref="K21:M21"/>
    <mergeCell ref="K22:M22"/>
    <mergeCell ref="K23:M23"/>
    <mergeCell ref="K24:M24"/>
    <mergeCell ref="K25:M25"/>
    <mergeCell ref="T21:V21"/>
    <mergeCell ref="T22:V22"/>
    <mergeCell ref="T23:V23"/>
    <mergeCell ref="T24:V24"/>
    <mergeCell ref="T25:V25"/>
    <mergeCell ref="W21:Y21"/>
    <mergeCell ref="W22:Y22"/>
    <mergeCell ref="T4:V4"/>
    <mergeCell ref="W4:Y4"/>
    <mergeCell ref="E11:G11"/>
    <mergeCell ref="E12:G12"/>
    <mergeCell ref="E13:G13"/>
    <mergeCell ref="H10:J10"/>
    <mergeCell ref="K10:M10"/>
    <mergeCell ref="T10:V10"/>
    <mergeCell ref="W10:Y10"/>
    <mergeCell ref="H11:J11"/>
    <mergeCell ref="H12:J12"/>
    <mergeCell ref="H13:J13"/>
    <mergeCell ref="K11:M11"/>
    <mergeCell ref="K12:M12"/>
    <mergeCell ref="K13:M13"/>
    <mergeCell ref="T11:V11"/>
    <mergeCell ref="T12:V12"/>
    <mergeCell ref="T13:V13"/>
    <mergeCell ref="W11:Y11"/>
    <mergeCell ref="W12:Y12"/>
    <mergeCell ref="Q10:S10"/>
    <mergeCell ref="Q14:S14"/>
    <mergeCell ref="Q15:S15"/>
    <mergeCell ref="Q20:S20"/>
    <mergeCell ref="Q21:S21"/>
    <mergeCell ref="Q22:S22"/>
    <mergeCell ref="Q23:S23"/>
    <mergeCell ref="E4:G4"/>
    <mergeCell ref="H4:J4"/>
    <mergeCell ref="K4:M4"/>
    <mergeCell ref="Q24:S24"/>
    <mergeCell ref="Q25:S25"/>
    <mergeCell ref="Q30:S30"/>
    <mergeCell ref="Q31:S31"/>
    <mergeCell ref="Q32:S32"/>
    <mergeCell ref="Q33:S33"/>
    <mergeCell ref="Q34:S34"/>
    <mergeCell ref="Q35:S35"/>
    <mergeCell ref="B6:B15"/>
    <mergeCell ref="C6:C10"/>
    <mergeCell ref="C11:C15"/>
    <mergeCell ref="B16:B25"/>
    <mergeCell ref="C16:C20"/>
    <mergeCell ref="C21:C25"/>
    <mergeCell ref="N23:P23"/>
    <mergeCell ref="N24:P24"/>
    <mergeCell ref="N25:P25"/>
    <mergeCell ref="E20:G20"/>
    <mergeCell ref="H20:J20"/>
    <mergeCell ref="K20:M20"/>
    <mergeCell ref="N20:P20"/>
    <mergeCell ref="N21:P21"/>
    <mergeCell ref="N22:P22"/>
    <mergeCell ref="B26:B35"/>
    <mergeCell ref="B4:D5"/>
    <mergeCell ref="N4:P4"/>
    <mergeCell ref="Q4:S4"/>
    <mergeCell ref="W13:Y13"/>
    <mergeCell ref="E14:G14"/>
    <mergeCell ref="E15:G15"/>
    <mergeCell ref="H14:J14"/>
    <mergeCell ref="H15:J15"/>
    <mergeCell ref="K14:M14"/>
    <mergeCell ref="K15:M15"/>
    <mergeCell ref="T14:V14"/>
    <mergeCell ref="T15:V15"/>
    <mergeCell ref="W14:Y14"/>
    <mergeCell ref="W15:Y15"/>
    <mergeCell ref="N10:P10"/>
    <mergeCell ref="N11:P11"/>
    <mergeCell ref="N12:P12"/>
    <mergeCell ref="N13:P13"/>
    <mergeCell ref="N14:P14"/>
    <mergeCell ref="N15:P15"/>
    <mergeCell ref="E10:G10"/>
    <mergeCell ref="Q11:S11"/>
    <mergeCell ref="Q12:S12"/>
    <mergeCell ref="Q13:S13"/>
    <mergeCell ref="B44:B53"/>
    <mergeCell ref="C44:C48"/>
    <mergeCell ref="C49:C53"/>
    <mergeCell ref="N49:P49"/>
    <mergeCell ref="Q49:S49"/>
    <mergeCell ref="N48:P48"/>
    <mergeCell ref="Q48:S48"/>
    <mergeCell ref="N52:P52"/>
    <mergeCell ref="Q52:S52"/>
    <mergeCell ref="N51:P51"/>
    <mergeCell ref="Q51:S51"/>
    <mergeCell ref="E52:G52"/>
    <mergeCell ref="N53:P53"/>
    <mergeCell ref="T62:V62"/>
    <mergeCell ref="Q61:S61"/>
    <mergeCell ref="T61:V61"/>
    <mergeCell ref="E62:G62"/>
    <mergeCell ref="N62:P62"/>
    <mergeCell ref="Q60:S60"/>
    <mergeCell ref="T60:V60"/>
    <mergeCell ref="E60:G60"/>
    <mergeCell ref="C26:C30"/>
    <mergeCell ref="C31:C35"/>
    <mergeCell ref="E35:G35"/>
    <mergeCell ref="H35:J35"/>
    <mergeCell ref="K35:M35"/>
    <mergeCell ref="T35:V35"/>
    <mergeCell ref="N50:P50"/>
    <mergeCell ref="Q50:S50"/>
    <mergeCell ref="T52:V52"/>
    <mergeCell ref="N30:P30"/>
    <mergeCell ref="N31:P31"/>
    <mergeCell ref="T53:V53"/>
    <mergeCell ref="E61:G61"/>
    <mergeCell ref="N60:P60"/>
    <mergeCell ref="N61:P61"/>
    <mergeCell ref="Q62:S62"/>
    <mergeCell ref="B64:B73"/>
    <mergeCell ref="C64:C68"/>
    <mergeCell ref="C69:C73"/>
    <mergeCell ref="Q69:S69"/>
    <mergeCell ref="T69:V69"/>
    <mergeCell ref="Q63:S63"/>
    <mergeCell ref="T63:V63"/>
    <mergeCell ref="Q68:S68"/>
    <mergeCell ref="T68:V68"/>
    <mergeCell ref="Q70:S70"/>
    <mergeCell ref="T70:V70"/>
    <mergeCell ref="E70:G70"/>
    <mergeCell ref="E71:G71"/>
    <mergeCell ref="N70:P70"/>
    <mergeCell ref="N71:P71"/>
    <mergeCell ref="Q72:S72"/>
    <mergeCell ref="T72:V72"/>
    <mergeCell ref="Q71:S71"/>
    <mergeCell ref="T71:V71"/>
    <mergeCell ref="E72:G72"/>
    <mergeCell ref="N72:P72"/>
    <mergeCell ref="B54:B63"/>
    <mergeCell ref="C54:C58"/>
    <mergeCell ref="C59:C63"/>
    <mergeCell ref="E97:G97"/>
    <mergeCell ref="N96:P96"/>
    <mergeCell ref="N97:P97"/>
    <mergeCell ref="Q98:S98"/>
    <mergeCell ref="T98:V98"/>
    <mergeCell ref="Q97:S97"/>
    <mergeCell ref="T97:V97"/>
    <mergeCell ref="E98:G98"/>
    <mergeCell ref="N98:P98"/>
    <mergeCell ref="T95:V95"/>
    <mergeCell ref="Q73:S73"/>
    <mergeCell ref="T73:V73"/>
    <mergeCell ref="Q94:S94"/>
    <mergeCell ref="T94:V94"/>
    <mergeCell ref="Q96:S96"/>
    <mergeCell ref="T96:V96"/>
    <mergeCell ref="E96:G96"/>
    <mergeCell ref="N73:P73"/>
    <mergeCell ref="T79:V79"/>
    <mergeCell ref="E88:G88"/>
    <mergeCell ref="H88:J88"/>
    <mergeCell ref="K88:M88"/>
    <mergeCell ref="N88:P88"/>
    <mergeCell ref="Q88:S88"/>
    <mergeCell ref="T88:V88"/>
    <mergeCell ref="B100:B109"/>
    <mergeCell ref="C100:C104"/>
    <mergeCell ref="C105:C109"/>
    <mergeCell ref="Q105:S105"/>
    <mergeCell ref="T105:V105"/>
    <mergeCell ref="Q99:S99"/>
    <mergeCell ref="T99:V99"/>
    <mergeCell ref="Q104:S104"/>
    <mergeCell ref="T104:V104"/>
    <mergeCell ref="Q106:S106"/>
    <mergeCell ref="T106:V106"/>
    <mergeCell ref="E106:G106"/>
    <mergeCell ref="E107:G107"/>
    <mergeCell ref="N106:P106"/>
    <mergeCell ref="N107:P107"/>
    <mergeCell ref="Q108:S108"/>
    <mergeCell ref="T108:V108"/>
    <mergeCell ref="Q107:S107"/>
    <mergeCell ref="T107:V107"/>
    <mergeCell ref="E108:G108"/>
    <mergeCell ref="N108:P108"/>
    <mergeCell ref="B90:B99"/>
    <mergeCell ref="C90:C94"/>
    <mergeCell ref="C95:C99"/>
    <mergeCell ref="B110:B119"/>
    <mergeCell ref="C110:C114"/>
    <mergeCell ref="C115:C119"/>
    <mergeCell ref="Q109:S109"/>
    <mergeCell ref="T109:V109"/>
    <mergeCell ref="E116:G116"/>
    <mergeCell ref="E117:G117"/>
    <mergeCell ref="E118:G118"/>
    <mergeCell ref="B128:B137"/>
    <mergeCell ref="C128:C132"/>
    <mergeCell ref="C133:C137"/>
    <mergeCell ref="H115:J115"/>
    <mergeCell ref="H116:J116"/>
    <mergeCell ref="H117:J117"/>
    <mergeCell ref="H118:J118"/>
    <mergeCell ref="H119:J119"/>
    <mergeCell ref="K114:M114"/>
    <mergeCell ref="K115:M115"/>
    <mergeCell ref="K116:M116"/>
    <mergeCell ref="K117:M117"/>
    <mergeCell ref="K118:M118"/>
    <mergeCell ref="K119:M119"/>
    <mergeCell ref="N114:P114"/>
    <mergeCell ref="N115:P115"/>
    <mergeCell ref="B138:B147"/>
    <mergeCell ref="C138:C142"/>
    <mergeCell ref="C143:C147"/>
    <mergeCell ref="B174:B181"/>
    <mergeCell ref="C174:C177"/>
    <mergeCell ref="C178:C181"/>
    <mergeCell ref="B148:B157"/>
    <mergeCell ref="C148:C152"/>
    <mergeCell ref="C153:C157"/>
    <mergeCell ref="N116:P116"/>
    <mergeCell ref="N117:P117"/>
    <mergeCell ref="N118:P118"/>
    <mergeCell ref="N119:P119"/>
    <mergeCell ref="Q114:S114"/>
    <mergeCell ref="Q115:S115"/>
    <mergeCell ref="Q116:S116"/>
    <mergeCell ref="Q117:S117"/>
    <mergeCell ref="Q118:S118"/>
    <mergeCell ref="Q119:S119"/>
    <mergeCell ref="T114:V114"/>
    <mergeCell ref="T115:V115"/>
    <mergeCell ref="T116:V116"/>
    <mergeCell ref="T117:V117"/>
    <mergeCell ref="T118:V118"/>
    <mergeCell ref="T119:V119"/>
    <mergeCell ref="W114:Y114"/>
    <mergeCell ref="W115:Y115"/>
    <mergeCell ref="W116:Y116"/>
    <mergeCell ref="W117:Y117"/>
    <mergeCell ref="W118:Y118"/>
    <mergeCell ref="W119:Y119"/>
    <mergeCell ref="E132:G132"/>
    <mergeCell ref="E133:G133"/>
    <mergeCell ref="E134:G134"/>
    <mergeCell ref="E135:G135"/>
    <mergeCell ref="E136:G136"/>
    <mergeCell ref="E137:G137"/>
    <mergeCell ref="H132:J132"/>
    <mergeCell ref="H133:J133"/>
    <mergeCell ref="H134:J134"/>
    <mergeCell ref="H135:J135"/>
    <mergeCell ref="H136:J136"/>
    <mergeCell ref="H137:J137"/>
    <mergeCell ref="T132:V132"/>
    <mergeCell ref="T133:V133"/>
    <mergeCell ref="T134:V134"/>
    <mergeCell ref="T135:V135"/>
    <mergeCell ref="T136:V136"/>
    <mergeCell ref="T137:V137"/>
    <mergeCell ref="K132:M132"/>
    <mergeCell ref="K133:M133"/>
    <mergeCell ref="K134:M134"/>
    <mergeCell ref="K135:M135"/>
    <mergeCell ref="K136:M136"/>
    <mergeCell ref="K137:M137"/>
    <mergeCell ref="N132:P132"/>
    <mergeCell ref="N133:P133"/>
    <mergeCell ref="N134:P134"/>
    <mergeCell ref="N135:P135"/>
    <mergeCell ref="N136:P136"/>
    <mergeCell ref="N137:P137"/>
    <mergeCell ref="W132:Y132"/>
    <mergeCell ref="W133:Y133"/>
    <mergeCell ref="W134:Y134"/>
    <mergeCell ref="W135:Y135"/>
    <mergeCell ref="W136:Y136"/>
    <mergeCell ref="W137:Y137"/>
    <mergeCell ref="E142:G142"/>
    <mergeCell ref="E143:G143"/>
    <mergeCell ref="E144:G144"/>
    <mergeCell ref="K142:M142"/>
    <mergeCell ref="K143:M143"/>
    <mergeCell ref="K144:M144"/>
    <mergeCell ref="Q142:S142"/>
    <mergeCell ref="Q143:S143"/>
    <mergeCell ref="Q144:S144"/>
    <mergeCell ref="W142:Y142"/>
    <mergeCell ref="W143:Y143"/>
    <mergeCell ref="W144:Y144"/>
    <mergeCell ref="Q132:S132"/>
    <mergeCell ref="Q133:S133"/>
    <mergeCell ref="Q134:S134"/>
    <mergeCell ref="Q135:S135"/>
    <mergeCell ref="Q136:S136"/>
    <mergeCell ref="Q137:S137"/>
    <mergeCell ref="E145:G145"/>
    <mergeCell ref="E146:G146"/>
    <mergeCell ref="E147:G147"/>
    <mergeCell ref="H142:J142"/>
    <mergeCell ref="H143:J143"/>
    <mergeCell ref="H144:J144"/>
    <mergeCell ref="H145:J145"/>
    <mergeCell ref="H146:J146"/>
    <mergeCell ref="H147:J147"/>
    <mergeCell ref="K145:M145"/>
    <mergeCell ref="K146:M146"/>
    <mergeCell ref="K147:M147"/>
    <mergeCell ref="N142:P142"/>
    <mergeCell ref="N143:P143"/>
    <mergeCell ref="N144:P144"/>
    <mergeCell ref="N145:P145"/>
    <mergeCell ref="N146:P146"/>
    <mergeCell ref="N147:P147"/>
    <mergeCell ref="Q145:S145"/>
    <mergeCell ref="Q146:S146"/>
    <mergeCell ref="Q147:S147"/>
    <mergeCell ref="T142:V142"/>
    <mergeCell ref="T143:V143"/>
    <mergeCell ref="T144:V144"/>
    <mergeCell ref="T145:V145"/>
    <mergeCell ref="T146:V146"/>
    <mergeCell ref="T147:V147"/>
    <mergeCell ref="W145:Y145"/>
    <mergeCell ref="W146:Y146"/>
    <mergeCell ref="W147:Y147"/>
    <mergeCell ref="E152:G152"/>
    <mergeCell ref="E153:G153"/>
    <mergeCell ref="E154:G154"/>
    <mergeCell ref="E155:G155"/>
    <mergeCell ref="E156:G156"/>
    <mergeCell ref="E157:G157"/>
    <mergeCell ref="H152:J152"/>
    <mergeCell ref="H153:J153"/>
    <mergeCell ref="H154:J154"/>
    <mergeCell ref="H155:J155"/>
    <mergeCell ref="H156:J156"/>
    <mergeCell ref="H157:J157"/>
    <mergeCell ref="K152:M152"/>
    <mergeCell ref="K153:M153"/>
    <mergeCell ref="K154:M154"/>
    <mergeCell ref="K155:M155"/>
    <mergeCell ref="K156:M156"/>
    <mergeCell ref="K157:M157"/>
    <mergeCell ref="N152:P152"/>
    <mergeCell ref="N153:P153"/>
    <mergeCell ref="N154:P154"/>
    <mergeCell ref="N155:P155"/>
    <mergeCell ref="N156:P156"/>
    <mergeCell ref="N157:P157"/>
    <mergeCell ref="Q152:S152"/>
    <mergeCell ref="Q153:S153"/>
    <mergeCell ref="Q154:S154"/>
    <mergeCell ref="Q155:S155"/>
    <mergeCell ref="Q156:S156"/>
    <mergeCell ref="Q157:S157"/>
    <mergeCell ref="T152:V152"/>
    <mergeCell ref="T153:V153"/>
    <mergeCell ref="T154:V154"/>
    <mergeCell ref="T155:V155"/>
    <mergeCell ref="T156:V156"/>
    <mergeCell ref="T157:V157"/>
    <mergeCell ref="W152:Y152"/>
    <mergeCell ref="W153:Y153"/>
    <mergeCell ref="W154:Y154"/>
    <mergeCell ref="W155:Y155"/>
    <mergeCell ref="W156:Y156"/>
    <mergeCell ref="W157:Y157"/>
    <mergeCell ref="E177:G177"/>
    <mergeCell ref="E178:G178"/>
    <mergeCell ref="E179:G179"/>
    <mergeCell ref="E180:G180"/>
    <mergeCell ref="E181:G181"/>
    <mergeCell ref="H177:J177"/>
    <mergeCell ref="H178:J178"/>
    <mergeCell ref="H179:J179"/>
    <mergeCell ref="H180:J180"/>
    <mergeCell ref="H181:J181"/>
    <mergeCell ref="K177:M177"/>
    <mergeCell ref="K178:M178"/>
    <mergeCell ref="K179:M179"/>
    <mergeCell ref="K180:M180"/>
    <mergeCell ref="K181:M181"/>
    <mergeCell ref="N177:P177"/>
    <mergeCell ref="N178:P178"/>
    <mergeCell ref="N179:P179"/>
    <mergeCell ref="N180:P180"/>
    <mergeCell ref="N181:P181"/>
    <mergeCell ref="W177:Y177"/>
    <mergeCell ref="W178:Y178"/>
    <mergeCell ref="W179:Y179"/>
    <mergeCell ref="W180:Y180"/>
    <mergeCell ref="W181:Y181"/>
    <mergeCell ref="Q177:S177"/>
    <mergeCell ref="Q178:S178"/>
    <mergeCell ref="Q179:S179"/>
    <mergeCell ref="Q180:S180"/>
    <mergeCell ref="Q181:S181"/>
    <mergeCell ref="T177:V177"/>
    <mergeCell ref="T178:V178"/>
    <mergeCell ref="T179:V179"/>
    <mergeCell ref="T180:V180"/>
    <mergeCell ref="T181:V181"/>
    <mergeCell ref="B36:B43"/>
    <mergeCell ref="C36:C39"/>
    <mergeCell ref="E39:G39"/>
    <mergeCell ref="H39:J39"/>
    <mergeCell ref="K39:M39"/>
    <mergeCell ref="N39:P39"/>
    <mergeCell ref="Q39:S39"/>
    <mergeCell ref="C40:C43"/>
    <mergeCell ref="E40:G40"/>
    <mergeCell ref="H40:J40"/>
    <mergeCell ref="K40:M40"/>
    <mergeCell ref="N40:P40"/>
    <mergeCell ref="Q40:S40"/>
    <mergeCell ref="E43:G43"/>
    <mergeCell ref="H43:J43"/>
    <mergeCell ref="K43:M43"/>
    <mergeCell ref="N43:P43"/>
    <mergeCell ref="Q43:S43"/>
    <mergeCell ref="W40:Y40"/>
    <mergeCell ref="E41:G41"/>
    <mergeCell ref="H41:J41"/>
    <mergeCell ref="K41:M41"/>
    <mergeCell ref="N41:P41"/>
    <mergeCell ref="Q41:S41"/>
    <mergeCell ref="T41:V41"/>
    <mergeCell ref="W41:Y41"/>
    <mergeCell ref="E42:G42"/>
    <mergeCell ref="H42:J42"/>
    <mergeCell ref="K42:M42"/>
    <mergeCell ref="N42:P42"/>
    <mergeCell ref="Q42:S42"/>
    <mergeCell ref="T42:V42"/>
    <mergeCell ref="W42:Y42"/>
    <mergeCell ref="T43:V43"/>
    <mergeCell ref="W43:Y43"/>
    <mergeCell ref="B74:B81"/>
    <mergeCell ref="C74:C77"/>
    <mergeCell ref="E77:G77"/>
    <mergeCell ref="H77:J77"/>
    <mergeCell ref="K77:M77"/>
    <mergeCell ref="N77:P77"/>
    <mergeCell ref="Q77:S77"/>
    <mergeCell ref="T77:V77"/>
    <mergeCell ref="W77:Y77"/>
    <mergeCell ref="C78:C81"/>
    <mergeCell ref="E78:G78"/>
    <mergeCell ref="H78:J78"/>
    <mergeCell ref="K78:M78"/>
    <mergeCell ref="N78:P78"/>
    <mergeCell ref="Q78:S78"/>
    <mergeCell ref="T78:V78"/>
    <mergeCell ref="W78:Y78"/>
    <mergeCell ref="E79:G79"/>
    <mergeCell ref="H79:J79"/>
    <mergeCell ref="K79:M79"/>
    <mergeCell ref="N79:P79"/>
    <mergeCell ref="Q79:S79"/>
    <mergeCell ref="W79:Y79"/>
    <mergeCell ref="E80:G80"/>
    <mergeCell ref="H80:J80"/>
    <mergeCell ref="K80:M80"/>
    <mergeCell ref="N80:P80"/>
    <mergeCell ref="Q80:S80"/>
    <mergeCell ref="T80:V80"/>
    <mergeCell ref="W80:Y80"/>
    <mergeCell ref="E81:G81"/>
    <mergeCell ref="H81:J81"/>
    <mergeCell ref="K81:M81"/>
    <mergeCell ref="N81:P81"/>
    <mergeCell ref="Q81:S81"/>
    <mergeCell ref="T81:V81"/>
    <mergeCell ref="W81:Y81"/>
    <mergeCell ref="B82:B89"/>
    <mergeCell ref="C82:C85"/>
    <mergeCell ref="E85:G85"/>
    <mergeCell ref="H85:J85"/>
    <mergeCell ref="K85:M85"/>
    <mergeCell ref="N85:P85"/>
    <mergeCell ref="Q85:S85"/>
    <mergeCell ref="T85:V85"/>
    <mergeCell ref="W85:Y85"/>
    <mergeCell ref="C86:C89"/>
    <mergeCell ref="E86:G86"/>
    <mergeCell ref="H86:J86"/>
    <mergeCell ref="K86:M86"/>
    <mergeCell ref="N86:P86"/>
    <mergeCell ref="Q86:S86"/>
    <mergeCell ref="T86:V86"/>
    <mergeCell ref="W86:Y86"/>
    <mergeCell ref="E87:G87"/>
    <mergeCell ref="H87:J87"/>
    <mergeCell ref="K87:M87"/>
    <mergeCell ref="N87:P87"/>
    <mergeCell ref="Q87:S87"/>
    <mergeCell ref="T87:V87"/>
    <mergeCell ref="W87:Y87"/>
    <mergeCell ref="W88:Y88"/>
    <mergeCell ref="E89:G89"/>
    <mergeCell ref="H89:J89"/>
    <mergeCell ref="K89:M89"/>
    <mergeCell ref="N89:P89"/>
    <mergeCell ref="Q89:S89"/>
    <mergeCell ref="T89:V89"/>
    <mergeCell ref="W89:Y89"/>
    <mergeCell ref="B120:B127"/>
    <mergeCell ref="C120:C123"/>
    <mergeCell ref="E123:G123"/>
    <mergeCell ref="H123:J123"/>
    <mergeCell ref="K123:M123"/>
    <mergeCell ref="N123:P123"/>
    <mergeCell ref="Q123:S123"/>
    <mergeCell ref="T123:V123"/>
    <mergeCell ref="W123:Y123"/>
    <mergeCell ref="C124:C127"/>
    <mergeCell ref="E124:G124"/>
    <mergeCell ref="H124:J124"/>
    <mergeCell ref="K124:M124"/>
    <mergeCell ref="N124:P124"/>
    <mergeCell ref="Q124:S124"/>
    <mergeCell ref="T124:V124"/>
    <mergeCell ref="W124:Y124"/>
    <mergeCell ref="E125:G125"/>
    <mergeCell ref="H125:J125"/>
    <mergeCell ref="K125:M125"/>
    <mergeCell ref="N125:P125"/>
    <mergeCell ref="Q125:S125"/>
    <mergeCell ref="T125:V125"/>
    <mergeCell ref="W125:Y125"/>
    <mergeCell ref="E126:G126"/>
    <mergeCell ref="H126:J126"/>
    <mergeCell ref="K126:M126"/>
    <mergeCell ref="N126:P126"/>
    <mergeCell ref="Q126:S126"/>
    <mergeCell ref="T126:V126"/>
    <mergeCell ref="W126:Y126"/>
    <mergeCell ref="E127:G127"/>
    <mergeCell ref="H127:J127"/>
    <mergeCell ref="K127:M127"/>
    <mergeCell ref="N127:P127"/>
    <mergeCell ref="Q127:S127"/>
    <mergeCell ref="T127:V127"/>
    <mergeCell ref="W127:Y127"/>
    <mergeCell ref="B158:B165"/>
    <mergeCell ref="C158:C161"/>
    <mergeCell ref="E161:G161"/>
    <mergeCell ref="H161:J161"/>
    <mergeCell ref="K161:M161"/>
    <mergeCell ref="N161:P161"/>
    <mergeCell ref="Q161:S161"/>
    <mergeCell ref="T161:V161"/>
    <mergeCell ref="W161:Y161"/>
    <mergeCell ref="C162:C165"/>
    <mergeCell ref="E162:G162"/>
    <mergeCell ref="H162:J162"/>
    <mergeCell ref="K162:M162"/>
    <mergeCell ref="N162:P162"/>
    <mergeCell ref="Q162:S162"/>
    <mergeCell ref="T162:V162"/>
    <mergeCell ref="W162:Y162"/>
    <mergeCell ref="E163:G163"/>
    <mergeCell ref="H163:J163"/>
    <mergeCell ref="K163:M163"/>
    <mergeCell ref="N163:P163"/>
    <mergeCell ref="Q163:S163"/>
    <mergeCell ref="T163:V163"/>
    <mergeCell ref="W163:Y163"/>
    <mergeCell ref="E164:G164"/>
    <mergeCell ref="H164:J164"/>
    <mergeCell ref="K164:M164"/>
    <mergeCell ref="N164:P164"/>
    <mergeCell ref="Q164:S164"/>
    <mergeCell ref="T164:V164"/>
    <mergeCell ref="W164:Y164"/>
    <mergeCell ref="E165:G165"/>
    <mergeCell ref="H165:J165"/>
    <mergeCell ref="K165:M165"/>
    <mergeCell ref="N165:P165"/>
    <mergeCell ref="Q165:S165"/>
    <mergeCell ref="T165:V165"/>
    <mergeCell ref="W165:Y165"/>
    <mergeCell ref="B166:B173"/>
    <mergeCell ref="C166:C169"/>
    <mergeCell ref="E169:G169"/>
    <mergeCell ref="H169:J169"/>
    <mergeCell ref="K169:M169"/>
    <mergeCell ref="N169:P169"/>
    <mergeCell ref="Q169:S169"/>
    <mergeCell ref="T169:V169"/>
    <mergeCell ref="W169:Y169"/>
    <mergeCell ref="C170:C173"/>
    <mergeCell ref="E170:G170"/>
    <mergeCell ref="H170:J170"/>
    <mergeCell ref="K170:M170"/>
    <mergeCell ref="N170:P170"/>
    <mergeCell ref="Q170:S170"/>
    <mergeCell ref="T170:V170"/>
    <mergeCell ref="W170:Y170"/>
    <mergeCell ref="E173:G173"/>
    <mergeCell ref="H173:J173"/>
    <mergeCell ref="K173:M173"/>
    <mergeCell ref="N173:P173"/>
    <mergeCell ref="Q173:S173"/>
    <mergeCell ref="T173:V173"/>
    <mergeCell ref="W173:Y173"/>
    <mergeCell ref="E171:G171"/>
    <mergeCell ref="H171:J171"/>
    <mergeCell ref="K171:M171"/>
    <mergeCell ref="N171:P171"/>
    <mergeCell ref="Q171:S171"/>
    <mergeCell ref="T171:V171"/>
    <mergeCell ref="W171:Y171"/>
    <mergeCell ref="E172:G172"/>
    <mergeCell ref="H172:J172"/>
    <mergeCell ref="K172:M172"/>
    <mergeCell ref="N172:P172"/>
    <mergeCell ref="Q172:S172"/>
    <mergeCell ref="T172:V172"/>
    <mergeCell ref="W172:Y172"/>
  </mergeCells>
  <phoneticPr fontId="1"/>
  <pageMargins left="0.25" right="0.25" top="0.75" bottom="0.75" header="0.3" footer="0.3"/>
  <pageSetup paperSize="9" scale="6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3346-902C-41A2-85AD-D8F8544F565D}">
  <sheetPr codeName="Sheet21">
    <tabColor rgb="FFFF0000"/>
  </sheetPr>
  <dimension ref="A2:BD107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L23" sqref="BL23"/>
    </sheetView>
  </sheetViews>
  <sheetFormatPr defaultColWidth="9" defaultRowHeight="18.75" x14ac:dyDescent="0.4"/>
  <cols>
    <col min="1" max="1" width="14.25" style="2" customWidth="1"/>
    <col min="2" max="2" width="15.25" style="2" bestFit="1" customWidth="1"/>
    <col min="3" max="3" width="11.25" style="2" bestFit="1" customWidth="1"/>
    <col min="4" max="4" width="15.375" style="2" bestFit="1" customWidth="1"/>
    <col min="5" max="7" width="13.125" style="5" hidden="1" customWidth="1"/>
    <col min="8" max="8" width="15.25" style="6" hidden="1" customWidth="1"/>
    <col min="9" max="11" width="13.125" style="5" hidden="1" customWidth="1"/>
    <col min="12" max="12" width="15.25" style="6" hidden="1" customWidth="1"/>
    <col min="13" max="15" width="14.5" style="2" hidden="1" customWidth="1"/>
    <col min="16" max="16" width="16.625" style="2" hidden="1" customWidth="1"/>
    <col min="17" max="19" width="14.5" style="2" hidden="1" customWidth="1"/>
    <col min="20" max="20" width="16.625" style="2" hidden="1" customWidth="1"/>
    <col min="21" max="23" width="14.5" style="2" hidden="1" customWidth="1"/>
    <col min="24" max="24" width="16.625" style="2" hidden="1" customWidth="1"/>
    <col min="25" max="27" width="13.125" style="2" hidden="1" customWidth="1"/>
    <col min="28" max="28" width="15.25" style="2" hidden="1" customWidth="1"/>
    <col min="29" max="31" width="13.125" style="2" hidden="1" customWidth="1"/>
    <col min="32" max="32" width="15.25" style="2" hidden="1" customWidth="1"/>
    <col min="33" max="35" width="13.125" style="2" hidden="1" customWidth="1"/>
    <col min="36" max="36" width="15.25" style="2" hidden="1" customWidth="1"/>
    <col min="37" max="39" width="13.125" style="2" hidden="1" customWidth="1"/>
    <col min="40" max="40" width="15.25" style="2" hidden="1" customWidth="1"/>
    <col min="41" max="41" width="13.125" style="2" hidden="1" customWidth="1"/>
    <col min="42" max="42" width="13.125" style="2" bestFit="1" customWidth="1"/>
    <col min="43" max="43" width="13.125" style="2" hidden="1" customWidth="1"/>
    <col min="44" max="44" width="15.25" style="2" hidden="1" customWidth="1"/>
    <col min="45" max="45" width="13.125" style="2" hidden="1" customWidth="1"/>
    <col min="46" max="46" width="13.125" style="2" bestFit="1" customWidth="1"/>
    <col min="47" max="47" width="13.125" style="2" hidden="1" customWidth="1"/>
    <col min="48" max="48" width="15.25" style="2" hidden="1" customWidth="1"/>
    <col min="49" max="51" width="13.125" style="2" hidden="1" customWidth="1"/>
    <col min="52" max="52" width="15.25" style="2" hidden="1" customWidth="1"/>
    <col min="53" max="55" width="13.125" style="2" hidden="1" customWidth="1"/>
    <col min="56" max="56" width="15.25" style="2" hidden="1" customWidth="1"/>
    <col min="57" max="16384" width="9" style="2"/>
  </cols>
  <sheetData>
    <row r="2" spans="1:56" x14ac:dyDescent="0.4">
      <c r="A2" s="259" t="s">
        <v>3227</v>
      </c>
      <c r="B2" s="259"/>
    </row>
    <row r="3" spans="1:56" ht="20.100000000000001" customHeight="1" x14ac:dyDescent="0.4">
      <c r="A3" s="115" t="s">
        <v>116</v>
      </c>
      <c r="B3" s="3"/>
      <c r="C3" s="4"/>
      <c r="D3" s="114"/>
    </row>
    <row r="4" spans="1:56" x14ac:dyDescent="0.4">
      <c r="A4" s="8" t="s">
        <v>78</v>
      </c>
      <c r="B4" s="9" t="s">
        <v>7</v>
      </c>
      <c r="C4" s="9" t="s">
        <v>79</v>
      </c>
      <c r="D4" s="9" t="s">
        <v>0</v>
      </c>
      <c r="E4" s="10" t="s">
        <v>16</v>
      </c>
      <c r="F4" s="10" t="s">
        <v>17</v>
      </c>
      <c r="G4" s="10" t="s">
        <v>18</v>
      </c>
      <c r="H4" s="11" t="s">
        <v>19</v>
      </c>
      <c r="I4" s="10" t="s">
        <v>20</v>
      </c>
      <c r="J4" s="10" t="s">
        <v>21</v>
      </c>
      <c r="K4" s="10" t="s">
        <v>22</v>
      </c>
      <c r="L4" s="11" t="s">
        <v>23</v>
      </c>
      <c r="M4" s="10" t="s">
        <v>24</v>
      </c>
      <c r="N4" s="10" t="s">
        <v>25</v>
      </c>
      <c r="O4" s="10" t="s">
        <v>26</v>
      </c>
      <c r="P4" s="11" t="s">
        <v>27</v>
      </c>
      <c r="Q4" s="10" t="s">
        <v>28</v>
      </c>
      <c r="R4" s="10" t="s">
        <v>29</v>
      </c>
      <c r="S4" s="10" t="s">
        <v>30</v>
      </c>
      <c r="T4" s="11" t="s">
        <v>31</v>
      </c>
      <c r="U4" s="10" t="s">
        <v>32</v>
      </c>
      <c r="V4" s="10" t="s">
        <v>33</v>
      </c>
      <c r="W4" s="10" t="s">
        <v>34</v>
      </c>
      <c r="X4" s="11" t="s">
        <v>35</v>
      </c>
      <c r="Y4" s="12" t="s">
        <v>36</v>
      </c>
      <c r="Z4" s="10" t="s">
        <v>37</v>
      </c>
      <c r="AA4" s="10" t="s">
        <v>38</v>
      </c>
      <c r="AB4" s="13" t="s">
        <v>39</v>
      </c>
      <c r="AC4" s="12" t="s">
        <v>64</v>
      </c>
      <c r="AD4" s="10" t="s">
        <v>65</v>
      </c>
      <c r="AE4" s="10" t="s">
        <v>66</v>
      </c>
      <c r="AF4" s="13" t="s">
        <v>67</v>
      </c>
      <c r="AG4" s="12" t="s">
        <v>68</v>
      </c>
      <c r="AH4" s="10" t="s">
        <v>69</v>
      </c>
      <c r="AI4" s="10" t="s">
        <v>70</v>
      </c>
      <c r="AJ4" s="13" t="s">
        <v>71</v>
      </c>
      <c r="AK4" s="12" t="s">
        <v>81</v>
      </c>
      <c r="AL4" s="10" t="s">
        <v>82</v>
      </c>
      <c r="AM4" s="10" t="s">
        <v>83</v>
      </c>
      <c r="AN4" s="13" t="s">
        <v>84</v>
      </c>
      <c r="AO4" s="12" t="s">
        <v>85</v>
      </c>
      <c r="AP4" s="10" t="s">
        <v>86</v>
      </c>
      <c r="AQ4" s="10" t="s">
        <v>87</v>
      </c>
      <c r="AR4" s="13" t="s">
        <v>88</v>
      </c>
      <c r="AS4" s="12" t="s">
        <v>89</v>
      </c>
      <c r="AT4" s="10" t="s">
        <v>90</v>
      </c>
      <c r="AU4" s="10" t="s">
        <v>92</v>
      </c>
      <c r="AV4" s="13" t="s">
        <v>93</v>
      </c>
      <c r="AW4" s="12" t="s">
        <v>94</v>
      </c>
      <c r="AX4" s="10" t="s">
        <v>95</v>
      </c>
      <c r="AY4" s="10" t="s">
        <v>91</v>
      </c>
      <c r="AZ4" s="13" t="s">
        <v>96</v>
      </c>
      <c r="BA4" s="12" t="s">
        <v>16</v>
      </c>
      <c r="BB4" s="10" t="s">
        <v>17</v>
      </c>
      <c r="BC4" s="10" t="s">
        <v>18</v>
      </c>
      <c r="BD4" s="13" t="s">
        <v>19</v>
      </c>
    </row>
    <row r="5" spans="1:56" x14ac:dyDescent="0.4">
      <c r="A5" s="14">
        <v>5041</v>
      </c>
      <c r="B5" s="15" t="s">
        <v>40</v>
      </c>
      <c r="C5" s="15"/>
      <c r="D5" s="15" t="s">
        <v>40</v>
      </c>
      <c r="E5" s="16">
        <f>SUBTOTAL(9,E6:E11)</f>
        <v>120590</v>
      </c>
      <c r="F5" s="16">
        <f>SUM(F6:F11)</f>
        <v>124612</v>
      </c>
      <c r="G5" s="16">
        <f>F5-E5</f>
        <v>4022</v>
      </c>
      <c r="H5" s="17">
        <f t="shared" ref="H5:H41" si="0">IF(E5=0,0,F5/E5)</f>
        <v>1.0333526826436685</v>
      </c>
      <c r="I5" s="16">
        <f>SUBTOTAL(9,I6:I11)</f>
        <v>116971</v>
      </c>
      <c r="J5" s="16">
        <f>SUM(J6:J11)</f>
        <v>126441</v>
      </c>
      <c r="K5" s="16">
        <f>J5-I5</f>
        <v>9470</v>
      </c>
      <c r="L5" s="17">
        <f t="shared" ref="L5:L41" si="1">IF(I5=0,0,J5/I5)</f>
        <v>1.0809602380077112</v>
      </c>
      <c r="M5" s="16">
        <f>SUBTOTAL(9,M6:M11)</f>
        <v>123795</v>
      </c>
      <c r="N5" s="16">
        <f>SUM(N6:N11)</f>
        <v>140631</v>
      </c>
      <c r="O5" s="16">
        <f>N5-M5</f>
        <v>16836</v>
      </c>
      <c r="P5" s="17">
        <f t="shared" ref="P5" si="2">IF(M5=0,0,N5/M5)</f>
        <v>1.1359990306555192</v>
      </c>
      <c r="Q5" s="16">
        <f>SUBTOTAL(9,Q6:Q11)</f>
        <v>123586</v>
      </c>
      <c r="R5" s="16">
        <f>SUM(R6:R11)</f>
        <v>129972</v>
      </c>
      <c r="S5" s="16">
        <f>R5-Q5</f>
        <v>6386</v>
      </c>
      <c r="T5" s="17">
        <f t="shared" ref="T5" si="3">IF(Q5=0,0,R5/Q5)</f>
        <v>1.0516725195410483</v>
      </c>
      <c r="U5" s="16">
        <f>SUBTOTAL(9,U6:U11)</f>
        <v>121284</v>
      </c>
      <c r="V5" s="16">
        <f>SUM(V6:V11)</f>
        <v>128557</v>
      </c>
      <c r="W5" s="16">
        <f>V5-U5</f>
        <v>7273</v>
      </c>
      <c r="X5" s="17">
        <f t="shared" ref="X5:X41" si="4">IF(U5=0,0,V5/U5)</f>
        <v>1.0599666897529765</v>
      </c>
      <c r="Y5" s="18">
        <f>SUBTOTAL(9,Y6:Y11)</f>
        <v>125330</v>
      </c>
      <c r="Z5" s="16">
        <f>SUM(Z6:Z11)</f>
        <v>134968</v>
      </c>
      <c r="AA5" s="16">
        <f>Z5-Y5</f>
        <v>9638</v>
      </c>
      <c r="AB5" s="19">
        <f t="shared" ref="AB5:AB41" si="5">IF(Y5=0,0,Z5/Y5)</f>
        <v>1.07690098140908</v>
      </c>
      <c r="AC5" s="18">
        <f>SUBTOTAL(9,AC6:AC11)</f>
        <v>123192</v>
      </c>
      <c r="AD5" s="84">
        <f>SUM(AD6:AD11)</f>
        <v>38750</v>
      </c>
      <c r="AE5" s="84">
        <f>AD5-AC5</f>
        <v>-84442</v>
      </c>
      <c r="AF5" s="19">
        <f t="shared" ref="AF5:AF41" si="6">IF(AC5=0,0,AD5/AC5)</f>
        <v>0.31454964608091435</v>
      </c>
      <c r="AG5" s="18">
        <f>SUBTOTAL(9,AG6:AG11)</f>
        <v>121872</v>
      </c>
      <c r="AH5" s="16">
        <f>SUM(AH6:AH11)</f>
        <v>130975</v>
      </c>
      <c r="AI5" s="16">
        <f>AH5-AG5</f>
        <v>9103</v>
      </c>
      <c r="AJ5" s="19">
        <f t="shared" ref="AJ5:AJ41" si="7">IF(AG5=0,0,AH5/AG5)</f>
        <v>1.0746931206511749</v>
      </c>
      <c r="AK5" s="18">
        <f>SUBTOTAL(9,AK6:AK11)</f>
        <v>121149</v>
      </c>
      <c r="AL5" s="16">
        <f>SUM(AL6:AL11)</f>
        <v>39449</v>
      </c>
      <c r="AM5" s="16">
        <f>AL5-AK5</f>
        <v>-81700</v>
      </c>
      <c r="AN5" s="19">
        <f t="shared" ref="AN5" si="8">IF(AK5=0,0,AL5/AK5)</f>
        <v>0.32562381860353778</v>
      </c>
      <c r="AO5" s="18">
        <f>SUBTOTAL(9,AO6:AO11)</f>
        <v>123843</v>
      </c>
      <c r="AP5" s="16">
        <f>SUM(AP6:AP11)</f>
        <v>141562</v>
      </c>
      <c r="AQ5" s="16">
        <f>AP5-AO5</f>
        <v>17719</v>
      </c>
      <c r="AR5" s="19">
        <f t="shared" ref="AR5" si="9">IF(AO5=0,0,AP5/AO5)</f>
        <v>1.1430763143657696</v>
      </c>
      <c r="AS5" s="18">
        <f>SUBTOTAL(9,AS6:AS11)</f>
        <v>123939</v>
      </c>
      <c r="AT5" s="16">
        <f>SUM(AT6:AT11)</f>
        <v>19450</v>
      </c>
      <c r="AU5" s="16">
        <f>AT5-AS5</f>
        <v>-104489</v>
      </c>
      <c r="AV5" s="19">
        <f t="shared" ref="AV5" si="10">IF(AS5=0,0,AT5/AS5)</f>
        <v>0.15693203914829068</v>
      </c>
      <c r="AW5" s="18">
        <f>SUBTOTAL(9,AW6:AW11)</f>
        <v>125401</v>
      </c>
      <c r="AX5" s="16">
        <f>SUM(AX6:AX11)</f>
        <v>0</v>
      </c>
      <c r="AY5" s="16">
        <f>AX5-AW5</f>
        <v>-125401</v>
      </c>
      <c r="AZ5" s="19">
        <f t="shared" ref="AZ5" si="11">IF(AW5=0,0,AX5/AW5)</f>
        <v>0</v>
      </c>
      <c r="BA5" s="18">
        <f>SUBTOTAL(9,BA6:BA11)</f>
        <v>0</v>
      </c>
      <c r="BB5" s="16">
        <f>SUM(BB6:BB11)</f>
        <v>0</v>
      </c>
      <c r="BC5" s="16">
        <f>BB5-BA5</f>
        <v>0</v>
      </c>
      <c r="BD5" s="19">
        <f t="shared" ref="BD5" si="12">IF(BA5=0,0,BB5/BA5)</f>
        <v>0</v>
      </c>
    </row>
    <row r="6" spans="1:56" x14ac:dyDescent="0.4">
      <c r="A6" s="20">
        <v>5041</v>
      </c>
      <c r="B6" s="2" t="s">
        <v>41</v>
      </c>
      <c r="C6" s="2">
        <v>310</v>
      </c>
      <c r="D6" s="2" t="s">
        <v>1</v>
      </c>
      <c r="E6" s="5">
        <v>14548</v>
      </c>
      <c r="F6" s="5">
        <v>15493</v>
      </c>
      <c r="G6" s="5">
        <v>945</v>
      </c>
      <c r="H6" s="6">
        <v>106.5</v>
      </c>
      <c r="I6" s="5">
        <v>12515</v>
      </c>
      <c r="J6" s="5">
        <v>11697</v>
      </c>
      <c r="K6" s="5">
        <v>-817</v>
      </c>
      <c r="L6" s="6">
        <v>93.46</v>
      </c>
      <c r="M6" s="5">
        <v>16887</v>
      </c>
      <c r="N6" s="5">
        <v>19470</v>
      </c>
      <c r="O6" s="5">
        <v>-16887</v>
      </c>
      <c r="P6" s="6">
        <v>0</v>
      </c>
      <c r="Q6" s="5">
        <v>16944</v>
      </c>
      <c r="R6" s="5">
        <v>14639</v>
      </c>
      <c r="S6" s="5">
        <v>-16944</v>
      </c>
      <c r="T6" s="6">
        <v>0</v>
      </c>
      <c r="U6" s="5">
        <v>16022</v>
      </c>
      <c r="V6" s="5">
        <v>14619</v>
      </c>
      <c r="W6" s="5">
        <v>-16022</v>
      </c>
      <c r="X6" s="6">
        <v>0</v>
      </c>
      <c r="Y6" s="21">
        <v>17213</v>
      </c>
      <c r="Z6" s="5">
        <v>20701</v>
      </c>
      <c r="AA6" s="5">
        <v>-17213</v>
      </c>
      <c r="AB6" s="22">
        <v>0</v>
      </c>
      <c r="AC6" s="21">
        <v>13011</v>
      </c>
      <c r="AD6" s="85">
        <v>2693</v>
      </c>
      <c r="AE6" s="85">
        <v>-13011</v>
      </c>
      <c r="AF6" s="22">
        <v>0</v>
      </c>
      <c r="AG6" s="21">
        <v>14171</v>
      </c>
      <c r="AH6" s="5">
        <v>13350</v>
      </c>
      <c r="AI6" s="5">
        <v>-14171</v>
      </c>
      <c r="AJ6" s="22">
        <v>0</v>
      </c>
      <c r="AK6" s="21">
        <v>14356</v>
      </c>
      <c r="AL6" s="5">
        <v>7367</v>
      </c>
      <c r="AM6" s="5">
        <v>-14356</v>
      </c>
      <c r="AN6" s="22">
        <v>0</v>
      </c>
      <c r="AO6" s="21">
        <v>14353</v>
      </c>
      <c r="AP6" s="5">
        <v>13924</v>
      </c>
      <c r="AQ6" s="5">
        <v>-14353</v>
      </c>
      <c r="AR6" s="22">
        <v>0</v>
      </c>
      <c r="AS6" s="21">
        <v>14366</v>
      </c>
      <c r="AT6" s="5">
        <v>798</v>
      </c>
      <c r="AU6" s="5">
        <v>-14366</v>
      </c>
      <c r="AV6" s="22">
        <v>0</v>
      </c>
      <c r="AW6" s="21">
        <v>14385</v>
      </c>
      <c r="AX6" s="5"/>
      <c r="AY6" s="5">
        <f>AX6-AW6</f>
        <v>-14385</v>
      </c>
      <c r="AZ6" s="22">
        <f>IF(AW6=0,0,AX6/AW6)</f>
        <v>0</v>
      </c>
      <c r="BA6" s="21"/>
      <c r="BB6" s="5"/>
      <c r="BC6" s="5">
        <f>BB6-BA6</f>
        <v>0</v>
      </c>
      <c r="BD6" s="22">
        <f>IF(BA6=0,0,BB6/BA6)</f>
        <v>0</v>
      </c>
    </row>
    <row r="7" spans="1:56" x14ac:dyDescent="0.4">
      <c r="A7" s="20">
        <v>5041</v>
      </c>
      <c r="B7" s="2" t="s">
        <v>41</v>
      </c>
      <c r="C7" s="2">
        <v>320</v>
      </c>
      <c r="D7" s="2" t="s">
        <v>2</v>
      </c>
      <c r="E7" s="5">
        <v>27849</v>
      </c>
      <c r="F7" s="5">
        <v>30836</v>
      </c>
      <c r="G7" s="5">
        <v>2987</v>
      </c>
      <c r="H7" s="6">
        <v>110.73</v>
      </c>
      <c r="I7" s="5">
        <v>26938</v>
      </c>
      <c r="J7" s="5">
        <v>29739</v>
      </c>
      <c r="K7" s="5">
        <v>2801</v>
      </c>
      <c r="L7" s="6">
        <v>110.4</v>
      </c>
      <c r="M7" s="5">
        <v>24292</v>
      </c>
      <c r="N7" s="5">
        <v>29973</v>
      </c>
      <c r="O7" s="5">
        <v>-24292</v>
      </c>
      <c r="P7" s="6">
        <v>0</v>
      </c>
      <c r="Q7" s="5">
        <v>22439</v>
      </c>
      <c r="R7" s="5">
        <v>26763</v>
      </c>
      <c r="S7" s="5">
        <v>-22439</v>
      </c>
      <c r="T7" s="6">
        <v>0</v>
      </c>
      <c r="U7" s="5">
        <v>22780</v>
      </c>
      <c r="V7" s="5">
        <v>27159</v>
      </c>
      <c r="W7" s="5">
        <v>-22780</v>
      </c>
      <c r="X7" s="6">
        <v>0</v>
      </c>
      <c r="Y7" s="21">
        <v>23817</v>
      </c>
      <c r="Z7" s="5">
        <v>27260</v>
      </c>
      <c r="AA7" s="5">
        <v>-23817</v>
      </c>
      <c r="AB7" s="22">
        <v>0</v>
      </c>
      <c r="AC7" s="21">
        <v>23119</v>
      </c>
      <c r="AD7" s="85">
        <v>4813</v>
      </c>
      <c r="AE7" s="85">
        <v>-23119</v>
      </c>
      <c r="AF7" s="22">
        <v>0</v>
      </c>
      <c r="AG7" s="21">
        <v>23495</v>
      </c>
      <c r="AH7" s="5">
        <v>22859</v>
      </c>
      <c r="AI7" s="5">
        <v>-23495</v>
      </c>
      <c r="AJ7" s="22">
        <v>0</v>
      </c>
      <c r="AK7" s="21">
        <v>23733</v>
      </c>
      <c r="AL7" s="5">
        <v>6692</v>
      </c>
      <c r="AM7" s="5">
        <v>-23733</v>
      </c>
      <c r="AN7" s="22">
        <v>0</v>
      </c>
      <c r="AO7" s="21">
        <v>24884</v>
      </c>
      <c r="AP7" s="5">
        <v>26061</v>
      </c>
      <c r="AQ7" s="5">
        <v>-24884</v>
      </c>
      <c r="AR7" s="22">
        <v>0</v>
      </c>
      <c r="AS7" s="21">
        <v>24938</v>
      </c>
      <c r="AT7" s="5">
        <v>1825</v>
      </c>
      <c r="AU7" s="5">
        <v>-24938</v>
      </c>
      <c r="AV7" s="22">
        <v>0</v>
      </c>
      <c r="AW7" s="21">
        <v>25107</v>
      </c>
      <c r="AX7" s="5"/>
      <c r="AY7" s="5">
        <f t="shared" ref="AY7:AY11" si="13">AX7-AW7</f>
        <v>-25107</v>
      </c>
      <c r="AZ7" s="22">
        <f t="shared" ref="AZ7:AZ8" si="14">IF(AW7=0,0,AX7/AW7)</f>
        <v>0</v>
      </c>
      <c r="BA7" s="21"/>
      <c r="BB7" s="5"/>
      <c r="BC7" s="5">
        <f t="shared" ref="BC7:BC11" si="15">BB7-BA7</f>
        <v>0</v>
      </c>
      <c r="BD7" s="22">
        <f t="shared" ref="BD7:BD8" si="16">IF(BA7=0,0,BB7/BA7)</f>
        <v>0</v>
      </c>
    </row>
    <row r="8" spans="1:56" x14ac:dyDescent="0.4">
      <c r="A8" s="20">
        <v>5041</v>
      </c>
      <c r="B8" s="2" t="s">
        <v>41</v>
      </c>
      <c r="C8" s="2">
        <v>330</v>
      </c>
      <c r="D8" s="2" t="s">
        <v>3</v>
      </c>
      <c r="E8" s="5">
        <v>28344</v>
      </c>
      <c r="F8" s="5">
        <v>27925</v>
      </c>
      <c r="G8" s="5">
        <v>-419</v>
      </c>
      <c r="H8" s="6">
        <v>98.52</v>
      </c>
      <c r="I8" s="5">
        <v>27270</v>
      </c>
      <c r="J8" s="5">
        <v>28132</v>
      </c>
      <c r="K8" s="5">
        <v>862</v>
      </c>
      <c r="L8" s="6">
        <v>103.16</v>
      </c>
      <c r="M8" s="5">
        <v>30981</v>
      </c>
      <c r="N8" s="5">
        <v>34508</v>
      </c>
      <c r="O8" s="5">
        <v>-30981</v>
      </c>
      <c r="P8" s="6">
        <v>0</v>
      </c>
      <c r="Q8" s="5">
        <v>31193</v>
      </c>
      <c r="R8" s="5">
        <v>34323</v>
      </c>
      <c r="S8" s="5">
        <v>-31193</v>
      </c>
      <c r="T8" s="6">
        <v>0</v>
      </c>
      <c r="U8" s="5">
        <v>29112</v>
      </c>
      <c r="V8" s="5">
        <v>31187</v>
      </c>
      <c r="W8" s="5">
        <v>-29112</v>
      </c>
      <c r="X8" s="6">
        <v>0</v>
      </c>
      <c r="Y8" s="21">
        <v>30473</v>
      </c>
      <c r="Z8" s="5">
        <v>31121</v>
      </c>
      <c r="AA8" s="5">
        <v>-30473</v>
      </c>
      <c r="AB8" s="22">
        <v>0</v>
      </c>
      <c r="AC8" s="21">
        <v>31707</v>
      </c>
      <c r="AD8" s="85">
        <v>6449</v>
      </c>
      <c r="AE8" s="85">
        <v>-31707</v>
      </c>
      <c r="AF8" s="22">
        <v>0</v>
      </c>
      <c r="AG8" s="21">
        <v>29602</v>
      </c>
      <c r="AH8" s="5">
        <v>34598</v>
      </c>
      <c r="AI8" s="5">
        <v>-29602</v>
      </c>
      <c r="AJ8" s="22">
        <v>0</v>
      </c>
      <c r="AK8" s="21">
        <v>28466</v>
      </c>
      <c r="AL8" s="5">
        <v>12915</v>
      </c>
      <c r="AM8" s="5">
        <v>-28466</v>
      </c>
      <c r="AN8" s="22">
        <v>0</v>
      </c>
      <c r="AO8" s="21">
        <v>29722</v>
      </c>
      <c r="AP8" s="5">
        <v>35807</v>
      </c>
      <c r="AQ8" s="5">
        <v>-29722</v>
      </c>
      <c r="AR8" s="22">
        <v>0</v>
      </c>
      <c r="AS8" s="21">
        <v>28497</v>
      </c>
      <c r="AT8" s="5">
        <v>4372</v>
      </c>
      <c r="AU8" s="5">
        <v>-28497</v>
      </c>
      <c r="AV8" s="22">
        <v>0</v>
      </c>
      <c r="AW8" s="21">
        <v>30951</v>
      </c>
      <c r="AX8" s="5"/>
      <c r="AY8" s="5">
        <f t="shared" si="13"/>
        <v>-30951</v>
      </c>
      <c r="AZ8" s="22">
        <f t="shared" si="14"/>
        <v>0</v>
      </c>
      <c r="BA8" s="21"/>
      <c r="BB8" s="5"/>
      <c r="BC8" s="5">
        <f t="shared" si="15"/>
        <v>0</v>
      </c>
      <c r="BD8" s="22">
        <f t="shared" si="16"/>
        <v>0</v>
      </c>
    </row>
    <row r="9" spans="1:56" x14ac:dyDescent="0.4">
      <c r="A9" s="20">
        <v>5041</v>
      </c>
      <c r="B9" s="2" t="s">
        <v>41</v>
      </c>
      <c r="C9" s="2">
        <v>341</v>
      </c>
      <c r="D9" s="2" t="s">
        <v>42</v>
      </c>
      <c r="E9" s="5">
        <v>16854</v>
      </c>
      <c r="F9" s="5">
        <v>17849</v>
      </c>
      <c r="G9" s="5">
        <v>995</v>
      </c>
      <c r="H9" s="6">
        <v>105.9</v>
      </c>
      <c r="I9" s="5">
        <v>15821</v>
      </c>
      <c r="J9" s="5">
        <v>19514</v>
      </c>
      <c r="K9" s="5">
        <v>3693</v>
      </c>
      <c r="L9" s="6">
        <v>123.35</v>
      </c>
      <c r="M9" s="5">
        <v>15890</v>
      </c>
      <c r="N9" s="5">
        <v>13399</v>
      </c>
      <c r="O9" s="5">
        <v>-15890</v>
      </c>
      <c r="P9" s="6">
        <v>0</v>
      </c>
      <c r="Q9" s="5">
        <v>16026</v>
      </c>
      <c r="R9" s="5">
        <v>16962</v>
      </c>
      <c r="S9" s="5">
        <v>-16026</v>
      </c>
      <c r="T9" s="6">
        <v>0</v>
      </c>
      <c r="U9" s="5">
        <v>16140</v>
      </c>
      <c r="V9" s="5">
        <v>16362</v>
      </c>
      <c r="W9" s="5">
        <v>-16140</v>
      </c>
      <c r="X9" s="6">
        <v>0</v>
      </c>
      <c r="Y9" s="21">
        <v>16209</v>
      </c>
      <c r="Z9" s="5">
        <v>15674</v>
      </c>
      <c r="AA9" s="5">
        <v>-16209</v>
      </c>
      <c r="AB9" s="22">
        <v>0</v>
      </c>
      <c r="AC9" s="21">
        <v>16256</v>
      </c>
      <c r="AD9" s="85">
        <v>5486</v>
      </c>
      <c r="AE9" s="85">
        <v>-16256</v>
      </c>
      <c r="AF9" s="22">
        <v>0</v>
      </c>
      <c r="AG9" s="21">
        <v>16236</v>
      </c>
      <c r="AH9" s="5">
        <v>16764</v>
      </c>
      <c r="AI9" s="5">
        <v>-16236</v>
      </c>
      <c r="AJ9" s="22">
        <v>0</v>
      </c>
      <c r="AK9" s="21">
        <v>16238</v>
      </c>
      <c r="AL9" s="5">
        <v>6141</v>
      </c>
      <c r="AM9" s="5">
        <v>-16238</v>
      </c>
      <c r="AN9" s="22">
        <v>0</v>
      </c>
      <c r="AO9" s="21">
        <v>16352</v>
      </c>
      <c r="AP9" s="5">
        <v>17072</v>
      </c>
      <c r="AQ9" s="5">
        <v>-16352</v>
      </c>
      <c r="AR9" s="22">
        <v>0</v>
      </c>
      <c r="AS9" s="21">
        <v>16310</v>
      </c>
      <c r="AT9" s="5">
        <v>3929</v>
      </c>
      <c r="AU9" s="5">
        <v>-16310</v>
      </c>
      <c r="AV9" s="22">
        <v>0</v>
      </c>
      <c r="AW9" s="21">
        <v>16290</v>
      </c>
      <c r="AX9" s="5"/>
      <c r="AY9" s="5">
        <f t="shared" si="13"/>
        <v>-16290</v>
      </c>
      <c r="AZ9" s="22">
        <f t="shared" ref="AZ9:AZ22" si="17">IF(AW9=0,0,AX9/AW9)</f>
        <v>0</v>
      </c>
      <c r="BA9" s="21"/>
      <c r="BB9" s="5"/>
      <c r="BC9" s="5">
        <f t="shared" si="15"/>
        <v>0</v>
      </c>
      <c r="BD9" s="22">
        <f t="shared" ref="BD9:BD22" si="18">IF(BA9=0,0,BB9/BA9)</f>
        <v>0</v>
      </c>
    </row>
    <row r="10" spans="1:56" x14ac:dyDescent="0.4">
      <c r="A10" s="20">
        <v>5041</v>
      </c>
      <c r="B10" s="2" t="s">
        <v>41</v>
      </c>
      <c r="C10" s="2">
        <v>342</v>
      </c>
      <c r="D10" s="2" t="s">
        <v>43</v>
      </c>
      <c r="E10" s="5">
        <v>18287</v>
      </c>
      <c r="F10" s="5">
        <v>13623</v>
      </c>
      <c r="G10" s="5">
        <v>-4663</v>
      </c>
      <c r="H10" s="6">
        <v>74.5</v>
      </c>
      <c r="I10" s="5">
        <v>18423</v>
      </c>
      <c r="J10" s="5">
        <v>18946</v>
      </c>
      <c r="K10" s="5">
        <v>523</v>
      </c>
      <c r="L10" s="6">
        <v>102.84</v>
      </c>
      <c r="M10" s="5">
        <v>20902</v>
      </c>
      <c r="N10" s="5">
        <v>25121</v>
      </c>
      <c r="O10" s="5">
        <v>-20902</v>
      </c>
      <c r="P10" s="6">
        <v>0</v>
      </c>
      <c r="Q10" s="5">
        <v>20866</v>
      </c>
      <c r="R10" s="5">
        <v>20297</v>
      </c>
      <c r="S10" s="5">
        <v>-20866</v>
      </c>
      <c r="T10" s="6">
        <v>0</v>
      </c>
      <c r="U10" s="5">
        <v>20892</v>
      </c>
      <c r="V10" s="5">
        <v>17723</v>
      </c>
      <c r="W10" s="5">
        <v>-20892</v>
      </c>
      <c r="X10" s="6">
        <v>0</v>
      </c>
      <c r="Y10" s="21">
        <v>21064</v>
      </c>
      <c r="Z10" s="5">
        <v>22323</v>
      </c>
      <c r="AA10" s="5">
        <v>-21064</v>
      </c>
      <c r="AB10" s="22">
        <v>0</v>
      </c>
      <c r="AC10" s="21">
        <v>21029</v>
      </c>
      <c r="AD10" s="85">
        <v>10054</v>
      </c>
      <c r="AE10" s="85">
        <v>-21029</v>
      </c>
      <c r="AF10" s="22">
        <v>0</v>
      </c>
      <c r="AG10" s="21">
        <v>21263</v>
      </c>
      <c r="AH10" s="5">
        <v>18295</v>
      </c>
      <c r="AI10" s="5">
        <v>-21263</v>
      </c>
      <c r="AJ10" s="22">
        <v>0</v>
      </c>
      <c r="AK10" s="21">
        <v>21227</v>
      </c>
      <c r="AL10" s="5">
        <v>3622</v>
      </c>
      <c r="AM10" s="5">
        <v>-21227</v>
      </c>
      <c r="AN10" s="22">
        <v>0</v>
      </c>
      <c r="AO10" s="21">
        <v>22434</v>
      </c>
      <c r="AP10" s="5">
        <v>22309</v>
      </c>
      <c r="AQ10" s="5">
        <v>-22434</v>
      </c>
      <c r="AR10" s="22">
        <v>0</v>
      </c>
      <c r="AS10" s="21">
        <v>22498</v>
      </c>
      <c r="AT10" s="5">
        <v>1576</v>
      </c>
      <c r="AU10" s="5">
        <v>-22498</v>
      </c>
      <c r="AV10" s="22">
        <v>0</v>
      </c>
      <c r="AW10" s="21">
        <v>22478</v>
      </c>
      <c r="AX10" s="5"/>
      <c r="AY10" s="5">
        <f t="shared" si="13"/>
        <v>-22478</v>
      </c>
      <c r="AZ10" s="22">
        <f t="shared" si="17"/>
        <v>0</v>
      </c>
      <c r="BA10" s="21"/>
      <c r="BB10" s="5"/>
      <c r="BC10" s="5">
        <f t="shared" si="15"/>
        <v>0</v>
      </c>
      <c r="BD10" s="22">
        <f t="shared" si="18"/>
        <v>0</v>
      </c>
    </row>
    <row r="11" spans="1:56" x14ac:dyDescent="0.4">
      <c r="A11" s="23">
        <v>5041</v>
      </c>
      <c r="B11" s="24" t="s">
        <v>41</v>
      </c>
      <c r="C11" s="24">
        <v>350</v>
      </c>
      <c r="D11" s="24" t="s">
        <v>4</v>
      </c>
      <c r="E11" s="25">
        <v>14708</v>
      </c>
      <c r="F11" s="25">
        <v>18886</v>
      </c>
      <c r="G11" s="25">
        <v>4178</v>
      </c>
      <c r="H11" s="26">
        <v>128.41</v>
      </c>
      <c r="I11" s="25">
        <v>16004</v>
      </c>
      <c r="J11" s="25">
        <v>18413</v>
      </c>
      <c r="K11" s="25">
        <v>2409</v>
      </c>
      <c r="L11" s="26">
        <v>115.05</v>
      </c>
      <c r="M11" s="25">
        <v>14843</v>
      </c>
      <c r="N11" s="25">
        <v>18160</v>
      </c>
      <c r="O11" s="25">
        <v>-14843</v>
      </c>
      <c r="P11" s="6">
        <v>0</v>
      </c>
      <c r="Q11" s="25">
        <v>16118</v>
      </c>
      <c r="R11" s="25">
        <v>16988</v>
      </c>
      <c r="S11" s="25">
        <v>-16118</v>
      </c>
      <c r="T11" s="6">
        <v>0</v>
      </c>
      <c r="U11" s="25">
        <v>16338</v>
      </c>
      <c r="V11" s="25">
        <v>21507</v>
      </c>
      <c r="W11" s="25">
        <v>-16338</v>
      </c>
      <c r="X11" s="26">
        <v>0</v>
      </c>
      <c r="Y11" s="27">
        <v>16554</v>
      </c>
      <c r="Z11" s="25">
        <v>17889</v>
      </c>
      <c r="AA11" s="25">
        <v>-16554</v>
      </c>
      <c r="AB11" s="28">
        <v>0</v>
      </c>
      <c r="AC11" s="27">
        <v>18070</v>
      </c>
      <c r="AD11" s="86">
        <v>9255</v>
      </c>
      <c r="AE11" s="86">
        <v>-18070</v>
      </c>
      <c r="AF11" s="28">
        <v>0</v>
      </c>
      <c r="AG11" s="27">
        <v>17105</v>
      </c>
      <c r="AH11" s="25">
        <v>25109</v>
      </c>
      <c r="AI11" s="25">
        <v>-17105</v>
      </c>
      <c r="AJ11" s="28">
        <v>0</v>
      </c>
      <c r="AK11" s="27">
        <v>17129</v>
      </c>
      <c r="AL11" s="25">
        <v>2712</v>
      </c>
      <c r="AM11" s="25">
        <v>-17129</v>
      </c>
      <c r="AN11" s="28">
        <v>0</v>
      </c>
      <c r="AO11" s="27">
        <v>16098</v>
      </c>
      <c r="AP11" s="25">
        <v>26389</v>
      </c>
      <c r="AQ11" s="25">
        <v>-16098</v>
      </c>
      <c r="AR11" s="28">
        <v>0</v>
      </c>
      <c r="AS11" s="27">
        <v>17330</v>
      </c>
      <c r="AT11" s="25">
        <v>6950</v>
      </c>
      <c r="AU11" s="25">
        <v>-17330</v>
      </c>
      <c r="AV11" s="28">
        <v>0</v>
      </c>
      <c r="AW11" s="27">
        <v>16190</v>
      </c>
      <c r="AX11" s="25"/>
      <c r="AY11" s="25">
        <f t="shared" si="13"/>
        <v>-16190</v>
      </c>
      <c r="AZ11" s="28">
        <f t="shared" si="17"/>
        <v>0</v>
      </c>
      <c r="BA11" s="27"/>
      <c r="BB11" s="25"/>
      <c r="BC11" s="25">
        <f t="shared" si="15"/>
        <v>0</v>
      </c>
      <c r="BD11" s="28">
        <f t="shared" si="18"/>
        <v>0</v>
      </c>
    </row>
    <row r="12" spans="1:56" x14ac:dyDescent="0.4">
      <c r="A12" s="14">
        <v>5051</v>
      </c>
      <c r="B12" s="15" t="s">
        <v>44</v>
      </c>
      <c r="C12" s="15"/>
      <c r="D12" s="15" t="s">
        <v>44</v>
      </c>
      <c r="E12" s="16">
        <f>SUM(E13:E18)</f>
        <v>26863</v>
      </c>
      <c r="F12" s="16">
        <f>SUM(F13:F18)</f>
        <v>22013</v>
      </c>
      <c r="G12" s="16">
        <f>F12-E12</f>
        <v>-4850</v>
      </c>
      <c r="H12" s="17">
        <f t="shared" si="0"/>
        <v>0.81945426795220189</v>
      </c>
      <c r="I12" s="16">
        <f>SUM(I13:I18)</f>
        <v>30178</v>
      </c>
      <c r="J12" s="16">
        <f>SUM(J13:J18)</f>
        <v>17638</v>
      </c>
      <c r="K12" s="16">
        <f>J12-I12</f>
        <v>-12540</v>
      </c>
      <c r="L12" s="17">
        <f t="shared" si="1"/>
        <v>0.58446550467227787</v>
      </c>
      <c r="M12" s="16">
        <f>SUM(M13:M18)</f>
        <v>30924</v>
      </c>
      <c r="N12" s="16">
        <f>SUM(N13:N18)</f>
        <v>9942</v>
      </c>
      <c r="O12" s="16">
        <f>N12-M12</f>
        <v>-20982</v>
      </c>
      <c r="P12" s="17">
        <f t="shared" ref="P12:P41" si="19">IF(M12=0,0,N12/M12)</f>
        <v>0.32149786573535116</v>
      </c>
      <c r="Q12" s="16">
        <f>SUM(Q13:Q18)</f>
        <v>30924</v>
      </c>
      <c r="R12" s="16">
        <f>SUM(R13:R18)</f>
        <v>20043</v>
      </c>
      <c r="S12" s="16">
        <f>R12-Q12</f>
        <v>-10881</v>
      </c>
      <c r="T12" s="17">
        <f t="shared" ref="T12:T41" si="20">IF(Q12=0,0,R12/Q12)</f>
        <v>0.64813736903376018</v>
      </c>
      <c r="U12" s="16">
        <f>SUM(U13:U18)</f>
        <v>31672</v>
      </c>
      <c r="V12" s="16">
        <f>SUM(V13:V18)</f>
        <v>15926</v>
      </c>
      <c r="W12" s="16">
        <f>V12-U12</f>
        <v>-15746</v>
      </c>
      <c r="X12" s="17">
        <f t="shared" si="4"/>
        <v>0.50284162667340238</v>
      </c>
      <c r="Y12" s="18">
        <f>SUM(Y13:Y18)</f>
        <v>32776</v>
      </c>
      <c r="Z12" s="16">
        <f>SUM(Z13:Z18)</f>
        <v>15585</v>
      </c>
      <c r="AA12" s="16">
        <f>Z12-Y12</f>
        <v>-17191</v>
      </c>
      <c r="AB12" s="19">
        <f t="shared" si="5"/>
        <v>0.47550036612155233</v>
      </c>
      <c r="AC12" s="18">
        <f>SUM(AC13:AC18)</f>
        <v>33533</v>
      </c>
      <c r="AD12" s="84">
        <f>SUM(AD13:AD18)</f>
        <v>17665</v>
      </c>
      <c r="AE12" s="84">
        <f>AD12-AC12</f>
        <v>-15868</v>
      </c>
      <c r="AF12" s="19">
        <f t="shared" si="6"/>
        <v>0.52679450093937319</v>
      </c>
      <c r="AG12" s="18">
        <f>SUM(AG13:AG18)</f>
        <v>35386</v>
      </c>
      <c r="AH12" s="16">
        <f>SUM(AH13:AH18)</f>
        <v>23723</v>
      </c>
      <c r="AI12" s="16">
        <f>AH12-AG12</f>
        <v>-11663</v>
      </c>
      <c r="AJ12" s="19">
        <f t="shared" si="7"/>
        <v>0.67040637540270165</v>
      </c>
      <c r="AK12" s="18">
        <f>SUM(AK13:AK18)</f>
        <v>35699</v>
      </c>
      <c r="AL12" s="16">
        <f>SUM(AL13:AL18)</f>
        <v>17810</v>
      </c>
      <c r="AM12" s="16">
        <f>AL12-AK12</f>
        <v>-17889</v>
      </c>
      <c r="AN12" s="19">
        <f t="shared" ref="AN12" si="21">IF(AK12=0,0,AL12/AK12)</f>
        <v>0.49889352642931173</v>
      </c>
      <c r="AO12" s="18">
        <f>SUM(AO13:AO18)</f>
        <v>35342</v>
      </c>
      <c r="AP12" s="16">
        <f>SUM(AP13:AP18)</f>
        <v>16712</v>
      </c>
      <c r="AQ12" s="16">
        <f>AP12-AO12</f>
        <v>-18630</v>
      </c>
      <c r="AR12" s="19">
        <f t="shared" ref="AR12" si="22">IF(AO12=0,0,AP12/AO12)</f>
        <v>0.47286514628487353</v>
      </c>
      <c r="AS12" s="18">
        <f>SUM(AS13:AS18)</f>
        <v>36100</v>
      </c>
      <c r="AT12" s="16">
        <f>SUM(AT13:AT18)</f>
        <v>5997</v>
      </c>
      <c r="AU12" s="16">
        <f>AT12-AS12</f>
        <v>-30103</v>
      </c>
      <c r="AV12" s="19">
        <f t="shared" ref="AV12" si="23">IF(AS12=0,0,AT12/AS12)</f>
        <v>0.16612188365650971</v>
      </c>
      <c r="AW12" s="18">
        <f>SUM(AW13:AW18)</f>
        <v>36847</v>
      </c>
      <c r="AX12" s="16">
        <f>SUM(AX13:AX18)</f>
        <v>0</v>
      </c>
      <c r="AY12" s="16">
        <f>AX12-AW12</f>
        <v>-36847</v>
      </c>
      <c r="AZ12" s="19">
        <f t="shared" si="17"/>
        <v>0</v>
      </c>
      <c r="BA12" s="18">
        <f>SUM(BA13:BA18)</f>
        <v>0</v>
      </c>
      <c r="BB12" s="16">
        <f>SUM(BB13:BB18)</f>
        <v>0</v>
      </c>
      <c r="BC12" s="16">
        <f>BB12-BA12</f>
        <v>0</v>
      </c>
      <c r="BD12" s="19">
        <f t="shared" si="18"/>
        <v>0</v>
      </c>
    </row>
    <row r="13" spans="1:56" x14ac:dyDescent="0.4">
      <c r="A13" s="20">
        <v>5051</v>
      </c>
      <c r="B13" s="2" t="s">
        <v>80</v>
      </c>
      <c r="C13" s="2">
        <v>310</v>
      </c>
      <c r="D13" s="2" t="s">
        <v>1</v>
      </c>
      <c r="E13" s="5">
        <v>1105</v>
      </c>
      <c r="F13" s="5">
        <v>1104</v>
      </c>
      <c r="G13" s="5">
        <v>0</v>
      </c>
      <c r="H13" s="6">
        <v>99.96</v>
      </c>
      <c r="I13" s="5">
        <v>1105</v>
      </c>
      <c r="J13" s="5">
        <v>1104</v>
      </c>
      <c r="K13" s="5">
        <v>0</v>
      </c>
      <c r="L13" s="6">
        <v>99.96</v>
      </c>
      <c r="M13" s="5">
        <v>2209</v>
      </c>
      <c r="N13" s="5">
        <v>2209</v>
      </c>
      <c r="O13" s="5">
        <v>-2209</v>
      </c>
      <c r="P13" s="6">
        <v>0</v>
      </c>
      <c r="Q13" s="5">
        <v>2209</v>
      </c>
      <c r="R13" s="5">
        <v>2209</v>
      </c>
      <c r="S13" s="5">
        <v>-2209</v>
      </c>
      <c r="T13" s="6">
        <v>0</v>
      </c>
      <c r="U13" s="5">
        <v>1105</v>
      </c>
      <c r="V13" s="5">
        <v>1105</v>
      </c>
      <c r="W13" s="5">
        <v>-1105</v>
      </c>
      <c r="X13" s="6">
        <v>0</v>
      </c>
      <c r="Y13" s="21">
        <v>2209</v>
      </c>
      <c r="Z13" s="5">
        <v>1105</v>
      </c>
      <c r="AA13" s="5">
        <v>-2209</v>
      </c>
      <c r="AB13" s="22">
        <v>0</v>
      </c>
      <c r="AC13" s="21">
        <v>2209</v>
      </c>
      <c r="AD13" s="85">
        <v>0</v>
      </c>
      <c r="AE13" s="5">
        <v>-2209</v>
      </c>
      <c r="AF13" s="22">
        <v>0</v>
      </c>
      <c r="AG13" s="21">
        <v>2209</v>
      </c>
      <c r="AH13" s="5">
        <v>2600</v>
      </c>
      <c r="AI13" s="5">
        <v>-2209</v>
      </c>
      <c r="AJ13" s="22">
        <v>0</v>
      </c>
      <c r="AK13" s="21">
        <v>2209</v>
      </c>
      <c r="AL13" s="5">
        <v>0</v>
      </c>
      <c r="AM13" s="5">
        <v>-2209</v>
      </c>
      <c r="AN13" s="22">
        <v>0</v>
      </c>
      <c r="AO13" s="21">
        <v>2209</v>
      </c>
      <c r="AP13" s="5">
        <v>1105</v>
      </c>
      <c r="AQ13" s="5">
        <v>-2209</v>
      </c>
      <c r="AR13" s="22">
        <v>0</v>
      </c>
      <c r="AS13" s="21">
        <v>1105</v>
      </c>
      <c r="AT13" s="5">
        <v>0</v>
      </c>
      <c r="AU13" s="5">
        <v>-1105</v>
      </c>
      <c r="AV13" s="22">
        <v>0</v>
      </c>
      <c r="AW13" s="21">
        <v>2209</v>
      </c>
      <c r="AX13" s="5"/>
      <c r="AY13" s="5">
        <f t="shared" ref="AY13:AY18" si="24">AX13-AW13</f>
        <v>-2209</v>
      </c>
      <c r="AZ13" s="22">
        <f t="shared" si="17"/>
        <v>0</v>
      </c>
      <c r="BA13" s="21"/>
      <c r="BB13" s="5"/>
      <c r="BC13" s="5">
        <f t="shared" ref="BC13:BC18" si="25">BB13-BA13</f>
        <v>0</v>
      </c>
      <c r="BD13" s="22">
        <f t="shared" si="18"/>
        <v>0</v>
      </c>
    </row>
    <row r="14" spans="1:56" x14ac:dyDescent="0.4">
      <c r="A14" s="20">
        <v>5051</v>
      </c>
      <c r="B14" s="2" t="s">
        <v>45</v>
      </c>
      <c r="C14" s="2">
        <v>320</v>
      </c>
      <c r="D14" s="2" t="s">
        <v>2</v>
      </c>
      <c r="E14" s="5">
        <v>4760</v>
      </c>
      <c r="F14" s="5">
        <v>3609</v>
      </c>
      <c r="G14" s="5">
        <v>-1150</v>
      </c>
      <c r="H14" s="6">
        <v>75.819999999999993</v>
      </c>
      <c r="I14" s="5">
        <v>4760</v>
      </c>
      <c r="J14" s="5">
        <v>3609</v>
      </c>
      <c r="K14" s="5">
        <v>-1150</v>
      </c>
      <c r="L14" s="6">
        <v>75.819999999999993</v>
      </c>
      <c r="M14" s="5">
        <v>4760</v>
      </c>
      <c r="N14" s="5">
        <v>3314</v>
      </c>
      <c r="O14" s="5">
        <v>-4760</v>
      </c>
      <c r="P14" s="6">
        <v>0</v>
      </c>
      <c r="Q14" s="5">
        <v>4760</v>
      </c>
      <c r="R14" s="5">
        <v>3609</v>
      </c>
      <c r="S14" s="5">
        <v>-4760</v>
      </c>
      <c r="T14" s="6">
        <v>0</v>
      </c>
      <c r="U14" s="5">
        <v>4760</v>
      </c>
      <c r="V14" s="5">
        <v>4418</v>
      </c>
      <c r="W14" s="5">
        <v>-4760</v>
      </c>
      <c r="X14" s="6">
        <v>0</v>
      </c>
      <c r="Y14" s="21">
        <v>4760</v>
      </c>
      <c r="Z14" s="5">
        <v>1105</v>
      </c>
      <c r="AA14" s="5">
        <v>-4760</v>
      </c>
      <c r="AB14" s="22">
        <v>0</v>
      </c>
      <c r="AC14" s="21">
        <v>4760</v>
      </c>
      <c r="AD14" s="85">
        <v>8750</v>
      </c>
      <c r="AE14" s="5">
        <v>-4760</v>
      </c>
      <c r="AF14" s="22">
        <v>0</v>
      </c>
      <c r="AG14" s="21">
        <v>4760</v>
      </c>
      <c r="AH14" s="5">
        <v>6923</v>
      </c>
      <c r="AI14" s="5">
        <v>-4760</v>
      </c>
      <c r="AJ14" s="22">
        <v>0</v>
      </c>
      <c r="AK14" s="21">
        <v>4760</v>
      </c>
      <c r="AL14" s="5">
        <v>6291</v>
      </c>
      <c r="AM14" s="5">
        <v>-4760</v>
      </c>
      <c r="AN14" s="22">
        <v>0</v>
      </c>
      <c r="AO14" s="21">
        <v>4760</v>
      </c>
      <c r="AP14" s="5">
        <v>6110</v>
      </c>
      <c r="AQ14" s="5">
        <v>-4760</v>
      </c>
      <c r="AR14" s="22">
        <v>0</v>
      </c>
      <c r="AS14" s="21">
        <v>4760</v>
      </c>
      <c r="AT14" s="5">
        <v>1105</v>
      </c>
      <c r="AU14" s="5">
        <v>-4760</v>
      </c>
      <c r="AV14" s="22">
        <v>0</v>
      </c>
      <c r="AW14" s="21">
        <v>4760</v>
      </c>
      <c r="AX14" s="5"/>
      <c r="AY14" s="5">
        <f t="shared" si="24"/>
        <v>-4760</v>
      </c>
      <c r="AZ14" s="22">
        <f t="shared" si="17"/>
        <v>0</v>
      </c>
      <c r="BA14" s="21"/>
      <c r="BB14" s="5"/>
      <c r="BC14" s="5">
        <f t="shared" si="25"/>
        <v>0</v>
      </c>
      <c r="BD14" s="22">
        <f t="shared" si="18"/>
        <v>0</v>
      </c>
    </row>
    <row r="15" spans="1:56" x14ac:dyDescent="0.4">
      <c r="A15" s="20">
        <v>5051</v>
      </c>
      <c r="B15" s="2" t="s">
        <v>45</v>
      </c>
      <c r="C15" s="2">
        <v>330</v>
      </c>
      <c r="D15" s="2" t="s">
        <v>3</v>
      </c>
      <c r="E15" s="5">
        <v>6238</v>
      </c>
      <c r="F15" s="5">
        <v>4727</v>
      </c>
      <c r="G15" s="5">
        <v>-1510</v>
      </c>
      <c r="H15" s="6">
        <v>75.78</v>
      </c>
      <c r="I15" s="5">
        <v>6238</v>
      </c>
      <c r="J15" s="5">
        <v>4942</v>
      </c>
      <c r="K15" s="5">
        <v>-1295</v>
      </c>
      <c r="L15" s="6">
        <v>79.23</v>
      </c>
      <c r="M15" s="5">
        <v>5880</v>
      </c>
      <c r="N15" s="5">
        <v>2209</v>
      </c>
      <c r="O15" s="5">
        <v>-5880</v>
      </c>
      <c r="P15" s="6">
        <v>0</v>
      </c>
      <c r="Q15" s="5">
        <v>5880</v>
      </c>
      <c r="R15" s="5">
        <v>3522</v>
      </c>
      <c r="S15" s="5">
        <v>-5880</v>
      </c>
      <c r="T15" s="6">
        <v>0</v>
      </c>
      <c r="U15" s="5">
        <v>6628</v>
      </c>
      <c r="V15" s="5">
        <v>1105</v>
      </c>
      <c r="W15" s="5">
        <v>-6628</v>
      </c>
      <c r="X15" s="6">
        <v>0</v>
      </c>
      <c r="Y15" s="21">
        <v>6628</v>
      </c>
      <c r="Z15" s="5">
        <v>3725</v>
      </c>
      <c r="AA15" s="5">
        <v>-6628</v>
      </c>
      <c r="AB15" s="22">
        <v>0</v>
      </c>
      <c r="AC15" s="21">
        <v>5880</v>
      </c>
      <c r="AD15" s="85">
        <v>1105</v>
      </c>
      <c r="AE15" s="5">
        <v>-5880</v>
      </c>
      <c r="AF15" s="22">
        <v>0</v>
      </c>
      <c r="AG15" s="21">
        <v>6628</v>
      </c>
      <c r="AH15" s="5">
        <v>1105</v>
      </c>
      <c r="AI15" s="5">
        <v>-6628</v>
      </c>
      <c r="AJ15" s="22">
        <v>0</v>
      </c>
      <c r="AK15" s="21">
        <v>8447</v>
      </c>
      <c r="AL15" s="5">
        <v>1105</v>
      </c>
      <c r="AM15" s="5">
        <v>-8447</v>
      </c>
      <c r="AN15" s="22">
        <v>0</v>
      </c>
      <c r="AO15" s="21">
        <v>8090</v>
      </c>
      <c r="AP15" s="5">
        <v>4881</v>
      </c>
      <c r="AQ15" s="5">
        <v>-8090</v>
      </c>
      <c r="AR15" s="22">
        <v>0</v>
      </c>
      <c r="AS15" s="21">
        <v>8447</v>
      </c>
      <c r="AT15" s="5">
        <v>2209</v>
      </c>
      <c r="AU15" s="5">
        <v>-8447</v>
      </c>
      <c r="AV15" s="22">
        <v>0</v>
      </c>
      <c r="AW15" s="21">
        <v>6985</v>
      </c>
      <c r="AX15" s="5"/>
      <c r="AY15" s="5">
        <f t="shared" si="24"/>
        <v>-6985</v>
      </c>
      <c r="AZ15" s="22">
        <f t="shared" si="17"/>
        <v>0</v>
      </c>
      <c r="BA15" s="21"/>
      <c r="BB15" s="5"/>
      <c r="BC15" s="5">
        <f t="shared" si="25"/>
        <v>0</v>
      </c>
      <c r="BD15" s="22">
        <f t="shared" si="18"/>
        <v>0</v>
      </c>
    </row>
    <row r="16" spans="1:56" x14ac:dyDescent="0.4">
      <c r="A16" s="20">
        <v>5051</v>
      </c>
      <c r="B16" s="2" t="s">
        <v>45</v>
      </c>
      <c r="C16" s="2">
        <v>341</v>
      </c>
      <c r="D16" s="2" t="s">
        <v>42</v>
      </c>
      <c r="E16" s="5">
        <v>2209</v>
      </c>
      <c r="F16" s="5">
        <v>1329</v>
      </c>
      <c r="G16" s="5">
        <v>-879</v>
      </c>
      <c r="H16" s="6">
        <v>60.17</v>
      </c>
      <c r="I16" s="5">
        <v>3314</v>
      </c>
      <c r="J16" s="5">
        <v>0</v>
      </c>
      <c r="K16" s="5">
        <v>-3314</v>
      </c>
      <c r="L16" s="6">
        <v>0</v>
      </c>
      <c r="M16" s="5">
        <v>3314</v>
      </c>
      <c r="N16" s="5">
        <v>0</v>
      </c>
      <c r="O16" s="5">
        <v>-3314</v>
      </c>
      <c r="P16" s="6">
        <v>0</v>
      </c>
      <c r="Q16" s="5">
        <v>3314</v>
      </c>
      <c r="R16" s="5">
        <v>1105</v>
      </c>
      <c r="S16" s="5">
        <v>-3314</v>
      </c>
      <c r="T16" s="6">
        <v>0</v>
      </c>
      <c r="U16" s="5">
        <v>3314</v>
      </c>
      <c r="V16" s="29">
        <v>1105</v>
      </c>
      <c r="W16" s="5">
        <v>-3314</v>
      </c>
      <c r="X16" s="6">
        <v>0</v>
      </c>
      <c r="Y16" s="21">
        <v>3314</v>
      </c>
      <c r="Z16" s="29">
        <v>1105</v>
      </c>
      <c r="AA16" s="5">
        <v>-3314</v>
      </c>
      <c r="AB16" s="22">
        <v>0</v>
      </c>
      <c r="AC16" s="21">
        <v>3314</v>
      </c>
      <c r="AD16" s="87">
        <v>1105</v>
      </c>
      <c r="AE16" s="5">
        <v>-3314</v>
      </c>
      <c r="AF16" s="22">
        <v>0</v>
      </c>
      <c r="AG16" s="21">
        <v>3314</v>
      </c>
      <c r="AH16" s="29">
        <v>1105</v>
      </c>
      <c r="AI16" s="5">
        <v>-3314</v>
      </c>
      <c r="AJ16" s="22">
        <v>0</v>
      </c>
      <c r="AK16" s="21">
        <v>4418</v>
      </c>
      <c r="AL16" s="29">
        <v>2209</v>
      </c>
      <c r="AM16" s="5">
        <v>-4418</v>
      </c>
      <c r="AN16" s="22">
        <v>0</v>
      </c>
      <c r="AO16" s="21">
        <v>3314</v>
      </c>
      <c r="AP16" s="29">
        <v>1105</v>
      </c>
      <c r="AQ16" s="5">
        <v>-3314</v>
      </c>
      <c r="AR16" s="22">
        <v>0</v>
      </c>
      <c r="AS16" s="21">
        <v>3314</v>
      </c>
      <c r="AT16" s="29">
        <v>0</v>
      </c>
      <c r="AU16" s="5">
        <v>-3314</v>
      </c>
      <c r="AV16" s="22">
        <v>0</v>
      </c>
      <c r="AW16" s="21">
        <v>3314</v>
      </c>
      <c r="AX16" s="29"/>
      <c r="AY16" s="5">
        <f t="shared" si="24"/>
        <v>-3314</v>
      </c>
      <c r="AZ16" s="22">
        <f t="shared" si="17"/>
        <v>0</v>
      </c>
      <c r="BA16" s="21"/>
      <c r="BB16" s="29"/>
      <c r="BC16" s="5">
        <f t="shared" si="25"/>
        <v>0</v>
      </c>
      <c r="BD16" s="22">
        <f t="shared" si="18"/>
        <v>0</v>
      </c>
    </row>
    <row r="17" spans="1:56" x14ac:dyDescent="0.4">
      <c r="A17" s="20">
        <v>5051</v>
      </c>
      <c r="B17" s="2" t="s">
        <v>45</v>
      </c>
      <c r="C17" s="2">
        <v>342</v>
      </c>
      <c r="D17" s="2" t="s">
        <v>43</v>
      </c>
      <c r="E17" s="5">
        <v>4418</v>
      </c>
      <c r="F17" s="5">
        <v>7931</v>
      </c>
      <c r="G17" s="5">
        <v>3513</v>
      </c>
      <c r="H17" s="6">
        <v>179.52</v>
      </c>
      <c r="I17" s="5">
        <v>6628</v>
      </c>
      <c r="J17" s="5">
        <v>3565</v>
      </c>
      <c r="K17" s="5">
        <v>-3062</v>
      </c>
      <c r="L17" s="6">
        <v>53.8</v>
      </c>
      <c r="M17" s="5">
        <v>6628</v>
      </c>
      <c r="N17" s="5">
        <v>1105</v>
      </c>
      <c r="O17" s="5">
        <v>-6628</v>
      </c>
      <c r="P17" s="6">
        <v>0</v>
      </c>
      <c r="Q17" s="5">
        <v>6628</v>
      </c>
      <c r="R17" s="5">
        <v>4965</v>
      </c>
      <c r="S17" s="5">
        <v>-6628</v>
      </c>
      <c r="T17" s="6">
        <v>0</v>
      </c>
      <c r="U17" s="5">
        <v>7732</v>
      </c>
      <c r="V17" s="5">
        <v>4655</v>
      </c>
      <c r="W17" s="5">
        <v>-7732</v>
      </c>
      <c r="X17" s="6">
        <v>0</v>
      </c>
      <c r="Y17" s="21">
        <v>7732</v>
      </c>
      <c r="Z17" s="5">
        <v>5034</v>
      </c>
      <c r="AA17" s="5">
        <v>-7732</v>
      </c>
      <c r="AB17" s="22">
        <v>0</v>
      </c>
      <c r="AC17" s="21">
        <v>6628</v>
      </c>
      <c r="AD17" s="85">
        <v>6705</v>
      </c>
      <c r="AE17" s="5">
        <v>-6628</v>
      </c>
      <c r="AF17" s="22">
        <v>0</v>
      </c>
      <c r="AG17" s="21">
        <v>6628</v>
      </c>
      <c r="AH17" s="5">
        <v>7098</v>
      </c>
      <c r="AI17" s="5">
        <v>-6628</v>
      </c>
      <c r="AJ17" s="22">
        <v>0</v>
      </c>
      <c r="AK17" s="21">
        <v>6628</v>
      </c>
      <c r="AL17" s="5">
        <v>4418</v>
      </c>
      <c r="AM17" s="5">
        <v>-6628</v>
      </c>
      <c r="AN17" s="22">
        <v>0</v>
      </c>
      <c r="AO17" s="21">
        <v>7732</v>
      </c>
      <c r="AP17" s="5">
        <v>3511</v>
      </c>
      <c r="AQ17" s="5">
        <v>-7732</v>
      </c>
      <c r="AR17" s="22">
        <v>0</v>
      </c>
      <c r="AS17" s="21">
        <v>7732</v>
      </c>
      <c r="AT17" s="5">
        <v>0</v>
      </c>
      <c r="AU17" s="5">
        <v>-7732</v>
      </c>
      <c r="AV17" s="22">
        <v>0</v>
      </c>
      <c r="AW17" s="21">
        <v>7732</v>
      </c>
      <c r="AX17" s="5"/>
      <c r="AY17" s="5">
        <f t="shared" si="24"/>
        <v>-7732</v>
      </c>
      <c r="AZ17" s="22">
        <f t="shared" si="17"/>
        <v>0</v>
      </c>
      <c r="BA17" s="21"/>
      <c r="BB17" s="5"/>
      <c r="BC17" s="5">
        <f t="shared" si="25"/>
        <v>0</v>
      </c>
      <c r="BD17" s="22">
        <f t="shared" si="18"/>
        <v>0</v>
      </c>
    </row>
    <row r="18" spans="1:56" x14ac:dyDescent="0.4">
      <c r="A18" s="23">
        <v>5051</v>
      </c>
      <c r="B18" s="24" t="s">
        <v>45</v>
      </c>
      <c r="C18" s="24">
        <v>350</v>
      </c>
      <c r="D18" s="24" t="s">
        <v>4</v>
      </c>
      <c r="E18" s="25">
        <v>8133</v>
      </c>
      <c r="F18" s="25">
        <v>3313</v>
      </c>
      <c r="G18" s="25">
        <v>-4819</v>
      </c>
      <c r="H18" s="26">
        <v>40.75</v>
      </c>
      <c r="I18" s="25">
        <v>8133</v>
      </c>
      <c r="J18" s="25">
        <v>4418</v>
      </c>
      <c r="K18" s="25">
        <v>-3714</v>
      </c>
      <c r="L18" s="26">
        <v>54.33</v>
      </c>
      <c r="M18" s="25">
        <v>8133</v>
      </c>
      <c r="N18" s="25">
        <v>1105</v>
      </c>
      <c r="O18" s="25">
        <v>-8133</v>
      </c>
      <c r="P18" s="26">
        <v>0</v>
      </c>
      <c r="Q18" s="25">
        <v>8133</v>
      </c>
      <c r="R18" s="25">
        <v>4633</v>
      </c>
      <c r="S18" s="5">
        <v>-8133</v>
      </c>
      <c r="T18" s="26">
        <v>0</v>
      </c>
      <c r="U18" s="25">
        <v>8133</v>
      </c>
      <c r="V18" s="25">
        <v>3538</v>
      </c>
      <c r="W18" s="5">
        <v>-8133</v>
      </c>
      <c r="X18" s="26">
        <v>0</v>
      </c>
      <c r="Y18" s="27">
        <v>8133</v>
      </c>
      <c r="Z18" s="25">
        <v>3511</v>
      </c>
      <c r="AA18" s="5">
        <v>-8133</v>
      </c>
      <c r="AB18" s="28">
        <v>0</v>
      </c>
      <c r="AC18" s="27">
        <v>10742</v>
      </c>
      <c r="AD18" s="86">
        <v>0</v>
      </c>
      <c r="AE18" s="5">
        <v>-10742</v>
      </c>
      <c r="AF18" s="28">
        <v>0</v>
      </c>
      <c r="AG18" s="27">
        <v>11847</v>
      </c>
      <c r="AH18" s="25">
        <v>4892</v>
      </c>
      <c r="AI18" s="5">
        <v>-11847</v>
      </c>
      <c r="AJ18" s="28">
        <v>0</v>
      </c>
      <c r="AK18" s="27">
        <v>9237</v>
      </c>
      <c r="AL18" s="25">
        <v>3787</v>
      </c>
      <c r="AM18" s="5">
        <v>-9237</v>
      </c>
      <c r="AN18" s="28">
        <v>0</v>
      </c>
      <c r="AO18" s="27">
        <v>9237</v>
      </c>
      <c r="AP18" s="25">
        <v>0</v>
      </c>
      <c r="AQ18" s="5">
        <v>-9237</v>
      </c>
      <c r="AR18" s="28">
        <v>0</v>
      </c>
      <c r="AS18" s="27">
        <v>10742</v>
      </c>
      <c r="AT18" s="25">
        <v>2683</v>
      </c>
      <c r="AU18" s="5">
        <v>-10742</v>
      </c>
      <c r="AV18" s="28">
        <v>0</v>
      </c>
      <c r="AW18" s="27">
        <v>11847</v>
      </c>
      <c r="AX18" s="25"/>
      <c r="AY18" s="5">
        <f t="shared" si="24"/>
        <v>-11847</v>
      </c>
      <c r="AZ18" s="28">
        <f t="shared" si="17"/>
        <v>0</v>
      </c>
      <c r="BA18" s="27"/>
      <c r="BB18" s="25"/>
      <c r="BC18" s="5">
        <f t="shared" si="25"/>
        <v>0</v>
      </c>
      <c r="BD18" s="28">
        <f t="shared" si="18"/>
        <v>0</v>
      </c>
    </row>
    <row r="19" spans="1:56" x14ac:dyDescent="0.4">
      <c r="A19" s="14">
        <v>5114</v>
      </c>
      <c r="B19" s="15" t="s">
        <v>8</v>
      </c>
      <c r="C19" s="15"/>
      <c r="D19" s="15" t="s">
        <v>73</v>
      </c>
      <c r="E19" s="16">
        <v>137</v>
      </c>
      <c r="F19" s="16">
        <v>518</v>
      </c>
      <c r="G19" s="16">
        <v>381</v>
      </c>
      <c r="H19" s="17">
        <v>378.53</v>
      </c>
      <c r="I19" s="16">
        <v>137</v>
      </c>
      <c r="J19" s="16">
        <v>438</v>
      </c>
      <c r="K19" s="16">
        <v>301</v>
      </c>
      <c r="L19" s="17">
        <v>319.95999999999998</v>
      </c>
      <c r="M19" s="16">
        <v>137</v>
      </c>
      <c r="N19" s="16">
        <v>0</v>
      </c>
      <c r="O19" s="16">
        <v>-137</v>
      </c>
      <c r="P19" s="17">
        <v>0</v>
      </c>
      <c r="Q19" s="16">
        <v>137</v>
      </c>
      <c r="R19" s="16">
        <v>0</v>
      </c>
      <c r="S19" s="16">
        <v>-137</v>
      </c>
      <c r="T19" s="17">
        <v>0</v>
      </c>
      <c r="U19" s="16">
        <v>137</v>
      </c>
      <c r="V19" s="16">
        <v>0</v>
      </c>
      <c r="W19" s="16">
        <v>-137</v>
      </c>
      <c r="X19" s="17">
        <v>0</v>
      </c>
      <c r="Y19" s="18">
        <v>137</v>
      </c>
      <c r="Z19" s="16">
        <v>0</v>
      </c>
      <c r="AA19" s="16">
        <v>-137</v>
      </c>
      <c r="AB19" s="19">
        <v>0</v>
      </c>
      <c r="AC19" s="18">
        <v>137</v>
      </c>
      <c r="AD19" s="84">
        <v>0</v>
      </c>
      <c r="AE19" s="84">
        <v>-137</v>
      </c>
      <c r="AF19" s="19">
        <v>0</v>
      </c>
      <c r="AG19" s="18">
        <v>137</v>
      </c>
      <c r="AH19" s="16">
        <v>0</v>
      </c>
      <c r="AI19" s="16">
        <v>-137</v>
      </c>
      <c r="AJ19" s="19">
        <v>0</v>
      </c>
      <c r="AK19" s="18">
        <v>137</v>
      </c>
      <c r="AL19" s="16">
        <v>0</v>
      </c>
      <c r="AM19" s="16">
        <v>-137</v>
      </c>
      <c r="AN19" s="19">
        <v>0</v>
      </c>
      <c r="AO19" s="18">
        <v>137</v>
      </c>
      <c r="AP19" s="16">
        <f>SUM(AP20:AP26)</f>
        <v>11673</v>
      </c>
      <c r="AQ19" s="16">
        <v>-137</v>
      </c>
      <c r="AR19" s="19">
        <v>0</v>
      </c>
      <c r="AS19" s="18">
        <v>137</v>
      </c>
      <c r="AT19" s="16">
        <f>SUM(AT20:AT26)</f>
        <v>1630</v>
      </c>
      <c r="AU19" s="16">
        <v>-137</v>
      </c>
      <c r="AV19" s="19">
        <v>0</v>
      </c>
      <c r="AW19" s="18">
        <v>137</v>
      </c>
      <c r="AX19" s="16">
        <f>SUM(AX20:AX26)</f>
        <v>0</v>
      </c>
      <c r="AY19" s="16">
        <f>AX19-AW19</f>
        <v>-137</v>
      </c>
      <c r="AZ19" s="19">
        <f t="shared" si="17"/>
        <v>0</v>
      </c>
      <c r="BA19" s="18">
        <f>SUBTOTAL(9,BA20:BA26)</f>
        <v>0</v>
      </c>
      <c r="BB19" s="16">
        <f>SUM(BB20:BB26)</f>
        <v>0</v>
      </c>
      <c r="BC19" s="16">
        <f>BB19-BA19</f>
        <v>0</v>
      </c>
      <c r="BD19" s="19">
        <f t="shared" si="18"/>
        <v>0</v>
      </c>
    </row>
    <row r="20" spans="1:56" x14ac:dyDescent="0.4">
      <c r="A20" s="20">
        <v>5114</v>
      </c>
      <c r="B20" s="2" t="s">
        <v>46</v>
      </c>
      <c r="C20" s="2">
        <v>310</v>
      </c>
      <c r="D20" s="2" t="s">
        <v>1</v>
      </c>
      <c r="E20" s="5">
        <v>899</v>
      </c>
      <c r="F20" s="5">
        <v>659</v>
      </c>
      <c r="G20" s="5">
        <v>-239</v>
      </c>
      <c r="H20" s="6">
        <v>73.41</v>
      </c>
      <c r="I20" s="5">
        <v>899</v>
      </c>
      <c r="J20" s="5">
        <v>502</v>
      </c>
      <c r="K20" s="5">
        <v>-396</v>
      </c>
      <c r="L20" s="6">
        <v>55.92</v>
      </c>
      <c r="M20" s="5">
        <v>899</v>
      </c>
      <c r="N20" s="5">
        <v>656</v>
      </c>
      <c r="O20" s="5">
        <v>-899</v>
      </c>
      <c r="P20" s="6">
        <v>0</v>
      </c>
      <c r="Q20" s="5">
        <v>899</v>
      </c>
      <c r="R20" s="5">
        <v>1086</v>
      </c>
      <c r="S20" s="5">
        <v>-899</v>
      </c>
      <c r="T20" s="6">
        <v>0</v>
      </c>
      <c r="U20" s="5">
        <v>899</v>
      </c>
      <c r="V20" s="5">
        <v>374</v>
      </c>
      <c r="W20" s="5">
        <v>-899</v>
      </c>
      <c r="X20" s="6">
        <v>0</v>
      </c>
      <c r="Y20" s="21">
        <v>899</v>
      </c>
      <c r="Z20" s="5">
        <v>859</v>
      </c>
      <c r="AA20" s="5">
        <v>-899</v>
      </c>
      <c r="AB20" s="22">
        <v>0</v>
      </c>
      <c r="AC20" s="21">
        <v>899</v>
      </c>
      <c r="AD20" s="85">
        <v>0</v>
      </c>
      <c r="AE20" s="85">
        <v>-899</v>
      </c>
      <c r="AF20" s="22">
        <v>0</v>
      </c>
      <c r="AG20" s="21">
        <v>899</v>
      </c>
      <c r="AH20" s="5">
        <v>909</v>
      </c>
      <c r="AI20" s="5">
        <v>-899</v>
      </c>
      <c r="AJ20" s="22">
        <v>0</v>
      </c>
      <c r="AK20" s="21">
        <v>899</v>
      </c>
      <c r="AL20" s="5">
        <v>0</v>
      </c>
      <c r="AM20" s="5">
        <v>-899</v>
      </c>
      <c r="AN20" s="22">
        <v>0</v>
      </c>
      <c r="AO20" s="21">
        <v>899</v>
      </c>
      <c r="AP20" s="5">
        <v>1669</v>
      </c>
      <c r="AQ20" s="5">
        <v>-899</v>
      </c>
      <c r="AR20" s="22">
        <v>0</v>
      </c>
      <c r="AS20" s="21">
        <v>899</v>
      </c>
      <c r="AT20" s="5">
        <v>0</v>
      </c>
      <c r="AU20" s="5">
        <v>-899</v>
      </c>
      <c r="AV20" s="22">
        <v>0</v>
      </c>
      <c r="AW20" s="21">
        <v>899</v>
      </c>
      <c r="AX20" s="5"/>
      <c r="AY20" s="5">
        <f t="shared" ref="AY20:AY22" si="26">AX20-AW20</f>
        <v>-899</v>
      </c>
      <c r="AZ20" s="22">
        <f t="shared" si="17"/>
        <v>0</v>
      </c>
      <c r="BA20" s="21"/>
      <c r="BB20" s="5"/>
      <c r="BC20" s="5">
        <f t="shared" ref="BC20:BC22" si="27">BB20-BA20</f>
        <v>0</v>
      </c>
      <c r="BD20" s="22">
        <f t="shared" si="18"/>
        <v>0</v>
      </c>
    </row>
    <row r="21" spans="1:56" x14ac:dyDescent="0.4">
      <c r="A21" s="20">
        <v>5114</v>
      </c>
      <c r="B21" s="2" t="s">
        <v>46</v>
      </c>
      <c r="C21" s="2">
        <v>320</v>
      </c>
      <c r="D21" s="2" t="s">
        <v>2</v>
      </c>
      <c r="E21" s="5">
        <v>1579</v>
      </c>
      <c r="F21" s="5">
        <v>1595</v>
      </c>
      <c r="G21" s="5">
        <v>16</v>
      </c>
      <c r="H21" s="6">
        <v>101.04</v>
      </c>
      <c r="I21" s="5">
        <v>1606</v>
      </c>
      <c r="J21" s="5">
        <v>1418</v>
      </c>
      <c r="K21" s="5">
        <v>-187</v>
      </c>
      <c r="L21" s="6">
        <v>88.32</v>
      </c>
      <c r="M21" s="5">
        <v>1640</v>
      </c>
      <c r="N21" s="5">
        <v>1623</v>
      </c>
      <c r="O21" s="5">
        <v>-1640</v>
      </c>
      <c r="P21" s="6">
        <v>0</v>
      </c>
      <c r="Q21" s="5">
        <v>1664</v>
      </c>
      <c r="R21" s="5">
        <v>1383</v>
      </c>
      <c r="S21" s="5">
        <v>-1664</v>
      </c>
      <c r="T21" s="6">
        <v>0</v>
      </c>
      <c r="U21" s="5">
        <v>1694</v>
      </c>
      <c r="V21" s="5">
        <v>1496</v>
      </c>
      <c r="W21" s="5">
        <v>-1694</v>
      </c>
      <c r="X21" s="6">
        <v>0</v>
      </c>
      <c r="Y21" s="21">
        <v>1716</v>
      </c>
      <c r="Z21" s="5">
        <v>1614</v>
      </c>
      <c r="AA21" s="5">
        <v>-1716</v>
      </c>
      <c r="AB21" s="22">
        <v>0</v>
      </c>
      <c r="AC21" s="21">
        <v>1746</v>
      </c>
      <c r="AD21" s="85">
        <v>992</v>
      </c>
      <c r="AE21" s="85">
        <v>-1746</v>
      </c>
      <c r="AF21" s="22">
        <v>0</v>
      </c>
      <c r="AG21" s="21">
        <v>1779</v>
      </c>
      <c r="AH21" s="5">
        <v>2973</v>
      </c>
      <c r="AI21" s="5">
        <v>-1779</v>
      </c>
      <c r="AJ21" s="22">
        <v>0</v>
      </c>
      <c r="AK21" s="21">
        <v>1807</v>
      </c>
      <c r="AL21" s="5">
        <v>293</v>
      </c>
      <c r="AM21" s="5">
        <v>-1807</v>
      </c>
      <c r="AN21" s="22">
        <v>0</v>
      </c>
      <c r="AO21" s="21">
        <v>1833</v>
      </c>
      <c r="AP21" s="5">
        <v>2736</v>
      </c>
      <c r="AQ21" s="5">
        <v>-1833</v>
      </c>
      <c r="AR21" s="22">
        <v>0</v>
      </c>
      <c r="AS21" s="21">
        <v>1855</v>
      </c>
      <c r="AT21" s="5">
        <v>452</v>
      </c>
      <c r="AU21" s="5">
        <v>-1855</v>
      </c>
      <c r="AV21" s="22">
        <v>0</v>
      </c>
      <c r="AW21" s="21">
        <v>1882</v>
      </c>
      <c r="AX21" s="5"/>
      <c r="AY21" s="5">
        <f t="shared" si="26"/>
        <v>-1882</v>
      </c>
      <c r="AZ21" s="22">
        <f t="shared" si="17"/>
        <v>0</v>
      </c>
      <c r="BA21" s="21"/>
      <c r="BB21" s="5"/>
      <c r="BC21" s="5">
        <f t="shared" si="27"/>
        <v>0</v>
      </c>
      <c r="BD21" s="22">
        <f t="shared" si="18"/>
        <v>0</v>
      </c>
    </row>
    <row r="22" spans="1:56" x14ac:dyDescent="0.4">
      <c r="A22" s="20">
        <v>5114</v>
      </c>
      <c r="B22" s="2" t="s">
        <v>46</v>
      </c>
      <c r="C22" s="2">
        <v>330</v>
      </c>
      <c r="D22" s="2" t="s">
        <v>3</v>
      </c>
      <c r="E22" s="5">
        <v>2276</v>
      </c>
      <c r="F22" s="5">
        <v>2362</v>
      </c>
      <c r="G22" s="5">
        <v>86</v>
      </c>
      <c r="H22" s="6">
        <v>103.82</v>
      </c>
      <c r="I22" s="5">
        <v>2318</v>
      </c>
      <c r="J22" s="5">
        <v>4025</v>
      </c>
      <c r="K22" s="5">
        <v>1707</v>
      </c>
      <c r="L22" s="6">
        <v>173.68</v>
      </c>
      <c r="M22" s="5">
        <v>2363</v>
      </c>
      <c r="N22" s="5">
        <v>2379</v>
      </c>
      <c r="O22" s="5">
        <v>-2363</v>
      </c>
      <c r="P22" s="6">
        <v>0</v>
      </c>
      <c r="Q22" s="5">
        <v>2412</v>
      </c>
      <c r="R22" s="5">
        <v>2342</v>
      </c>
      <c r="S22" s="5">
        <v>-2412</v>
      </c>
      <c r="T22" s="6">
        <v>0</v>
      </c>
      <c r="U22" s="5">
        <v>2455</v>
      </c>
      <c r="V22" s="5">
        <v>2773</v>
      </c>
      <c r="W22" s="5">
        <v>-2455</v>
      </c>
      <c r="X22" s="6">
        <v>0</v>
      </c>
      <c r="Y22" s="21">
        <v>2504</v>
      </c>
      <c r="Z22" s="5">
        <v>2531</v>
      </c>
      <c r="AA22" s="5">
        <v>-2504</v>
      </c>
      <c r="AB22" s="22">
        <v>0</v>
      </c>
      <c r="AC22" s="21">
        <v>2543</v>
      </c>
      <c r="AD22" s="85">
        <v>526</v>
      </c>
      <c r="AE22" s="85">
        <v>-2543</v>
      </c>
      <c r="AF22" s="22">
        <v>0</v>
      </c>
      <c r="AG22" s="21">
        <v>2455</v>
      </c>
      <c r="AH22" s="5">
        <v>2414</v>
      </c>
      <c r="AI22" s="5">
        <v>-2455</v>
      </c>
      <c r="AJ22" s="22">
        <v>0</v>
      </c>
      <c r="AK22" s="21">
        <v>2643</v>
      </c>
      <c r="AL22" s="5">
        <v>803</v>
      </c>
      <c r="AM22" s="5">
        <v>-2643</v>
      </c>
      <c r="AN22" s="22">
        <v>0</v>
      </c>
      <c r="AO22" s="21">
        <v>2541</v>
      </c>
      <c r="AP22" s="5">
        <v>2798</v>
      </c>
      <c r="AQ22" s="5">
        <v>-2541</v>
      </c>
      <c r="AR22" s="22">
        <v>0</v>
      </c>
      <c r="AS22" s="21">
        <v>2715</v>
      </c>
      <c r="AT22" s="5">
        <v>58</v>
      </c>
      <c r="AU22" s="5">
        <v>-2715</v>
      </c>
      <c r="AV22" s="22">
        <v>0</v>
      </c>
      <c r="AW22" s="21">
        <v>2615</v>
      </c>
      <c r="AX22" s="5"/>
      <c r="AY22" s="5">
        <f t="shared" si="26"/>
        <v>-2615</v>
      </c>
      <c r="AZ22" s="22">
        <f t="shared" si="17"/>
        <v>0</v>
      </c>
      <c r="BA22" s="21"/>
      <c r="BB22" s="5"/>
      <c r="BC22" s="5">
        <f t="shared" si="27"/>
        <v>0</v>
      </c>
      <c r="BD22" s="22">
        <f t="shared" si="18"/>
        <v>0</v>
      </c>
    </row>
    <row r="23" spans="1:56" x14ac:dyDescent="0.4">
      <c r="A23" s="20">
        <v>5114</v>
      </c>
      <c r="B23" s="2" t="s">
        <v>46</v>
      </c>
      <c r="C23" s="2">
        <v>341</v>
      </c>
      <c r="D23" s="2" t="s">
        <v>42</v>
      </c>
      <c r="E23" s="5">
        <v>1392</v>
      </c>
      <c r="F23" s="5">
        <v>2058</v>
      </c>
      <c r="G23" s="5">
        <v>666</v>
      </c>
      <c r="H23" s="6">
        <v>147.88</v>
      </c>
      <c r="I23" s="5">
        <v>1263</v>
      </c>
      <c r="J23" s="5">
        <v>1100</v>
      </c>
      <c r="K23" s="5">
        <v>-162</v>
      </c>
      <c r="L23" s="6">
        <v>87.12</v>
      </c>
      <c r="M23" s="5">
        <v>1425</v>
      </c>
      <c r="N23" s="5">
        <v>1357</v>
      </c>
      <c r="O23" s="5">
        <v>-1425</v>
      </c>
      <c r="P23" s="6">
        <v>0</v>
      </c>
      <c r="Q23" s="5">
        <v>1294</v>
      </c>
      <c r="R23" s="5">
        <v>1363</v>
      </c>
      <c r="S23" s="5">
        <v>-1294</v>
      </c>
      <c r="T23" s="6">
        <v>0</v>
      </c>
      <c r="U23" s="5">
        <v>1457</v>
      </c>
      <c r="V23" s="5">
        <v>1725</v>
      </c>
      <c r="W23" s="5">
        <v>-1457</v>
      </c>
      <c r="X23" s="6">
        <v>0</v>
      </c>
      <c r="Y23" s="21">
        <v>1324</v>
      </c>
      <c r="Z23" s="5">
        <v>1235</v>
      </c>
      <c r="AA23" s="5">
        <v>-1324</v>
      </c>
      <c r="AB23" s="22">
        <v>0</v>
      </c>
      <c r="AC23" s="21">
        <v>1485</v>
      </c>
      <c r="AD23" s="85">
        <v>134</v>
      </c>
      <c r="AE23" s="85">
        <v>-1485</v>
      </c>
      <c r="AF23" s="22">
        <v>0</v>
      </c>
      <c r="AG23" s="21">
        <v>1349</v>
      </c>
      <c r="AH23" s="5">
        <v>1065</v>
      </c>
      <c r="AI23" s="5">
        <v>-1349</v>
      </c>
      <c r="AJ23" s="22">
        <v>0</v>
      </c>
      <c r="AK23" s="21">
        <v>1509</v>
      </c>
      <c r="AL23" s="5">
        <v>1035</v>
      </c>
      <c r="AM23" s="5">
        <v>-1509</v>
      </c>
      <c r="AN23" s="22">
        <v>0</v>
      </c>
      <c r="AO23" s="21">
        <v>1378</v>
      </c>
      <c r="AP23" s="5">
        <v>1560</v>
      </c>
      <c r="AQ23" s="5">
        <v>-1378</v>
      </c>
      <c r="AR23" s="22">
        <v>0</v>
      </c>
      <c r="AS23" s="21">
        <v>1536</v>
      </c>
      <c r="AT23" s="5">
        <v>0</v>
      </c>
      <c r="AU23" s="5">
        <v>-1536</v>
      </c>
      <c r="AV23" s="22">
        <v>0</v>
      </c>
      <c r="AW23" s="21">
        <v>1400</v>
      </c>
      <c r="AX23" s="5"/>
      <c r="AY23" s="5">
        <f>AX23-AW23</f>
        <v>-1400</v>
      </c>
      <c r="AZ23" s="22">
        <f>IF(AW23=0,0,AX23/AW23)</f>
        <v>0</v>
      </c>
      <c r="BA23" s="21"/>
      <c r="BB23" s="5"/>
      <c r="BC23" s="5">
        <f>BB23-BA23</f>
        <v>0</v>
      </c>
      <c r="BD23" s="22">
        <f>IF(BA23=0,0,BB23/BA23)</f>
        <v>0</v>
      </c>
    </row>
    <row r="24" spans="1:56" x14ac:dyDescent="0.4">
      <c r="A24" s="20">
        <v>5114</v>
      </c>
      <c r="B24" s="2" t="s">
        <v>46</v>
      </c>
      <c r="C24" s="2">
        <v>342</v>
      </c>
      <c r="D24" s="2" t="s">
        <v>43</v>
      </c>
      <c r="E24" s="5">
        <v>1815</v>
      </c>
      <c r="F24" s="5">
        <v>1835</v>
      </c>
      <c r="G24" s="5">
        <v>20</v>
      </c>
      <c r="H24" s="6">
        <v>101.15</v>
      </c>
      <c r="I24" s="5">
        <v>1861</v>
      </c>
      <c r="J24" s="5">
        <v>1676</v>
      </c>
      <c r="K24" s="5">
        <v>-184</v>
      </c>
      <c r="L24" s="6">
        <v>90.07</v>
      </c>
      <c r="M24" s="5">
        <v>1910</v>
      </c>
      <c r="N24" s="5">
        <v>1869</v>
      </c>
      <c r="O24" s="5">
        <v>-1910</v>
      </c>
      <c r="P24" s="6">
        <v>0</v>
      </c>
      <c r="Q24" s="5">
        <v>1949</v>
      </c>
      <c r="R24" s="5">
        <v>2772</v>
      </c>
      <c r="S24" s="5">
        <v>-1949</v>
      </c>
      <c r="T24" s="6">
        <v>0</v>
      </c>
      <c r="U24" s="5">
        <v>1993</v>
      </c>
      <c r="V24" s="5">
        <v>2445</v>
      </c>
      <c r="W24" s="5">
        <v>-1993</v>
      </c>
      <c r="X24" s="6">
        <v>0</v>
      </c>
      <c r="Y24" s="21">
        <v>2044</v>
      </c>
      <c r="Z24" s="5">
        <v>1658</v>
      </c>
      <c r="AA24" s="5">
        <v>-2044</v>
      </c>
      <c r="AB24" s="22">
        <v>0</v>
      </c>
      <c r="AC24" s="21">
        <v>2084</v>
      </c>
      <c r="AD24" s="85">
        <v>371</v>
      </c>
      <c r="AE24" s="85">
        <v>-2084</v>
      </c>
      <c r="AF24" s="22">
        <v>0</v>
      </c>
      <c r="AG24" s="21">
        <v>2136</v>
      </c>
      <c r="AH24" s="5">
        <v>2203</v>
      </c>
      <c r="AI24" s="5">
        <v>-2136</v>
      </c>
      <c r="AJ24" s="22">
        <v>0</v>
      </c>
      <c r="AK24" s="21">
        <v>2176</v>
      </c>
      <c r="AL24" s="5">
        <v>877</v>
      </c>
      <c r="AM24" s="5">
        <v>-2176</v>
      </c>
      <c r="AN24" s="22">
        <v>0</v>
      </c>
      <c r="AO24" s="21">
        <v>2222</v>
      </c>
      <c r="AP24" s="5">
        <v>1709</v>
      </c>
      <c r="AQ24" s="5">
        <v>-2222</v>
      </c>
      <c r="AR24" s="22">
        <v>0</v>
      </c>
      <c r="AS24" s="21">
        <v>2269</v>
      </c>
      <c r="AT24" s="5">
        <v>0</v>
      </c>
      <c r="AU24" s="5">
        <v>-2269</v>
      </c>
      <c r="AV24" s="22">
        <v>0</v>
      </c>
      <c r="AW24" s="21">
        <v>2312</v>
      </c>
      <c r="AX24" s="5"/>
      <c r="AY24" s="5">
        <f t="shared" ref="AY24:AY26" si="28">AX24-AW24</f>
        <v>-2312</v>
      </c>
      <c r="AZ24" s="22">
        <f>IF(AW24=0,0,AX24/AW24)</f>
        <v>0</v>
      </c>
      <c r="BA24" s="21"/>
      <c r="BB24" s="5"/>
      <c r="BC24" s="5">
        <f t="shared" ref="BC24:BC26" si="29">BB24-BA24</f>
        <v>0</v>
      </c>
      <c r="BD24" s="22">
        <f>IF(BA24=0,0,BB24/BA24)</f>
        <v>0</v>
      </c>
    </row>
    <row r="25" spans="1:56" x14ac:dyDescent="0.4">
      <c r="A25" s="20">
        <v>5114</v>
      </c>
      <c r="B25" s="2" t="s">
        <v>46</v>
      </c>
      <c r="C25" s="2">
        <v>350</v>
      </c>
      <c r="D25" s="2" t="s">
        <v>4</v>
      </c>
      <c r="E25" s="5">
        <v>1731</v>
      </c>
      <c r="F25" s="5">
        <v>1453</v>
      </c>
      <c r="G25" s="5">
        <v>-277</v>
      </c>
      <c r="H25" s="6">
        <v>83.96</v>
      </c>
      <c r="I25" s="5">
        <v>1759</v>
      </c>
      <c r="J25" s="5">
        <v>2053</v>
      </c>
      <c r="K25" s="5">
        <v>294</v>
      </c>
      <c r="L25" s="6">
        <v>116.76</v>
      </c>
      <c r="M25" s="5">
        <v>1785</v>
      </c>
      <c r="N25" s="5">
        <v>1269</v>
      </c>
      <c r="O25" s="5">
        <v>-1785</v>
      </c>
      <c r="P25" s="6">
        <v>0</v>
      </c>
      <c r="Q25" s="5">
        <v>1813</v>
      </c>
      <c r="R25" s="5">
        <v>1426</v>
      </c>
      <c r="S25" s="5">
        <v>-1813</v>
      </c>
      <c r="T25" s="6">
        <v>0</v>
      </c>
      <c r="U25" s="5">
        <v>1844</v>
      </c>
      <c r="V25" s="5">
        <v>3465</v>
      </c>
      <c r="W25" s="5">
        <v>-1844</v>
      </c>
      <c r="X25" s="6">
        <v>0</v>
      </c>
      <c r="Y25" s="21">
        <v>1875</v>
      </c>
      <c r="Z25" s="5">
        <v>1845</v>
      </c>
      <c r="AA25" s="5">
        <v>-1875</v>
      </c>
      <c r="AB25" s="22">
        <v>0</v>
      </c>
      <c r="AC25" s="21">
        <v>1910</v>
      </c>
      <c r="AD25" s="85">
        <v>0</v>
      </c>
      <c r="AE25" s="85">
        <v>-1910</v>
      </c>
      <c r="AF25" s="22">
        <v>0</v>
      </c>
      <c r="AG25" s="21">
        <v>1943</v>
      </c>
      <c r="AH25" s="5">
        <v>2211</v>
      </c>
      <c r="AI25" s="5">
        <v>-1943</v>
      </c>
      <c r="AJ25" s="22">
        <v>0</v>
      </c>
      <c r="AK25" s="21">
        <v>1970</v>
      </c>
      <c r="AL25" s="5">
        <v>158</v>
      </c>
      <c r="AM25" s="5">
        <v>-1970</v>
      </c>
      <c r="AN25" s="22">
        <v>0</v>
      </c>
      <c r="AO25" s="21">
        <v>2001</v>
      </c>
      <c r="AP25" s="5">
        <v>1178</v>
      </c>
      <c r="AQ25" s="5">
        <v>-2001</v>
      </c>
      <c r="AR25" s="22">
        <v>0</v>
      </c>
      <c r="AS25" s="21">
        <v>2028</v>
      </c>
      <c r="AT25" s="5">
        <v>1120</v>
      </c>
      <c r="AU25" s="5">
        <v>-2028</v>
      </c>
      <c r="AV25" s="22">
        <v>0</v>
      </c>
      <c r="AW25" s="21">
        <v>2057</v>
      </c>
      <c r="AX25" s="5"/>
      <c r="AY25" s="5">
        <f t="shared" si="28"/>
        <v>-2057</v>
      </c>
      <c r="AZ25" s="22">
        <f>IF(AW25=0,0,AX25/AW25)</f>
        <v>0</v>
      </c>
      <c r="BA25" s="21"/>
      <c r="BB25" s="5"/>
      <c r="BC25" s="5">
        <f t="shared" si="29"/>
        <v>0</v>
      </c>
      <c r="BD25" s="22">
        <f>IF(BA25=0,0,BB25/BA25)</f>
        <v>0</v>
      </c>
    </row>
    <row r="26" spans="1:56" x14ac:dyDescent="0.4">
      <c r="A26" s="23">
        <v>5114</v>
      </c>
      <c r="B26" s="24" t="s">
        <v>46</v>
      </c>
      <c r="C26" s="24">
        <v>910</v>
      </c>
      <c r="D26" s="24" t="s">
        <v>47</v>
      </c>
      <c r="E26" s="25">
        <v>0</v>
      </c>
      <c r="F26" s="25">
        <v>23</v>
      </c>
      <c r="G26" s="25">
        <v>23</v>
      </c>
      <c r="H26" s="26">
        <v>0</v>
      </c>
      <c r="I26" s="25">
        <v>0</v>
      </c>
      <c r="J26" s="25">
        <v>20</v>
      </c>
      <c r="K26" s="25">
        <v>20</v>
      </c>
      <c r="L26" s="26">
        <v>0</v>
      </c>
      <c r="M26" s="25">
        <v>0</v>
      </c>
      <c r="N26" s="25">
        <v>20</v>
      </c>
      <c r="O26" s="25">
        <v>0</v>
      </c>
      <c r="P26" s="26">
        <v>0</v>
      </c>
      <c r="Q26" s="25">
        <v>0</v>
      </c>
      <c r="R26" s="25">
        <v>20</v>
      </c>
      <c r="S26" s="25">
        <v>0</v>
      </c>
      <c r="T26" s="26">
        <v>0</v>
      </c>
      <c r="U26" s="25">
        <v>0</v>
      </c>
      <c r="V26" s="25">
        <v>21</v>
      </c>
      <c r="W26" s="25">
        <v>0</v>
      </c>
      <c r="X26" s="26">
        <v>0</v>
      </c>
      <c r="Y26" s="27">
        <v>0</v>
      </c>
      <c r="Z26" s="25">
        <v>22</v>
      </c>
      <c r="AA26" s="25">
        <v>0</v>
      </c>
      <c r="AB26" s="28">
        <v>0</v>
      </c>
      <c r="AC26" s="27">
        <v>0</v>
      </c>
      <c r="AD26" s="86">
        <v>0</v>
      </c>
      <c r="AE26" s="86">
        <v>0</v>
      </c>
      <c r="AF26" s="28">
        <v>0</v>
      </c>
      <c r="AG26" s="27">
        <v>0</v>
      </c>
      <c r="AH26" s="25">
        <v>23</v>
      </c>
      <c r="AI26" s="25">
        <v>0</v>
      </c>
      <c r="AJ26" s="28">
        <v>0</v>
      </c>
      <c r="AK26" s="27">
        <v>0</v>
      </c>
      <c r="AL26" s="25">
        <v>0</v>
      </c>
      <c r="AM26" s="25">
        <v>0</v>
      </c>
      <c r="AN26" s="28">
        <v>0</v>
      </c>
      <c r="AO26" s="27">
        <v>0</v>
      </c>
      <c r="AP26" s="25">
        <v>23</v>
      </c>
      <c r="AQ26" s="25">
        <v>0</v>
      </c>
      <c r="AR26" s="28">
        <v>0</v>
      </c>
      <c r="AS26" s="27">
        <v>0</v>
      </c>
      <c r="AT26" s="25">
        <v>0</v>
      </c>
      <c r="AU26" s="25">
        <v>0</v>
      </c>
      <c r="AV26" s="28">
        <v>0</v>
      </c>
      <c r="AW26" s="27">
        <v>0</v>
      </c>
      <c r="AX26" s="25"/>
      <c r="AY26" s="5">
        <f t="shared" si="28"/>
        <v>0</v>
      </c>
      <c r="AZ26" s="28">
        <f>IF(AW26=0,0,AX26/AW26)</f>
        <v>0</v>
      </c>
      <c r="BA26" s="21"/>
      <c r="BB26" s="25"/>
      <c r="BC26" s="5">
        <f t="shared" si="29"/>
        <v>0</v>
      </c>
      <c r="BD26" s="28">
        <f>IF(BA26=0,0,BB26/BA26)</f>
        <v>0</v>
      </c>
    </row>
    <row r="27" spans="1:56" x14ac:dyDescent="0.4">
      <c r="A27" s="14">
        <v>5115</v>
      </c>
      <c r="B27" s="15" t="s">
        <v>48</v>
      </c>
      <c r="C27" s="15"/>
      <c r="D27" s="15" t="s">
        <v>74</v>
      </c>
      <c r="E27" s="16">
        <f>SUBTOTAL(9,E28:E33)</f>
        <v>16558</v>
      </c>
      <c r="F27" s="16">
        <f>SUM(F28:F33)</f>
        <v>24658</v>
      </c>
      <c r="G27" s="16">
        <f>F27-E27</f>
        <v>8100</v>
      </c>
      <c r="H27" s="17">
        <f t="shared" si="0"/>
        <v>1.4891895156419857</v>
      </c>
      <c r="I27" s="16">
        <f>SUBTOTAL(9,I28:I33)</f>
        <v>22158</v>
      </c>
      <c r="J27" s="16">
        <f>SUM(J28:J33)</f>
        <v>33573</v>
      </c>
      <c r="K27" s="16">
        <f>J27-I27</f>
        <v>11415</v>
      </c>
      <c r="L27" s="17">
        <f t="shared" si="1"/>
        <v>1.5151638234497697</v>
      </c>
      <c r="M27" s="16">
        <f>SUBTOTAL(9,M28:M33)</f>
        <v>20184</v>
      </c>
      <c r="N27" s="16">
        <f>SUM(N28:N33)</f>
        <v>33638</v>
      </c>
      <c r="O27" s="16">
        <f>N27-M27</f>
        <v>13454</v>
      </c>
      <c r="P27" s="17">
        <f t="shared" si="19"/>
        <v>1.6665675782798257</v>
      </c>
      <c r="Q27" s="16">
        <f>SUBTOTAL(9,Q28:Q33)</f>
        <v>14697</v>
      </c>
      <c r="R27" s="16">
        <f>SUM(R28:R33)</f>
        <v>39568</v>
      </c>
      <c r="S27" s="16">
        <f>R27-Q27</f>
        <v>24871</v>
      </c>
      <c r="T27" s="17">
        <f t="shared" si="20"/>
        <v>2.6922501190719195</v>
      </c>
      <c r="U27" s="16">
        <f>SUBTOTAL(9,U28:U33)</f>
        <v>15688</v>
      </c>
      <c r="V27" s="16">
        <f>SUM(V28:V33)</f>
        <v>39333</v>
      </c>
      <c r="W27" s="16">
        <f>V27-U27</f>
        <v>23645</v>
      </c>
      <c r="X27" s="17">
        <f t="shared" si="4"/>
        <v>2.507202957674656</v>
      </c>
      <c r="Y27" s="18">
        <f>SUBTOTAL(9,Y28:Y33)</f>
        <v>12601</v>
      </c>
      <c r="Z27" s="16">
        <f>SUM(Z28:Z33)</f>
        <v>34246</v>
      </c>
      <c r="AA27" s="16">
        <f>Z27-Y27</f>
        <v>21645</v>
      </c>
      <c r="AB27" s="19">
        <f t="shared" si="5"/>
        <v>2.7177208158082693</v>
      </c>
      <c r="AC27" s="18">
        <f>SUBTOTAL(9,AC28:AC33)</f>
        <v>15509</v>
      </c>
      <c r="AD27" s="84">
        <f>SUM(AD28:AD33)</f>
        <v>19407</v>
      </c>
      <c r="AE27" s="84">
        <f>AD27-AC27</f>
        <v>3898</v>
      </c>
      <c r="AF27" s="19">
        <f t="shared" si="6"/>
        <v>1.2513379328132053</v>
      </c>
      <c r="AG27" s="18">
        <f>SUBTOTAL(9,AG28:AG33)</f>
        <v>16640</v>
      </c>
      <c r="AH27" s="16">
        <f>SUM(AH28:AH33)</f>
        <v>32785</v>
      </c>
      <c r="AI27" s="16">
        <f>AH27-AG27</f>
        <v>16145</v>
      </c>
      <c r="AJ27" s="19">
        <f t="shared" si="7"/>
        <v>1.9702524038461537</v>
      </c>
      <c r="AK27" s="18">
        <f>SUBTOTAL(9,AK28:AK33)</f>
        <v>14284</v>
      </c>
      <c r="AL27" s="16">
        <f>SUM(AL28:AL33)</f>
        <v>26191</v>
      </c>
      <c r="AM27" s="16">
        <f>AL27-AK27</f>
        <v>11907</v>
      </c>
      <c r="AN27" s="19">
        <f t="shared" ref="AN27:AN41" si="30">IF(AK27=0,0,AL27/AK27)</f>
        <v>1.8335900308036965</v>
      </c>
      <c r="AO27" s="18">
        <f>SUBTOTAL(9,AO28:AO33)</f>
        <v>13662</v>
      </c>
      <c r="AP27" s="16">
        <f>SUM(AP28:AP33)</f>
        <v>25505</v>
      </c>
      <c r="AQ27" s="16">
        <f>AP27-AO27</f>
        <v>11843</v>
      </c>
      <c r="AR27" s="19">
        <f t="shared" ref="AR27:AR41" si="31">IF(AO27=0,0,AP27/AO27)</f>
        <v>1.8668569755526276</v>
      </c>
      <c r="AS27" s="18">
        <f>SUBTOTAL(9,AS28:AS33)</f>
        <v>15885</v>
      </c>
      <c r="AT27" s="16">
        <f>SUM(AT28:AT33)</f>
        <v>10848</v>
      </c>
      <c r="AU27" s="16">
        <f>AT27-AS27</f>
        <v>-5037</v>
      </c>
      <c r="AV27" s="19">
        <f t="shared" ref="AV27:AV41" si="32">IF(AS27=0,0,AT27/AS27)</f>
        <v>0.68290840415486309</v>
      </c>
      <c r="AW27" s="18">
        <f>SUBTOTAL(9,AW28:AW33)</f>
        <v>15426</v>
      </c>
      <c r="AX27" s="16">
        <f>SUM(AX28:AX33)</f>
        <v>0</v>
      </c>
      <c r="AY27" s="16">
        <f>AX27-AW27</f>
        <v>-15426</v>
      </c>
      <c r="AZ27" s="19">
        <f t="shared" ref="AZ27:AZ47" si="33">IF(AW27=0,0,AX27/AW27)</f>
        <v>0</v>
      </c>
      <c r="BA27" s="18">
        <f>SUBTOTAL(9,BA28:BA33)</f>
        <v>0</v>
      </c>
      <c r="BB27" s="16">
        <f>SUM(BB28:BB33)</f>
        <v>0</v>
      </c>
      <c r="BC27" s="16">
        <f>BB27-BA27</f>
        <v>0</v>
      </c>
      <c r="BD27" s="19">
        <f t="shared" ref="BD27:BD47" si="34">IF(BA27=0,0,BB27/BA27)</f>
        <v>0</v>
      </c>
    </row>
    <row r="28" spans="1:56" x14ac:dyDescent="0.4">
      <c r="A28" s="20">
        <v>5115</v>
      </c>
      <c r="B28" s="2" t="s">
        <v>49</v>
      </c>
      <c r="C28" s="2">
        <v>310</v>
      </c>
      <c r="D28" s="2" t="s">
        <v>1</v>
      </c>
      <c r="E28" s="5">
        <v>2255</v>
      </c>
      <c r="F28" s="5">
        <v>2974</v>
      </c>
      <c r="G28" s="5">
        <v>719</v>
      </c>
      <c r="H28" s="6">
        <v>131.91</v>
      </c>
      <c r="I28" s="5">
        <v>4210</v>
      </c>
      <c r="J28" s="5">
        <v>4407</v>
      </c>
      <c r="K28" s="5">
        <v>197</v>
      </c>
      <c r="L28" s="6">
        <v>104.7</v>
      </c>
      <c r="M28" s="5">
        <v>4738</v>
      </c>
      <c r="N28" s="5">
        <v>6266</v>
      </c>
      <c r="O28" s="5">
        <v>-4738</v>
      </c>
      <c r="P28" s="6">
        <v>0</v>
      </c>
      <c r="Q28" s="5">
        <v>2255</v>
      </c>
      <c r="R28" s="5">
        <v>4696</v>
      </c>
      <c r="S28" s="5">
        <v>-2255</v>
      </c>
      <c r="T28" s="6">
        <v>0</v>
      </c>
      <c r="U28" s="5">
        <v>300</v>
      </c>
      <c r="V28" s="5">
        <v>2910</v>
      </c>
      <c r="W28" s="5">
        <v>-300</v>
      </c>
      <c r="X28" s="6">
        <v>0</v>
      </c>
      <c r="Y28" s="21">
        <v>600</v>
      </c>
      <c r="Z28" s="5">
        <v>2008</v>
      </c>
      <c r="AA28" s="5">
        <v>-600</v>
      </c>
      <c r="AB28" s="22">
        <v>0</v>
      </c>
      <c r="AC28" s="21">
        <v>1428</v>
      </c>
      <c r="AD28" s="85">
        <v>3465</v>
      </c>
      <c r="AE28" s="85">
        <v>-1428</v>
      </c>
      <c r="AF28" s="22">
        <v>0</v>
      </c>
      <c r="AG28" s="21">
        <v>1428</v>
      </c>
      <c r="AH28" s="5">
        <v>3061</v>
      </c>
      <c r="AI28" s="5">
        <v>-1428</v>
      </c>
      <c r="AJ28" s="22">
        <v>0</v>
      </c>
      <c r="AK28" s="21">
        <v>600</v>
      </c>
      <c r="AL28" s="5">
        <v>1130</v>
      </c>
      <c r="AM28" s="5">
        <v>-600</v>
      </c>
      <c r="AN28" s="22">
        <v>0</v>
      </c>
      <c r="AO28" s="21">
        <v>600</v>
      </c>
      <c r="AP28" s="5">
        <v>2778</v>
      </c>
      <c r="AQ28" s="5">
        <v>-600</v>
      </c>
      <c r="AR28" s="22">
        <v>0</v>
      </c>
      <c r="AS28" s="21">
        <v>600</v>
      </c>
      <c r="AT28" s="5">
        <v>225</v>
      </c>
      <c r="AU28" s="5">
        <v>-600</v>
      </c>
      <c r="AV28" s="22">
        <v>0</v>
      </c>
      <c r="AW28" s="21">
        <v>600</v>
      </c>
      <c r="AX28" s="5"/>
      <c r="AY28" s="5">
        <f t="shared" ref="AY28:AY33" si="35">AX28-AW28</f>
        <v>-600</v>
      </c>
      <c r="AZ28" s="22">
        <f t="shared" si="33"/>
        <v>0</v>
      </c>
      <c r="BA28" s="21"/>
      <c r="BB28" s="5"/>
      <c r="BC28" s="5">
        <f t="shared" ref="BC28:BC33" si="36">BB28-BA28</f>
        <v>0</v>
      </c>
      <c r="BD28" s="22">
        <f t="shared" si="34"/>
        <v>0</v>
      </c>
    </row>
    <row r="29" spans="1:56" x14ac:dyDescent="0.4">
      <c r="A29" s="20">
        <v>5115</v>
      </c>
      <c r="B29" s="2" t="s">
        <v>49</v>
      </c>
      <c r="C29" s="2">
        <v>320</v>
      </c>
      <c r="D29" s="2" t="s">
        <v>2</v>
      </c>
      <c r="E29" s="5">
        <v>2694</v>
      </c>
      <c r="F29" s="5">
        <v>7202</v>
      </c>
      <c r="G29" s="5">
        <v>4508</v>
      </c>
      <c r="H29" s="6">
        <v>267.35000000000002</v>
      </c>
      <c r="I29" s="5">
        <v>2694</v>
      </c>
      <c r="J29" s="5">
        <v>4872</v>
      </c>
      <c r="K29" s="5">
        <v>2178</v>
      </c>
      <c r="L29" s="6">
        <v>180.87</v>
      </c>
      <c r="M29" s="5">
        <v>1658</v>
      </c>
      <c r="N29" s="5">
        <v>3137</v>
      </c>
      <c r="O29" s="5">
        <v>-1658</v>
      </c>
      <c r="P29" s="6">
        <v>0</v>
      </c>
      <c r="Q29" s="5">
        <v>2694</v>
      </c>
      <c r="R29" s="5">
        <v>3346</v>
      </c>
      <c r="S29" s="5">
        <v>-2694</v>
      </c>
      <c r="T29" s="6">
        <v>0</v>
      </c>
      <c r="U29" s="5">
        <v>2694</v>
      </c>
      <c r="V29" s="5">
        <v>4633</v>
      </c>
      <c r="W29" s="5">
        <v>-2694</v>
      </c>
      <c r="X29" s="6">
        <v>0</v>
      </c>
      <c r="Y29" s="21">
        <v>1658</v>
      </c>
      <c r="Z29" s="5">
        <v>7584</v>
      </c>
      <c r="AA29" s="5">
        <v>-1658</v>
      </c>
      <c r="AB29" s="22">
        <v>0</v>
      </c>
      <c r="AC29" s="21">
        <v>2694</v>
      </c>
      <c r="AD29" s="85">
        <v>4225</v>
      </c>
      <c r="AE29" s="85">
        <v>-2694</v>
      </c>
      <c r="AF29" s="22">
        <v>0</v>
      </c>
      <c r="AG29" s="21">
        <v>2694</v>
      </c>
      <c r="AH29" s="5">
        <v>8641</v>
      </c>
      <c r="AI29" s="5">
        <v>-2694</v>
      </c>
      <c r="AJ29" s="22">
        <v>0</v>
      </c>
      <c r="AK29" s="21">
        <v>1658</v>
      </c>
      <c r="AL29" s="5">
        <v>5728</v>
      </c>
      <c r="AM29" s="5">
        <v>-1658</v>
      </c>
      <c r="AN29" s="22">
        <v>0</v>
      </c>
      <c r="AO29" s="21">
        <v>2694</v>
      </c>
      <c r="AP29" s="5">
        <v>1693</v>
      </c>
      <c r="AQ29" s="5">
        <v>-2694</v>
      </c>
      <c r="AR29" s="22">
        <v>0</v>
      </c>
      <c r="AS29" s="21">
        <v>2694</v>
      </c>
      <c r="AT29" s="5">
        <v>1774</v>
      </c>
      <c r="AU29" s="5">
        <v>-2694</v>
      </c>
      <c r="AV29" s="22">
        <v>0</v>
      </c>
      <c r="AW29" s="21">
        <v>1658</v>
      </c>
      <c r="AX29" s="5"/>
      <c r="AY29" s="5">
        <f t="shared" si="35"/>
        <v>-1658</v>
      </c>
      <c r="AZ29" s="22">
        <f t="shared" si="33"/>
        <v>0</v>
      </c>
      <c r="BA29" s="21"/>
      <c r="BB29" s="5"/>
      <c r="BC29" s="5">
        <f t="shared" si="36"/>
        <v>0</v>
      </c>
      <c r="BD29" s="22">
        <f t="shared" si="34"/>
        <v>0</v>
      </c>
    </row>
    <row r="30" spans="1:56" x14ac:dyDescent="0.4">
      <c r="A30" s="20">
        <v>5115</v>
      </c>
      <c r="B30" s="2" t="s">
        <v>49</v>
      </c>
      <c r="C30" s="2">
        <v>330</v>
      </c>
      <c r="D30" s="2" t="s">
        <v>3</v>
      </c>
      <c r="E30" s="5">
        <v>3040</v>
      </c>
      <c r="F30" s="5">
        <v>5623</v>
      </c>
      <c r="G30" s="5">
        <v>2583</v>
      </c>
      <c r="H30" s="6">
        <v>184.97</v>
      </c>
      <c r="I30" s="5">
        <v>8040</v>
      </c>
      <c r="J30" s="5">
        <v>10826</v>
      </c>
      <c r="K30" s="5">
        <v>2786</v>
      </c>
      <c r="L30" s="6">
        <v>134.66</v>
      </c>
      <c r="M30" s="5">
        <v>3884</v>
      </c>
      <c r="N30" s="5">
        <v>7612</v>
      </c>
      <c r="O30" s="5">
        <v>-3884</v>
      </c>
      <c r="P30" s="6">
        <v>0</v>
      </c>
      <c r="Q30" s="5">
        <v>3040</v>
      </c>
      <c r="R30" s="5">
        <v>8397</v>
      </c>
      <c r="S30" s="5">
        <v>-3040</v>
      </c>
      <c r="T30" s="6">
        <v>0</v>
      </c>
      <c r="U30" s="5">
        <v>2465</v>
      </c>
      <c r="V30" s="5">
        <v>9966</v>
      </c>
      <c r="W30" s="5">
        <v>-2465</v>
      </c>
      <c r="X30" s="6">
        <v>0</v>
      </c>
      <c r="Y30" s="21">
        <v>3310</v>
      </c>
      <c r="Z30" s="5">
        <v>7017</v>
      </c>
      <c r="AA30" s="5">
        <v>-3310</v>
      </c>
      <c r="AB30" s="22">
        <v>0</v>
      </c>
      <c r="AC30" s="21">
        <v>2195</v>
      </c>
      <c r="AD30" s="85">
        <v>4412</v>
      </c>
      <c r="AE30" s="85">
        <v>-2195</v>
      </c>
      <c r="AF30" s="22">
        <v>0</v>
      </c>
      <c r="AG30" s="21">
        <v>4154</v>
      </c>
      <c r="AH30" s="5">
        <v>4848</v>
      </c>
      <c r="AI30" s="5">
        <v>-4154</v>
      </c>
      <c r="AJ30" s="22">
        <v>0</v>
      </c>
      <c r="AK30" s="21">
        <v>3580</v>
      </c>
      <c r="AL30" s="5">
        <v>5690</v>
      </c>
      <c r="AM30" s="5">
        <v>-3580</v>
      </c>
      <c r="AN30" s="22">
        <v>0</v>
      </c>
      <c r="AO30" s="21">
        <v>2735</v>
      </c>
      <c r="AP30" s="5">
        <v>8497</v>
      </c>
      <c r="AQ30" s="5">
        <v>-2735</v>
      </c>
      <c r="AR30" s="22">
        <v>0</v>
      </c>
      <c r="AS30" s="21">
        <v>3580</v>
      </c>
      <c r="AT30" s="5">
        <v>3501</v>
      </c>
      <c r="AU30" s="5">
        <v>-3580</v>
      </c>
      <c r="AV30" s="22">
        <v>0</v>
      </c>
      <c r="AW30" s="21">
        <v>4154</v>
      </c>
      <c r="AX30" s="5"/>
      <c r="AY30" s="5">
        <f t="shared" si="35"/>
        <v>-4154</v>
      </c>
      <c r="AZ30" s="22">
        <f t="shared" si="33"/>
        <v>0</v>
      </c>
      <c r="BA30" s="21"/>
      <c r="BB30" s="5"/>
      <c r="BC30" s="5">
        <f t="shared" si="36"/>
        <v>0</v>
      </c>
      <c r="BD30" s="22">
        <f t="shared" si="34"/>
        <v>0</v>
      </c>
    </row>
    <row r="31" spans="1:56" x14ac:dyDescent="0.4">
      <c r="A31" s="20">
        <v>5115</v>
      </c>
      <c r="B31" s="2" t="s">
        <v>49</v>
      </c>
      <c r="C31" s="2">
        <v>341</v>
      </c>
      <c r="D31" s="2" t="s">
        <v>42</v>
      </c>
      <c r="E31" s="5">
        <v>1551</v>
      </c>
      <c r="F31" s="5">
        <v>3182</v>
      </c>
      <c r="G31" s="5">
        <v>1631</v>
      </c>
      <c r="H31" s="6">
        <v>205.16</v>
      </c>
      <c r="I31" s="5">
        <v>1911</v>
      </c>
      <c r="J31" s="5">
        <v>1752</v>
      </c>
      <c r="K31" s="5">
        <v>-159</v>
      </c>
      <c r="L31" s="6">
        <v>91.68</v>
      </c>
      <c r="M31" s="5">
        <v>1911</v>
      </c>
      <c r="N31" s="5">
        <v>5980</v>
      </c>
      <c r="O31" s="5">
        <v>-1911</v>
      </c>
      <c r="P31" s="6">
        <v>0</v>
      </c>
      <c r="Q31" s="5">
        <v>1080</v>
      </c>
      <c r="R31" s="5">
        <v>3055</v>
      </c>
      <c r="S31" s="5">
        <v>-1080</v>
      </c>
      <c r="T31" s="6">
        <v>0</v>
      </c>
      <c r="U31" s="5">
        <v>1911</v>
      </c>
      <c r="V31" s="5">
        <v>5686</v>
      </c>
      <c r="W31" s="5">
        <v>-1911</v>
      </c>
      <c r="X31" s="6">
        <v>0</v>
      </c>
      <c r="Y31" s="21">
        <v>1080</v>
      </c>
      <c r="Z31" s="5">
        <v>4694</v>
      </c>
      <c r="AA31" s="5">
        <v>-1080</v>
      </c>
      <c r="AB31" s="22">
        <v>0</v>
      </c>
      <c r="AC31" s="21">
        <v>1911</v>
      </c>
      <c r="AD31" s="85">
        <v>1859</v>
      </c>
      <c r="AE31" s="85">
        <v>-1911</v>
      </c>
      <c r="AF31" s="22">
        <v>0</v>
      </c>
      <c r="AG31" s="21">
        <v>1911</v>
      </c>
      <c r="AH31" s="5">
        <v>4760</v>
      </c>
      <c r="AI31" s="5">
        <v>-1911</v>
      </c>
      <c r="AJ31" s="22">
        <v>0</v>
      </c>
      <c r="AK31" s="21">
        <v>1440</v>
      </c>
      <c r="AL31" s="5">
        <v>5641</v>
      </c>
      <c r="AM31" s="5">
        <v>-1440</v>
      </c>
      <c r="AN31" s="22">
        <v>0</v>
      </c>
      <c r="AO31" s="21">
        <v>1080</v>
      </c>
      <c r="AP31" s="5">
        <v>2911</v>
      </c>
      <c r="AQ31" s="5">
        <v>-1080</v>
      </c>
      <c r="AR31" s="22">
        <v>0</v>
      </c>
      <c r="AS31" s="21">
        <v>1080</v>
      </c>
      <c r="AT31" s="5">
        <v>2263</v>
      </c>
      <c r="AU31" s="5">
        <v>-1080</v>
      </c>
      <c r="AV31" s="22">
        <v>0</v>
      </c>
      <c r="AW31" s="21">
        <v>1911</v>
      </c>
      <c r="AX31" s="5"/>
      <c r="AY31" s="5">
        <f t="shared" si="35"/>
        <v>-1911</v>
      </c>
      <c r="AZ31" s="22">
        <f t="shared" si="33"/>
        <v>0</v>
      </c>
      <c r="BA31" s="21"/>
      <c r="BB31" s="5"/>
      <c r="BC31" s="5">
        <f t="shared" si="36"/>
        <v>0</v>
      </c>
      <c r="BD31" s="22">
        <f t="shared" si="34"/>
        <v>0</v>
      </c>
    </row>
    <row r="32" spans="1:56" x14ac:dyDescent="0.4">
      <c r="A32" s="20">
        <v>5115</v>
      </c>
      <c r="B32" s="2" t="s">
        <v>49</v>
      </c>
      <c r="C32" s="2">
        <v>342</v>
      </c>
      <c r="D32" s="2" t="s">
        <v>43</v>
      </c>
      <c r="E32" s="5">
        <v>3831</v>
      </c>
      <c r="F32" s="5">
        <v>3235</v>
      </c>
      <c r="G32" s="5">
        <v>-595</v>
      </c>
      <c r="H32" s="6">
        <v>84.46</v>
      </c>
      <c r="I32" s="5">
        <v>3378</v>
      </c>
      <c r="J32" s="5">
        <v>7142</v>
      </c>
      <c r="K32" s="5">
        <v>3764</v>
      </c>
      <c r="L32" s="6">
        <v>211.45</v>
      </c>
      <c r="M32" s="5">
        <v>4806</v>
      </c>
      <c r="N32" s="5">
        <v>4886</v>
      </c>
      <c r="O32" s="5">
        <v>-4806</v>
      </c>
      <c r="P32" s="6">
        <v>0</v>
      </c>
      <c r="Q32" s="5">
        <v>3703</v>
      </c>
      <c r="R32" s="5">
        <v>14776</v>
      </c>
      <c r="S32" s="5">
        <v>-3703</v>
      </c>
      <c r="T32" s="6">
        <v>0</v>
      </c>
      <c r="U32" s="5">
        <v>5131</v>
      </c>
      <c r="V32" s="5">
        <v>11538</v>
      </c>
      <c r="W32" s="5">
        <v>-5131</v>
      </c>
      <c r="X32" s="6">
        <v>0</v>
      </c>
      <c r="Y32" s="21">
        <v>4028</v>
      </c>
      <c r="Z32" s="5">
        <v>7442</v>
      </c>
      <c r="AA32" s="5">
        <v>-4028</v>
      </c>
      <c r="AB32" s="22">
        <v>0</v>
      </c>
      <c r="AC32" s="21">
        <v>4806</v>
      </c>
      <c r="AD32" s="85">
        <v>4430</v>
      </c>
      <c r="AE32" s="85">
        <v>-4806</v>
      </c>
      <c r="AF32" s="22">
        <v>0</v>
      </c>
      <c r="AG32" s="21">
        <v>3703</v>
      </c>
      <c r="AH32" s="5">
        <v>8076</v>
      </c>
      <c r="AI32" s="5">
        <v>-3703</v>
      </c>
      <c r="AJ32" s="22">
        <v>0</v>
      </c>
      <c r="AK32" s="21">
        <v>4806</v>
      </c>
      <c r="AL32" s="5">
        <v>5820</v>
      </c>
      <c r="AM32" s="5">
        <v>-4806</v>
      </c>
      <c r="AN32" s="22">
        <v>0</v>
      </c>
      <c r="AO32" s="21">
        <v>4353</v>
      </c>
      <c r="AP32" s="5">
        <v>5017</v>
      </c>
      <c r="AQ32" s="5">
        <v>-4353</v>
      </c>
      <c r="AR32" s="22">
        <v>0</v>
      </c>
      <c r="AS32" s="21">
        <v>5456</v>
      </c>
      <c r="AT32" s="5">
        <v>130</v>
      </c>
      <c r="AU32" s="5">
        <v>-5456</v>
      </c>
      <c r="AV32" s="22">
        <v>0</v>
      </c>
      <c r="AW32" s="21">
        <v>4353</v>
      </c>
      <c r="AX32" s="5"/>
      <c r="AY32" s="5">
        <f t="shared" si="35"/>
        <v>-4353</v>
      </c>
      <c r="AZ32" s="22">
        <f t="shared" si="33"/>
        <v>0</v>
      </c>
      <c r="BA32" s="21"/>
      <c r="BB32" s="5"/>
      <c r="BC32" s="5">
        <f t="shared" si="36"/>
        <v>0</v>
      </c>
      <c r="BD32" s="22">
        <f t="shared" si="34"/>
        <v>0</v>
      </c>
    </row>
    <row r="33" spans="1:56" x14ac:dyDescent="0.4">
      <c r="A33" s="23">
        <v>5115</v>
      </c>
      <c r="B33" s="24" t="s">
        <v>49</v>
      </c>
      <c r="C33" s="24">
        <v>350</v>
      </c>
      <c r="D33" s="24" t="s">
        <v>4</v>
      </c>
      <c r="E33" s="25">
        <v>3187</v>
      </c>
      <c r="F33" s="25">
        <v>2442</v>
      </c>
      <c r="G33" s="25">
        <v>-744</v>
      </c>
      <c r="H33" s="26">
        <v>76.650000000000006</v>
      </c>
      <c r="I33" s="25">
        <v>1925</v>
      </c>
      <c r="J33" s="25">
        <v>4574</v>
      </c>
      <c r="K33" s="25">
        <v>2649</v>
      </c>
      <c r="L33" s="26">
        <v>237.64</v>
      </c>
      <c r="M33" s="25">
        <v>3187</v>
      </c>
      <c r="N33" s="25">
        <v>5757</v>
      </c>
      <c r="O33" s="25">
        <v>-3187</v>
      </c>
      <c r="P33" s="26">
        <v>0</v>
      </c>
      <c r="Q33" s="25">
        <v>1925</v>
      </c>
      <c r="R33" s="25">
        <v>5298</v>
      </c>
      <c r="S33" s="25">
        <v>-1925</v>
      </c>
      <c r="T33" s="26">
        <v>0</v>
      </c>
      <c r="U33" s="25">
        <v>3187</v>
      </c>
      <c r="V33" s="25">
        <v>4600</v>
      </c>
      <c r="W33" s="25">
        <v>-3187</v>
      </c>
      <c r="X33" s="26">
        <v>0</v>
      </c>
      <c r="Y33" s="27">
        <v>1925</v>
      </c>
      <c r="Z33" s="25">
        <v>5501</v>
      </c>
      <c r="AA33" s="25">
        <v>-1925</v>
      </c>
      <c r="AB33" s="28">
        <v>0</v>
      </c>
      <c r="AC33" s="27">
        <v>2475</v>
      </c>
      <c r="AD33" s="86">
        <v>1016</v>
      </c>
      <c r="AE33" s="86">
        <v>-2475</v>
      </c>
      <c r="AF33" s="28">
        <v>0</v>
      </c>
      <c r="AG33" s="27">
        <v>2750</v>
      </c>
      <c r="AH33" s="25">
        <v>3399</v>
      </c>
      <c r="AI33" s="25">
        <v>-2750</v>
      </c>
      <c r="AJ33" s="28">
        <v>0</v>
      </c>
      <c r="AK33" s="27">
        <v>2200</v>
      </c>
      <c r="AL33" s="25">
        <v>2182</v>
      </c>
      <c r="AM33" s="25">
        <v>-2200</v>
      </c>
      <c r="AN33" s="28">
        <v>0</v>
      </c>
      <c r="AO33" s="27">
        <v>2200</v>
      </c>
      <c r="AP33" s="25">
        <v>4609</v>
      </c>
      <c r="AQ33" s="25">
        <v>-2200</v>
      </c>
      <c r="AR33" s="28">
        <v>0</v>
      </c>
      <c r="AS33" s="27">
        <v>2475</v>
      </c>
      <c r="AT33" s="25">
        <v>2955</v>
      </c>
      <c r="AU33" s="25">
        <v>-2475</v>
      </c>
      <c r="AV33" s="28">
        <v>0</v>
      </c>
      <c r="AW33" s="27">
        <v>2750</v>
      </c>
      <c r="AX33" s="25"/>
      <c r="AY33" s="25">
        <f t="shared" si="35"/>
        <v>-2750</v>
      </c>
      <c r="AZ33" s="28">
        <f t="shared" si="33"/>
        <v>0</v>
      </c>
      <c r="BA33" s="27"/>
      <c r="BB33" s="25"/>
      <c r="BC33" s="25">
        <f t="shared" si="36"/>
        <v>0</v>
      </c>
      <c r="BD33" s="28">
        <f t="shared" si="34"/>
        <v>0</v>
      </c>
    </row>
    <row r="34" spans="1:56" x14ac:dyDescent="0.4">
      <c r="A34" s="14">
        <v>5117</v>
      </c>
      <c r="B34" s="15" t="s">
        <v>9</v>
      </c>
      <c r="C34" s="15"/>
      <c r="D34" s="15" t="s">
        <v>75</v>
      </c>
      <c r="E34" s="16">
        <f>SUBTOTAL(9,E35:E40)</f>
        <v>5509</v>
      </c>
      <c r="F34" s="16">
        <f>SUM(F35:F40)</f>
        <v>7406</v>
      </c>
      <c r="G34" s="16">
        <f>F34-E34</f>
        <v>1897</v>
      </c>
      <c r="H34" s="17">
        <f t="shared" si="0"/>
        <v>1.3443456162642948</v>
      </c>
      <c r="I34" s="16">
        <f>SUBTOTAL(9,I35:I40)</f>
        <v>5749</v>
      </c>
      <c r="J34" s="16">
        <f>SUM(J35:J40)</f>
        <v>7400</v>
      </c>
      <c r="K34" s="16">
        <f>J34-I34</f>
        <v>1651</v>
      </c>
      <c r="L34" s="17">
        <f t="shared" si="1"/>
        <v>1.2871803791963821</v>
      </c>
      <c r="M34" s="16">
        <f>SUBTOTAL(9,M35:M40)</f>
        <v>6169</v>
      </c>
      <c r="N34" s="16">
        <f>SUM(N35:N40)</f>
        <v>6231</v>
      </c>
      <c r="O34" s="16">
        <f>N34-M34</f>
        <v>62</v>
      </c>
      <c r="P34" s="17">
        <f t="shared" si="19"/>
        <v>1.0100502512562815</v>
      </c>
      <c r="Q34" s="16">
        <f>SUBTOTAL(9,Q35:Q40)</f>
        <v>6169</v>
      </c>
      <c r="R34" s="16">
        <f>SUM(R35:R40)</f>
        <v>7605</v>
      </c>
      <c r="S34" s="16">
        <f>R34-Q34</f>
        <v>1436</v>
      </c>
      <c r="T34" s="17">
        <f t="shared" si="20"/>
        <v>1.2327767871616144</v>
      </c>
      <c r="U34" s="16">
        <f>SUBTOTAL(9,U35:U40)</f>
        <v>5989</v>
      </c>
      <c r="V34" s="16">
        <f>SUM(V35:V40)</f>
        <v>5629</v>
      </c>
      <c r="W34" s="16">
        <f>V34-U34</f>
        <v>-360</v>
      </c>
      <c r="X34" s="17">
        <f t="shared" si="4"/>
        <v>0.93988979796293204</v>
      </c>
      <c r="Y34" s="18">
        <f>SUBTOTAL(9,Y35:Y40)</f>
        <v>6289</v>
      </c>
      <c r="Z34" s="16">
        <f>SUM(Z35:Z40)</f>
        <v>6245</v>
      </c>
      <c r="AA34" s="16">
        <f>Z34-Y34</f>
        <v>-44</v>
      </c>
      <c r="AB34" s="19">
        <f t="shared" si="5"/>
        <v>0.9930036571792018</v>
      </c>
      <c r="AC34" s="18">
        <f>SUBTOTAL(9,AC35:AC40)</f>
        <v>6569</v>
      </c>
      <c r="AD34" s="84">
        <f>SUM(AD35:AD40)</f>
        <v>4477</v>
      </c>
      <c r="AE34" s="84">
        <f>AD34-AC34</f>
        <v>-2092</v>
      </c>
      <c r="AF34" s="19">
        <f t="shared" si="6"/>
        <v>0.68153448013396256</v>
      </c>
      <c r="AG34" s="18">
        <f>SUBTOTAL(9,AG35:AG40)</f>
        <v>6769</v>
      </c>
      <c r="AH34" s="16">
        <f>SUM(AH35:AH40)</f>
        <v>7829</v>
      </c>
      <c r="AI34" s="16">
        <f>AH34-AG34</f>
        <v>1060</v>
      </c>
      <c r="AJ34" s="19">
        <f t="shared" si="7"/>
        <v>1.1565962475993499</v>
      </c>
      <c r="AK34" s="18">
        <f>SUBTOTAL(9,AK35:AK40)</f>
        <v>6369</v>
      </c>
      <c r="AL34" s="16">
        <f>SUM(AL35:AL40)</f>
        <v>5036</v>
      </c>
      <c r="AM34" s="16">
        <f>AL34-AK34</f>
        <v>-1333</v>
      </c>
      <c r="AN34" s="19">
        <f t="shared" si="30"/>
        <v>0.79070497723347466</v>
      </c>
      <c r="AO34" s="18">
        <f>SUBTOTAL(9,AO35:AO40)</f>
        <v>6609</v>
      </c>
      <c r="AP34" s="16">
        <f>SUM(AP35:AP40)</f>
        <v>6428</v>
      </c>
      <c r="AQ34" s="16">
        <f>AP34-AO34</f>
        <v>-181</v>
      </c>
      <c r="AR34" s="19">
        <f t="shared" si="31"/>
        <v>0.97261310334392492</v>
      </c>
      <c r="AS34" s="18">
        <f>SUBTOTAL(9,AS35:AS40)</f>
        <v>6509</v>
      </c>
      <c r="AT34" s="16">
        <f>SUM(AT35:AT40)</f>
        <v>1849</v>
      </c>
      <c r="AU34" s="16">
        <f>AT34-AS34</f>
        <v>-4660</v>
      </c>
      <c r="AV34" s="19">
        <f t="shared" si="32"/>
        <v>0.28406821324320169</v>
      </c>
      <c r="AW34" s="18">
        <f>SUBTOTAL(9,AW35:AW40)</f>
        <v>7009</v>
      </c>
      <c r="AX34" s="16">
        <f>SUM(AX35:AX40)</f>
        <v>0</v>
      </c>
      <c r="AY34" s="16">
        <f>AX34-AW34</f>
        <v>-7009</v>
      </c>
      <c r="AZ34" s="19">
        <f t="shared" si="33"/>
        <v>0</v>
      </c>
      <c r="BA34" s="18">
        <f>SUBTOTAL(9,BA35:BA40)</f>
        <v>0</v>
      </c>
      <c r="BB34" s="16">
        <f>SUM(BB35:BB40)</f>
        <v>0</v>
      </c>
      <c r="BC34" s="16">
        <f>BB34-BA34</f>
        <v>0</v>
      </c>
      <c r="BD34" s="19">
        <f t="shared" si="34"/>
        <v>0</v>
      </c>
    </row>
    <row r="35" spans="1:56" x14ac:dyDescent="0.4">
      <c r="A35" s="20">
        <v>5117</v>
      </c>
      <c r="B35" s="2" t="s">
        <v>50</v>
      </c>
      <c r="C35" s="2">
        <v>310</v>
      </c>
      <c r="D35" s="2" t="s">
        <v>1</v>
      </c>
      <c r="E35" s="5">
        <v>300</v>
      </c>
      <c r="F35" s="5">
        <v>1234</v>
      </c>
      <c r="G35" s="5">
        <v>934</v>
      </c>
      <c r="H35" s="6">
        <v>411.33</v>
      </c>
      <c r="I35" s="5">
        <v>300</v>
      </c>
      <c r="J35" s="5">
        <v>1537</v>
      </c>
      <c r="K35" s="5">
        <v>1237</v>
      </c>
      <c r="L35" s="6">
        <v>512.33000000000004</v>
      </c>
      <c r="M35" s="5">
        <v>600</v>
      </c>
      <c r="N35" s="5">
        <v>1334</v>
      </c>
      <c r="O35" s="5">
        <v>-600</v>
      </c>
      <c r="P35" s="6">
        <v>0</v>
      </c>
      <c r="Q35" s="5">
        <v>600</v>
      </c>
      <c r="R35" s="5">
        <v>1948</v>
      </c>
      <c r="S35" s="5">
        <v>-600</v>
      </c>
      <c r="T35" s="6">
        <v>0</v>
      </c>
      <c r="U35" s="5">
        <v>300</v>
      </c>
      <c r="V35" s="5">
        <v>550</v>
      </c>
      <c r="W35" s="5">
        <v>-300</v>
      </c>
      <c r="X35" s="6">
        <v>0</v>
      </c>
      <c r="Y35" s="21">
        <v>600</v>
      </c>
      <c r="Z35" s="5">
        <v>824</v>
      </c>
      <c r="AA35" s="5">
        <v>-600</v>
      </c>
      <c r="AB35" s="22">
        <v>0</v>
      </c>
      <c r="AC35" s="21">
        <v>600</v>
      </c>
      <c r="AD35" s="85">
        <v>296</v>
      </c>
      <c r="AE35" s="85">
        <v>-600</v>
      </c>
      <c r="AF35" s="22">
        <v>0</v>
      </c>
      <c r="AG35" s="21">
        <v>600</v>
      </c>
      <c r="AH35" s="5">
        <v>720</v>
      </c>
      <c r="AI35" s="5">
        <v>-600</v>
      </c>
      <c r="AJ35" s="22">
        <v>0</v>
      </c>
      <c r="AK35" s="21">
        <v>600</v>
      </c>
      <c r="AL35" s="5">
        <v>50</v>
      </c>
      <c r="AM35" s="5">
        <v>-600</v>
      </c>
      <c r="AN35" s="22">
        <v>0</v>
      </c>
      <c r="AO35" s="21">
        <v>600</v>
      </c>
      <c r="AP35" s="5">
        <v>642</v>
      </c>
      <c r="AQ35" s="5">
        <v>-600</v>
      </c>
      <c r="AR35" s="22">
        <v>0</v>
      </c>
      <c r="AS35" s="21">
        <v>300</v>
      </c>
      <c r="AT35" s="5">
        <v>50</v>
      </c>
      <c r="AU35" s="5">
        <v>-300</v>
      </c>
      <c r="AV35" s="22">
        <v>0</v>
      </c>
      <c r="AW35" s="21">
        <v>600</v>
      </c>
      <c r="AX35" s="5"/>
      <c r="AY35" s="5">
        <f t="shared" ref="AY35:AY47" si="37">AX35-AW35</f>
        <v>-600</v>
      </c>
      <c r="AZ35" s="22">
        <f t="shared" si="33"/>
        <v>0</v>
      </c>
      <c r="BA35" s="21"/>
      <c r="BB35" s="5"/>
      <c r="BC35" s="5">
        <f t="shared" ref="BC35:BC47" si="38">BB35-BA35</f>
        <v>0</v>
      </c>
      <c r="BD35" s="22">
        <f t="shared" si="34"/>
        <v>0</v>
      </c>
    </row>
    <row r="36" spans="1:56" x14ac:dyDescent="0.4">
      <c r="A36" s="20">
        <v>5117</v>
      </c>
      <c r="B36" s="2" t="s">
        <v>50</v>
      </c>
      <c r="C36" s="2">
        <v>320</v>
      </c>
      <c r="D36" s="2" t="s">
        <v>2</v>
      </c>
      <c r="E36" s="5">
        <v>809</v>
      </c>
      <c r="F36" s="5">
        <v>1212</v>
      </c>
      <c r="G36" s="5">
        <v>403</v>
      </c>
      <c r="H36" s="6">
        <v>149.82</v>
      </c>
      <c r="I36" s="5">
        <v>809</v>
      </c>
      <c r="J36" s="5">
        <v>1121</v>
      </c>
      <c r="K36" s="5">
        <v>312</v>
      </c>
      <c r="L36" s="6">
        <v>138.63999999999999</v>
      </c>
      <c r="M36" s="5">
        <v>809</v>
      </c>
      <c r="N36" s="5">
        <v>951</v>
      </c>
      <c r="O36" s="5">
        <v>-809</v>
      </c>
      <c r="P36" s="6">
        <v>0</v>
      </c>
      <c r="Q36" s="5">
        <v>809</v>
      </c>
      <c r="R36" s="5">
        <v>1393</v>
      </c>
      <c r="S36" s="5">
        <v>-809</v>
      </c>
      <c r="T36" s="6">
        <v>0</v>
      </c>
      <c r="U36" s="5">
        <v>809</v>
      </c>
      <c r="V36" s="5">
        <v>1039</v>
      </c>
      <c r="W36" s="5">
        <v>-809</v>
      </c>
      <c r="X36" s="6">
        <v>0</v>
      </c>
      <c r="Y36" s="21">
        <v>809</v>
      </c>
      <c r="Z36" s="5">
        <v>1022</v>
      </c>
      <c r="AA36" s="5">
        <v>-809</v>
      </c>
      <c r="AB36" s="22">
        <v>0</v>
      </c>
      <c r="AC36" s="21">
        <v>809</v>
      </c>
      <c r="AD36" s="85">
        <v>1676</v>
      </c>
      <c r="AE36" s="85">
        <v>-809</v>
      </c>
      <c r="AF36" s="22">
        <v>0</v>
      </c>
      <c r="AG36" s="21">
        <v>809</v>
      </c>
      <c r="AH36" s="5">
        <v>1988</v>
      </c>
      <c r="AI36" s="5">
        <v>-809</v>
      </c>
      <c r="AJ36" s="22">
        <v>0</v>
      </c>
      <c r="AK36" s="21">
        <v>809</v>
      </c>
      <c r="AL36" s="5">
        <v>1233</v>
      </c>
      <c r="AM36" s="5">
        <v>-809</v>
      </c>
      <c r="AN36" s="22">
        <v>0</v>
      </c>
      <c r="AO36" s="21">
        <v>809</v>
      </c>
      <c r="AP36" s="5">
        <v>1256</v>
      </c>
      <c r="AQ36" s="5">
        <v>-809</v>
      </c>
      <c r="AR36" s="22">
        <v>0</v>
      </c>
      <c r="AS36" s="21">
        <v>809</v>
      </c>
      <c r="AT36" s="5">
        <v>619</v>
      </c>
      <c r="AU36" s="5">
        <v>-809</v>
      </c>
      <c r="AV36" s="22">
        <v>0</v>
      </c>
      <c r="AW36" s="21">
        <v>809</v>
      </c>
      <c r="AX36" s="5"/>
      <c r="AY36" s="5">
        <f t="shared" si="37"/>
        <v>-809</v>
      </c>
      <c r="AZ36" s="22">
        <f t="shared" si="33"/>
        <v>0</v>
      </c>
      <c r="BA36" s="21"/>
      <c r="BB36" s="5"/>
      <c r="BC36" s="5">
        <f t="shared" si="38"/>
        <v>0</v>
      </c>
      <c r="BD36" s="22">
        <f t="shared" si="34"/>
        <v>0</v>
      </c>
    </row>
    <row r="37" spans="1:56" x14ac:dyDescent="0.4">
      <c r="A37" s="20">
        <v>5117</v>
      </c>
      <c r="B37" s="2" t="s">
        <v>50</v>
      </c>
      <c r="C37" s="2">
        <v>330</v>
      </c>
      <c r="D37" s="2" t="s">
        <v>3</v>
      </c>
      <c r="E37" s="5">
        <v>1600</v>
      </c>
      <c r="F37" s="5">
        <v>1560</v>
      </c>
      <c r="G37" s="5">
        <v>-39</v>
      </c>
      <c r="H37" s="6">
        <v>97.54</v>
      </c>
      <c r="I37" s="5">
        <v>1600</v>
      </c>
      <c r="J37" s="5">
        <v>2055</v>
      </c>
      <c r="K37" s="5">
        <v>455</v>
      </c>
      <c r="L37" s="6">
        <v>128.44</v>
      </c>
      <c r="M37" s="5">
        <v>1600</v>
      </c>
      <c r="N37" s="5">
        <v>905</v>
      </c>
      <c r="O37" s="5">
        <v>-1600</v>
      </c>
      <c r="P37" s="6">
        <v>0</v>
      </c>
      <c r="Q37" s="5">
        <v>1600</v>
      </c>
      <c r="R37" s="5">
        <v>1074</v>
      </c>
      <c r="S37" s="5">
        <v>-1600</v>
      </c>
      <c r="T37" s="6">
        <v>0</v>
      </c>
      <c r="U37" s="5">
        <v>1600</v>
      </c>
      <c r="V37" s="5">
        <v>1197</v>
      </c>
      <c r="W37" s="5">
        <v>-1600</v>
      </c>
      <c r="X37" s="6">
        <v>0</v>
      </c>
      <c r="Y37" s="21">
        <v>1600</v>
      </c>
      <c r="Z37" s="5">
        <v>1126</v>
      </c>
      <c r="AA37" s="5">
        <v>-1600</v>
      </c>
      <c r="AB37" s="22">
        <v>0</v>
      </c>
      <c r="AC37" s="21">
        <v>1600</v>
      </c>
      <c r="AD37" s="85">
        <v>623</v>
      </c>
      <c r="AE37" s="85">
        <v>-1600</v>
      </c>
      <c r="AF37" s="22">
        <v>0</v>
      </c>
      <c r="AG37" s="21">
        <v>1600</v>
      </c>
      <c r="AH37" s="5">
        <v>925</v>
      </c>
      <c r="AI37" s="5">
        <v>-1600</v>
      </c>
      <c r="AJ37" s="22">
        <v>0</v>
      </c>
      <c r="AK37" s="21">
        <v>1600</v>
      </c>
      <c r="AL37" s="5">
        <v>977</v>
      </c>
      <c r="AM37" s="5">
        <v>-1600</v>
      </c>
      <c r="AN37" s="22">
        <v>0</v>
      </c>
      <c r="AO37" s="21">
        <v>1600</v>
      </c>
      <c r="AP37" s="5">
        <v>1449</v>
      </c>
      <c r="AQ37" s="5">
        <v>-1600</v>
      </c>
      <c r="AR37" s="22">
        <v>0</v>
      </c>
      <c r="AS37" s="21">
        <v>1600</v>
      </c>
      <c r="AT37" s="5">
        <v>866</v>
      </c>
      <c r="AU37" s="5">
        <v>-1600</v>
      </c>
      <c r="AV37" s="22">
        <v>0</v>
      </c>
      <c r="AW37" s="21">
        <v>1600</v>
      </c>
      <c r="AX37" s="5"/>
      <c r="AY37" s="5">
        <f t="shared" si="37"/>
        <v>-1600</v>
      </c>
      <c r="AZ37" s="22">
        <f t="shared" si="33"/>
        <v>0</v>
      </c>
      <c r="BA37" s="21"/>
      <c r="BB37" s="5"/>
      <c r="BC37" s="5">
        <f t="shared" si="38"/>
        <v>0</v>
      </c>
      <c r="BD37" s="22">
        <f t="shared" si="34"/>
        <v>0</v>
      </c>
    </row>
    <row r="38" spans="1:56" x14ac:dyDescent="0.4">
      <c r="A38" s="20">
        <v>5117</v>
      </c>
      <c r="B38" s="2" t="s">
        <v>50</v>
      </c>
      <c r="C38" s="2">
        <v>341</v>
      </c>
      <c r="D38" s="2" t="s">
        <v>42</v>
      </c>
      <c r="E38" s="5">
        <v>800</v>
      </c>
      <c r="F38" s="5">
        <v>403</v>
      </c>
      <c r="G38" s="5">
        <v>-396</v>
      </c>
      <c r="H38" s="6">
        <v>50.48</v>
      </c>
      <c r="I38" s="5">
        <v>800</v>
      </c>
      <c r="J38" s="5">
        <v>302</v>
      </c>
      <c r="K38" s="5">
        <v>-497</v>
      </c>
      <c r="L38" s="6">
        <v>37.799999999999997</v>
      </c>
      <c r="M38" s="5">
        <v>800</v>
      </c>
      <c r="N38" s="5">
        <v>464</v>
      </c>
      <c r="O38" s="5">
        <v>-800</v>
      </c>
      <c r="P38" s="6">
        <v>0</v>
      </c>
      <c r="Q38" s="5">
        <v>800</v>
      </c>
      <c r="R38" s="5">
        <v>422</v>
      </c>
      <c r="S38" s="5">
        <v>-800</v>
      </c>
      <c r="T38" s="6">
        <v>0</v>
      </c>
      <c r="U38" s="5">
        <v>800</v>
      </c>
      <c r="V38" s="5">
        <v>346</v>
      </c>
      <c r="W38" s="5">
        <v>-800</v>
      </c>
      <c r="X38" s="6">
        <v>0</v>
      </c>
      <c r="Y38" s="21">
        <v>800</v>
      </c>
      <c r="Z38" s="5">
        <v>498</v>
      </c>
      <c r="AA38" s="5">
        <v>-800</v>
      </c>
      <c r="AB38" s="22">
        <v>0</v>
      </c>
      <c r="AC38" s="21">
        <v>800</v>
      </c>
      <c r="AD38" s="85">
        <v>410</v>
      </c>
      <c r="AE38" s="85">
        <v>-800</v>
      </c>
      <c r="AF38" s="22">
        <v>0</v>
      </c>
      <c r="AG38" s="21">
        <v>800</v>
      </c>
      <c r="AH38" s="5">
        <v>620</v>
      </c>
      <c r="AI38" s="5">
        <v>-800</v>
      </c>
      <c r="AJ38" s="22">
        <v>0</v>
      </c>
      <c r="AK38" s="21">
        <v>800</v>
      </c>
      <c r="AL38" s="5">
        <v>552</v>
      </c>
      <c r="AM38" s="5">
        <v>-800</v>
      </c>
      <c r="AN38" s="22">
        <v>0</v>
      </c>
      <c r="AO38" s="21">
        <v>800</v>
      </c>
      <c r="AP38" s="5">
        <v>846</v>
      </c>
      <c r="AQ38" s="5">
        <v>-800</v>
      </c>
      <c r="AR38" s="22">
        <v>0</v>
      </c>
      <c r="AS38" s="21">
        <v>800</v>
      </c>
      <c r="AT38" s="5">
        <v>0</v>
      </c>
      <c r="AU38" s="5">
        <v>-800</v>
      </c>
      <c r="AV38" s="22">
        <v>0</v>
      </c>
      <c r="AW38" s="21">
        <v>800</v>
      </c>
      <c r="AX38" s="5"/>
      <c r="AY38" s="5">
        <f t="shared" si="37"/>
        <v>-800</v>
      </c>
      <c r="AZ38" s="22">
        <f t="shared" si="33"/>
        <v>0</v>
      </c>
      <c r="BA38" s="21"/>
      <c r="BB38" s="5"/>
      <c r="BC38" s="5">
        <f t="shared" si="38"/>
        <v>0</v>
      </c>
      <c r="BD38" s="22">
        <f t="shared" si="34"/>
        <v>0</v>
      </c>
    </row>
    <row r="39" spans="1:56" x14ac:dyDescent="0.4">
      <c r="A39" s="20">
        <v>5117</v>
      </c>
      <c r="B39" s="2" t="s">
        <v>50</v>
      </c>
      <c r="C39" s="2">
        <v>342</v>
      </c>
      <c r="D39" s="2" t="s">
        <v>43</v>
      </c>
      <c r="E39" s="5">
        <v>600</v>
      </c>
      <c r="F39" s="5">
        <v>1939</v>
      </c>
      <c r="G39" s="5">
        <v>1339</v>
      </c>
      <c r="H39" s="6">
        <v>323.17</v>
      </c>
      <c r="I39" s="5">
        <v>840</v>
      </c>
      <c r="J39" s="5">
        <v>1294</v>
      </c>
      <c r="K39" s="5">
        <v>454</v>
      </c>
      <c r="L39" s="6">
        <v>154.05000000000001</v>
      </c>
      <c r="M39" s="5">
        <v>960</v>
      </c>
      <c r="N39" s="5">
        <v>1358</v>
      </c>
      <c r="O39" s="5">
        <v>-960</v>
      </c>
      <c r="P39" s="6">
        <v>0</v>
      </c>
      <c r="Q39" s="5">
        <v>960</v>
      </c>
      <c r="R39" s="5">
        <v>1339</v>
      </c>
      <c r="S39" s="5">
        <v>-960</v>
      </c>
      <c r="T39" s="6">
        <v>0</v>
      </c>
      <c r="U39" s="5">
        <v>1080</v>
      </c>
      <c r="V39" s="5">
        <v>1834</v>
      </c>
      <c r="W39" s="5">
        <v>-1080</v>
      </c>
      <c r="X39" s="6">
        <v>0</v>
      </c>
      <c r="Y39" s="21">
        <v>1080</v>
      </c>
      <c r="Z39" s="5">
        <v>1934</v>
      </c>
      <c r="AA39" s="5">
        <v>-1080</v>
      </c>
      <c r="AB39" s="22">
        <v>0</v>
      </c>
      <c r="AC39" s="21">
        <v>960</v>
      </c>
      <c r="AD39" s="85">
        <v>1248</v>
      </c>
      <c r="AE39" s="85">
        <v>-960</v>
      </c>
      <c r="AF39" s="22">
        <v>0</v>
      </c>
      <c r="AG39" s="21">
        <v>960</v>
      </c>
      <c r="AH39" s="5">
        <v>2280</v>
      </c>
      <c r="AI39" s="5">
        <v>-960</v>
      </c>
      <c r="AJ39" s="22">
        <v>0</v>
      </c>
      <c r="AK39" s="21">
        <v>960</v>
      </c>
      <c r="AL39" s="5">
        <v>1512</v>
      </c>
      <c r="AM39" s="5">
        <v>-960</v>
      </c>
      <c r="AN39" s="22">
        <v>0</v>
      </c>
      <c r="AO39" s="21">
        <v>1200</v>
      </c>
      <c r="AP39" s="5">
        <v>1611</v>
      </c>
      <c r="AQ39" s="5">
        <v>-1200</v>
      </c>
      <c r="AR39" s="22">
        <v>0</v>
      </c>
      <c r="AS39" s="21">
        <v>1200</v>
      </c>
      <c r="AT39" s="5">
        <v>12</v>
      </c>
      <c r="AU39" s="5">
        <v>-1200</v>
      </c>
      <c r="AV39" s="22">
        <v>0</v>
      </c>
      <c r="AW39" s="21">
        <v>1200</v>
      </c>
      <c r="AX39" s="5"/>
      <c r="AY39" s="5">
        <f t="shared" si="37"/>
        <v>-1200</v>
      </c>
      <c r="AZ39" s="22">
        <f t="shared" si="33"/>
        <v>0</v>
      </c>
      <c r="BA39" s="21"/>
      <c r="BB39" s="5"/>
      <c r="BC39" s="5">
        <f t="shared" si="38"/>
        <v>0</v>
      </c>
      <c r="BD39" s="22">
        <f t="shared" si="34"/>
        <v>0</v>
      </c>
    </row>
    <row r="40" spans="1:56" x14ac:dyDescent="0.4">
      <c r="A40" s="23">
        <v>5117</v>
      </c>
      <c r="B40" s="24" t="s">
        <v>50</v>
      </c>
      <c r="C40" s="24">
        <v>350</v>
      </c>
      <c r="D40" s="24" t="s">
        <v>4</v>
      </c>
      <c r="E40" s="25">
        <v>1400</v>
      </c>
      <c r="F40" s="25">
        <v>1058</v>
      </c>
      <c r="G40" s="25">
        <v>-342</v>
      </c>
      <c r="H40" s="26">
        <v>75.569999999999993</v>
      </c>
      <c r="I40" s="25">
        <v>1400</v>
      </c>
      <c r="J40" s="25">
        <v>1091</v>
      </c>
      <c r="K40" s="25">
        <v>-308</v>
      </c>
      <c r="L40" s="26">
        <v>77.94</v>
      </c>
      <c r="M40" s="25">
        <v>1400</v>
      </c>
      <c r="N40" s="25">
        <v>1219</v>
      </c>
      <c r="O40" s="25">
        <v>-1400</v>
      </c>
      <c r="P40" s="26">
        <v>0</v>
      </c>
      <c r="Q40" s="25">
        <v>1400</v>
      </c>
      <c r="R40" s="25">
        <v>1429</v>
      </c>
      <c r="S40" s="25">
        <v>-1400</v>
      </c>
      <c r="T40" s="26">
        <v>0</v>
      </c>
      <c r="U40" s="25">
        <v>1400</v>
      </c>
      <c r="V40" s="25">
        <v>663</v>
      </c>
      <c r="W40" s="25">
        <v>-1400</v>
      </c>
      <c r="X40" s="26">
        <v>0</v>
      </c>
      <c r="Y40" s="27">
        <v>1400</v>
      </c>
      <c r="Z40" s="25">
        <v>841</v>
      </c>
      <c r="AA40" s="25">
        <v>-1400</v>
      </c>
      <c r="AB40" s="28">
        <v>0</v>
      </c>
      <c r="AC40" s="27">
        <v>1800</v>
      </c>
      <c r="AD40" s="86">
        <v>224</v>
      </c>
      <c r="AE40" s="86">
        <v>-1800</v>
      </c>
      <c r="AF40" s="28">
        <v>0</v>
      </c>
      <c r="AG40" s="27">
        <v>2000</v>
      </c>
      <c r="AH40" s="25">
        <v>1296</v>
      </c>
      <c r="AI40" s="25">
        <v>-2000</v>
      </c>
      <c r="AJ40" s="28">
        <v>0</v>
      </c>
      <c r="AK40" s="27">
        <v>1600</v>
      </c>
      <c r="AL40" s="25">
        <v>712</v>
      </c>
      <c r="AM40" s="25">
        <v>-1600</v>
      </c>
      <c r="AN40" s="28">
        <v>0</v>
      </c>
      <c r="AO40" s="27">
        <v>1600</v>
      </c>
      <c r="AP40" s="25">
        <v>624</v>
      </c>
      <c r="AQ40" s="25">
        <v>-1600</v>
      </c>
      <c r="AR40" s="28">
        <v>0</v>
      </c>
      <c r="AS40" s="27">
        <v>1800</v>
      </c>
      <c r="AT40" s="25">
        <v>302</v>
      </c>
      <c r="AU40" s="25">
        <v>-1800</v>
      </c>
      <c r="AV40" s="28">
        <v>0</v>
      </c>
      <c r="AW40" s="27">
        <v>2000</v>
      </c>
      <c r="AX40" s="25"/>
      <c r="AY40" s="25">
        <f t="shared" si="37"/>
        <v>-2000</v>
      </c>
      <c r="AZ40" s="28">
        <f t="shared" si="33"/>
        <v>0</v>
      </c>
      <c r="BA40" s="27"/>
      <c r="BB40" s="25"/>
      <c r="BC40" s="25">
        <f t="shared" si="38"/>
        <v>0</v>
      </c>
      <c r="BD40" s="28">
        <f t="shared" si="34"/>
        <v>0</v>
      </c>
    </row>
    <row r="41" spans="1:56" x14ac:dyDescent="0.4">
      <c r="A41" s="14">
        <v>5120</v>
      </c>
      <c r="B41" s="15" t="s">
        <v>51</v>
      </c>
      <c r="C41" s="15"/>
      <c r="D41" s="30" t="s">
        <v>10</v>
      </c>
      <c r="E41" s="16">
        <f>SUBTOTAL(9,E42:E47)</f>
        <v>6600</v>
      </c>
      <c r="F41" s="16">
        <f>SUM(F42:F47)</f>
        <v>3626</v>
      </c>
      <c r="G41" s="16">
        <f t="shared" ref="G41:G101" si="39">F41-E41</f>
        <v>-2974</v>
      </c>
      <c r="H41" s="17">
        <f t="shared" si="0"/>
        <v>0.54939393939393943</v>
      </c>
      <c r="I41" s="16">
        <f>SUBTOTAL(9,I42:I47)</f>
        <v>6818</v>
      </c>
      <c r="J41" s="16">
        <f>SUM(J42:J47)</f>
        <v>4242</v>
      </c>
      <c r="K41" s="16">
        <f t="shared" ref="K41:K101" si="40">J41-I41</f>
        <v>-2576</v>
      </c>
      <c r="L41" s="17">
        <f t="shared" si="1"/>
        <v>0.62217659137576997</v>
      </c>
      <c r="M41" s="16">
        <f>SUBTOTAL(9,M42:M47)</f>
        <v>7315</v>
      </c>
      <c r="N41" s="16">
        <f>SUM(N42:N47)</f>
        <v>6601</v>
      </c>
      <c r="O41" s="16">
        <f t="shared" ref="O41:O101" si="41">N41-M41</f>
        <v>-714</v>
      </c>
      <c r="P41" s="17">
        <f t="shared" si="19"/>
        <v>0.90239234449760763</v>
      </c>
      <c r="Q41" s="16">
        <f>SUBTOTAL(9,Q42:Q47)</f>
        <v>8428</v>
      </c>
      <c r="R41" s="16">
        <f>SUM(R42:R47)</f>
        <v>5703</v>
      </c>
      <c r="S41" s="16">
        <f t="shared" ref="S41" si="42">R41-Q41</f>
        <v>-2725</v>
      </c>
      <c r="T41" s="17">
        <f t="shared" si="20"/>
        <v>0.67667299477930709</v>
      </c>
      <c r="U41" s="16">
        <f>SUBTOTAL(9,U42:U47)</f>
        <v>8215</v>
      </c>
      <c r="V41" s="16">
        <f>SUM(V42:V47)</f>
        <v>6296</v>
      </c>
      <c r="W41" s="16">
        <f t="shared" ref="W41" si="43">V41-U41</f>
        <v>-1919</v>
      </c>
      <c r="X41" s="17">
        <f t="shared" si="4"/>
        <v>0.76640292148508826</v>
      </c>
      <c r="Y41" s="18">
        <f>SUBTOTAL(9,Y42:Y47)</f>
        <v>9076</v>
      </c>
      <c r="Z41" s="16">
        <f>SUM(Z42:Z47)</f>
        <v>8104</v>
      </c>
      <c r="AA41" s="16">
        <f t="shared" ref="AA41" si="44">Z41-Y41</f>
        <v>-972</v>
      </c>
      <c r="AB41" s="19">
        <f t="shared" si="5"/>
        <v>0.8929043631555752</v>
      </c>
      <c r="AC41" s="18">
        <f>SUBTOTAL(9,AC42:AC47)</f>
        <v>8968</v>
      </c>
      <c r="AD41" s="84">
        <f>SUM(AD42:AD47)</f>
        <v>4068</v>
      </c>
      <c r="AE41" s="84">
        <f t="shared" ref="AE41" si="45">AD41-AC41</f>
        <v>-4900</v>
      </c>
      <c r="AF41" s="19">
        <f t="shared" si="6"/>
        <v>0.45361284567350579</v>
      </c>
      <c r="AG41" s="18">
        <f>SUBTOTAL(9,AG42:AG47)</f>
        <v>7480</v>
      </c>
      <c r="AH41" s="16">
        <f>SUM(AH42:AH47)</f>
        <v>6953</v>
      </c>
      <c r="AI41" s="16">
        <f t="shared" ref="AI41" si="46">AH41-AG41</f>
        <v>-527</v>
      </c>
      <c r="AJ41" s="19">
        <f t="shared" si="7"/>
        <v>0.92954545454545456</v>
      </c>
      <c r="AK41" s="18">
        <f>SUBTOTAL(9,AK42:AK47)</f>
        <v>7264</v>
      </c>
      <c r="AL41" s="16">
        <f>SUM(AL42:AL47)</f>
        <v>3864</v>
      </c>
      <c r="AM41" s="16">
        <f t="shared" ref="AM41" si="47">AL41-AK41</f>
        <v>-3400</v>
      </c>
      <c r="AN41" s="19">
        <f t="shared" si="30"/>
        <v>0.5319383259911894</v>
      </c>
      <c r="AO41" s="18">
        <f>SUBTOTAL(9,AO42:AO47)</f>
        <v>6712</v>
      </c>
      <c r="AP41" s="16">
        <f>SUM(AP42:AP47)</f>
        <v>5209</v>
      </c>
      <c r="AQ41" s="16">
        <f t="shared" ref="AQ41" si="48">AP41-AO41</f>
        <v>-1503</v>
      </c>
      <c r="AR41" s="19">
        <f t="shared" si="31"/>
        <v>0.776072705601907</v>
      </c>
      <c r="AS41" s="18">
        <f>SUBTOTAL(9,AS42:AS47)</f>
        <v>6925</v>
      </c>
      <c r="AT41" s="16">
        <f>SUM(AT42:AT47)</f>
        <v>2090</v>
      </c>
      <c r="AU41" s="16">
        <f t="shared" ref="AU41" si="49">AT41-AS41</f>
        <v>-4835</v>
      </c>
      <c r="AV41" s="19">
        <f t="shared" si="32"/>
        <v>0.30180505415162456</v>
      </c>
      <c r="AW41" s="18">
        <f>SUBTOTAL(9,AW42:AW47)</f>
        <v>6553</v>
      </c>
      <c r="AX41" s="16">
        <f>SUM(AX42:AX47)</f>
        <v>0</v>
      </c>
      <c r="AY41" s="16">
        <f t="shared" si="37"/>
        <v>-6553</v>
      </c>
      <c r="AZ41" s="19">
        <f t="shared" si="33"/>
        <v>0</v>
      </c>
      <c r="BA41" s="18">
        <f>SUBTOTAL(9,BA42:BA47)</f>
        <v>0</v>
      </c>
      <c r="BB41" s="16">
        <f>SUM(BB42:BB47)</f>
        <v>0</v>
      </c>
      <c r="BC41" s="16">
        <f t="shared" si="38"/>
        <v>0</v>
      </c>
      <c r="BD41" s="19">
        <f t="shared" si="34"/>
        <v>0</v>
      </c>
    </row>
    <row r="42" spans="1:56" x14ac:dyDescent="0.4">
      <c r="A42" s="20">
        <v>5120</v>
      </c>
      <c r="B42" s="2" t="s">
        <v>51</v>
      </c>
      <c r="C42" s="2">
        <v>310</v>
      </c>
      <c r="D42" s="2" t="s">
        <v>1</v>
      </c>
      <c r="E42" s="5">
        <v>1189</v>
      </c>
      <c r="F42" s="5">
        <f>F49+F56</f>
        <v>261</v>
      </c>
      <c r="G42" s="5">
        <v>-304</v>
      </c>
      <c r="H42" s="6">
        <v>74.400000000000006</v>
      </c>
      <c r="I42" s="5">
        <v>1189</v>
      </c>
      <c r="J42" s="5">
        <f>J49+J56</f>
        <v>456</v>
      </c>
      <c r="K42" s="5">
        <v>-481</v>
      </c>
      <c r="L42" s="6">
        <v>59.55</v>
      </c>
      <c r="M42" s="5">
        <v>1441</v>
      </c>
      <c r="N42" s="5">
        <f>N49+N56</f>
        <v>826</v>
      </c>
      <c r="O42" s="5">
        <v>-1441</v>
      </c>
      <c r="P42" s="6">
        <v>0</v>
      </c>
      <c r="Q42" s="5">
        <v>1585</v>
      </c>
      <c r="R42" s="5">
        <f>R49+R56</f>
        <v>804</v>
      </c>
      <c r="S42" s="5">
        <v>-1585</v>
      </c>
      <c r="T42" s="6">
        <v>0</v>
      </c>
      <c r="U42" s="5">
        <v>1261</v>
      </c>
      <c r="V42" s="5">
        <f>V49+V56</f>
        <v>929</v>
      </c>
      <c r="W42" s="5">
        <v>-1261</v>
      </c>
      <c r="X42" s="6">
        <v>0</v>
      </c>
      <c r="Y42" s="21">
        <v>1537</v>
      </c>
      <c r="Z42" s="5">
        <f>Z49+Z56</f>
        <v>514</v>
      </c>
      <c r="AA42" s="5">
        <v>-1537</v>
      </c>
      <c r="AB42" s="22">
        <v>0</v>
      </c>
      <c r="AC42" s="21">
        <v>1441</v>
      </c>
      <c r="AD42" s="85">
        <f>AD49+AD56</f>
        <v>120</v>
      </c>
      <c r="AE42" s="85">
        <v>-1441</v>
      </c>
      <c r="AF42" s="22">
        <v>0</v>
      </c>
      <c r="AG42" s="21">
        <v>1249</v>
      </c>
      <c r="AH42" s="5">
        <f>AH49+AH56</f>
        <v>565</v>
      </c>
      <c r="AI42" s="5">
        <v>-1249</v>
      </c>
      <c r="AJ42" s="22">
        <v>0</v>
      </c>
      <c r="AK42" s="21">
        <v>1105</v>
      </c>
      <c r="AL42" s="5">
        <f>AL49+AL56</f>
        <v>0</v>
      </c>
      <c r="AM42" s="5">
        <v>-1105</v>
      </c>
      <c r="AN42" s="22">
        <v>0</v>
      </c>
      <c r="AO42" s="21">
        <v>1069</v>
      </c>
      <c r="AP42" s="5">
        <f>AP49+AP56</f>
        <v>288</v>
      </c>
      <c r="AQ42" s="5">
        <v>-1069</v>
      </c>
      <c r="AR42" s="22">
        <v>0</v>
      </c>
      <c r="AS42" s="21">
        <v>1009</v>
      </c>
      <c r="AT42" s="5">
        <f>AT49+AT56</f>
        <v>120</v>
      </c>
      <c r="AU42" s="5">
        <v>-1009</v>
      </c>
      <c r="AV42" s="22">
        <v>0</v>
      </c>
      <c r="AW42" s="21">
        <v>1069</v>
      </c>
      <c r="AX42" s="5">
        <f>AX49+AX56</f>
        <v>0</v>
      </c>
      <c r="AY42" s="5">
        <f t="shared" si="37"/>
        <v>-1069</v>
      </c>
      <c r="AZ42" s="22">
        <f t="shared" si="33"/>
        <v>0</v>
      </c>
      <c r="BA42" s="21"/>
      <c r="BB42" s="5">
        <f>BB49+BB56</f>
        <v>0</v>
      </c>
      <c r="BC42" s="5">
        <f t="shared" si="38"/>
        <v>0</v>
      </c>
      <c r="BD42" s="22">
        <f t="shared" si="34"/>
        <v>0</v>
      </c>
    </row>
    <row r="43" spans="1:56" x14ac:dyDescent="0.4">
      <c r="A43" s="20">
        <v>5120</v>
      </c>
      <c r="B43" s="2" t="s">
        <v>51</v>
      </c>
      <c r="C43" s="2">
        <v>320</v>
      </c>
      <c r="D43" s="2" t="s">
        <v>2</v>
      </c>
      <c r="E43" s="5">
        <v>1271</v>
      </c>
      <c r="F43" s="5">
        <f t="shared" ref="F43:F47" si="50">F50+F57</f>
        <v>528</v>
      </c>
      <c r="G43" s="5">
        <v>-803</v>
      </c>
      <c r="H43" s="6">
        <v>36.82</v>
      </c>
      <c r="I43" s="5">
        <v>1302</v>
      </c>
      <c r="J43" s="5">
        <f t="shared" ref="J43:J47" si="51">J50+J57</f>
        <v>882</v>
      </c>
      <c r="K43" s="5">
        <v>-420</v>
      </c>
      <c r="L43" s="6">
        <v>67.73</v>
      </c>
      <c r="M43" s="5">
        <v>1254</v>
      </c>
      <c r="N43" s="5">
        <f t="shared" ref="N43:N47" si="52">N50+N57</f>
        <v>760</v>
      </c>
      <c r="O43" s="5">
        <v>-1254</v>
      </c>
      <c r="P43" s="6">
        <v>0</v>
      </c>
      <c r="Q43" s="5">
        <v>1590</v>
      </c>
      <c r="R43" s="5">
        <f t="shared" ref="R43:R47" si="53">R50+R57</f>
        <v>1105</v>
      </c>
      <c r="S43" s="5">
        <v>-1590</v>
      </c>
      <c r="T43" s="6">
        <v>0</v>
      </c>
      <c r="U43" s="5">
        <v>1422</v>
      </c>
      <c r="V43" s="5">
        <f t="shared" ref="V43:V47" si="54">V50+V57</f>
        <v>1688</v>
      </c>
      <c r="W43" s="5">
        <v>-1422</v>
      </c>
      <c r="X43" s="6">
        <v>0</v>
      </c>
      <c r="Y43" s="21">
        <v>1674</v>
      </c>
      <c r="Z43" s="5">
        <f t="shared" ref="Z43:Z47" si="55">Z50+Z57</f>
        <v>1971</v>
      </c>
      <c r="AA43" s="5">
        <v>-1674</v>
      </c>
      <c r="AB43" s="22">
        <v>0</v>
      </c>
      <c r="AC43" s="21">
        <v>1350</v>
      </c>
      <c r="AD43" s="85">
        <f t="shared" ref="AD43:AD47" si="56">AD50+AD57</f>
        <v>1316</v>
      </c>
      <c r="AE43" s="85">
        <v>-1350</v>
      </c>
      <c r="AF43" s="22">
        <v>0</v>
      </c>
      <c r="AG43" s="21">
        <v>1062</v>
      </c>
      <c r="AH43" s="5">
        <f t="shared" ref="AH43:AH47" si="57">AH50+AH57</f>
        <v>2113</v>
      </c>
      <c r="AI43" s="5">
        <v>-1062</v>
      </c>
      <c r="AJ43" s="22">
        <v>0</v>
      </c>
      <c r="AK43" s="21">
        <v>1086</v>
      </c>
      <c r="AL43" s="5">
        <f t="shared" ref="AL43:AL47" si="58">AL50+AL57</f>
        <v>1546</v>
      </c>
      <c r="AM43" s="5">
        <v>-1086</v>
      </c>
      <c r="AN43" s="22">
        <v>0</v>
      </c>
      <c r="AO43" s="21">
        <v>1086</v>
      </c>
      <c r="AP43" s="5">
        <f t="shared" ref="AP43:AP47" si="59">AP50+AP57</f>
        <v>904</v>
      </c>
      <c r="AQ43" s="5">
        <v>-1086</v>
      </c>
      <c r="AR43" s="22">
        <v>0</v>
      </c>
      <c r="AS43" s="21">
        <v>1086</v>
      </c>
      <c r="AT43" s="5">
        <f t="shared" ref="AT43:AT47" si="60">AT50+AT57</f>
        <v>578</v>
      </c>
      <c r="AU43" s="5">
        <v>-1086</v>
      </c>
      <c r="AV43" s="22">
        <v>0</v>
      </c>
      <c r="AW43" s="21">
        <v>942</v>
      </c>
      <c r="AX43" s="5">
        <f t="shared" ref="AX43:AX47" si="61">AX50+AX57</f>
        <v>0</v>
      </c>
      <c r="AY43" s="5">
        <f t="shared" si="37"/>
        <v>-942</v>
      </c>
      <c r="AZ43" s="22">
        <f t="shared" si="33"/>
        <v>0</v>
      </c>
      <c r="BA43" s="21"/>
      <c r="BB43" s="5">
        <f t="shared" ref="BB43:BB47" si="62">BB50+BB57</f>
        <v>0</v>
      </c>
      <c r="BC43" s="5">
        <f t="shared" si="38"/>
        <v>0</v>
      </c>
      <c r="BD43" s="22">
        <f t="shared" si="34"/>
        <v>0</v>
      </c>
    </row>
    <row r="44" spans="1:56" x14ac:dyDescent="0.4">
      <c r="A44" s="20">
        <v>5120</v>
      </c>
      <c r="B44" s="2" t="s">
        <v>51</v>
      </c>
      <c r="C44" s="2">
        <v>330</v>
      </c>
      <c r="D44" s="2" t="s">
        <v>3</v>
      </c>
      <c r="E44" s="5">
        <v>1002</v>
      </c>
      <c r="F44" s="5">
        <f t="shared" si="50"/>
        <v>1043</v>
      </c>
      <c r="G44" s="5">
        <v>-60</v>
      </c>
      <c r="H44" s="6">
        <v>94.01</v>
      </c>
      <c r="I44" s="5">
        <v>1072</v>
      </c>
      <c r="J44" s="5">
        <f t="shared" si="51"/>
        <v>1176</v>
      </c>
      <c r="K44" s="5">
        <v>104</v>
      </c>
      <c r="L44" s="6">
        <v>109.7</v>
      </c>
      <c r="M44" s="5">
        <v>1074</v>
      </c>
      <c r="N44" s="5">
        <f t="shared" si="52"/>
        <v>616</v>
      </c>
      <c r="O44" s="5">
        <v>-1074</v>
      </c>
      <c r="P44" s="6">
        <v>0</v>
      </c>
      <c r="Q44" s="5">
        <v>1254</v>
      </c>
      <c r="R44" s="5">
        <f t="shared" si="53"/>
        <v>459</v>
      </c>
      <c r="S44" s="5">
        <v>-1254</v>
      </c>
      <c r="T44" s="6">
        <v>0</v>
      </c>
      <c r="U44" s="5">
        <v>1626</v>
      </c>
      <c r="V44" s="5">
        <f t="shared" si="54"/>
        <v>1234</v>
      </c>
      <c r="W44" s="5">
        <v>-1626</v>
      </c>
      <c r="X44" s="6">
        <v>0</v>
      </c>
      <c r="Y44" s="21">
        <v>1506</v>
      </c>
      <c r="Z44" s="5">
        <f t="shared" si="55"/>
        <v>985</v>
      </c>
      <c r="AA44" s="5">
        <v>-1506</v>
      </c>
      <c r="AB44" s="22">
        <v>0</v>
      </c>
      <c r="AC44" s="21">
        <v>1770</v>
      </c>
      <c r="AD44" s="85">
        <f t="shared" si="56"/>
        <v>704</v>
      </c>
      <c r="AE44" s="85">
        <v>-1770</v>
      </c>
      <c r="AF44" s="22">
        <v>0</v>
      </c>
      <c r="AG44" s="21">
        <v>1254</v>
      </c>
      <c r="AH44" s="5">
        <f t="shared" si="57"/>
        <v>1175</v>
      </c>
      <c r="AI44" s="5">
        <v>-1254</v>
      </c>
      <c r="AJ44" s="22">
        <v>0</v>
      </c>
      <c r="AK44" s="21">
        <v>1098</v>
      </c>
      <c r="AL44" s="5">
        <f t="shared" si="58"/>
        <v>479</v>
      </c>
      <c r="AM44" s="5">
        <v>-1098</v>
      </c>
      <c r="AN44" s="22">
        <v>0</v>
      </c>
      <c r="AO44" s="21">
        <v>1098</v>
      </c>
      <c r="AP44" s="5">
        <f t="shared" si="59"/>
        <v>895</v>
      </c>
      <c r="AQ44" s="5">
        <v>-1098</v>
      </c>
      <c r="AR44" s="22">
        <v>0</v>
      </c>
      <c r="AS44" s="21">
        <v>1098</v>
      </c>
      <c r="AT44" s="5">
        <f t="shared" si="60"/>
        <v>360</v>
      </c>
      <c r="AU44" s="5">
        <v>-1098</v>
      </c>
      <c r="AV44" s="22">
        <v>0</v>
      </c>
      <c r="AW44" s="21">
        <v>1158</v>
      </c>
      <c r="AX44" s="5">
        <f t="shared" si="61"/>
        <v>0</v>
      </c>
      <c r="AY44" s="5">
        <f t="shared" si="37"/>
        <v>-1158</v>
      </c>
      <c r="AZ44" s="22">
        <f t="shared" si="33"/>
        <v>0</v>
      </c>
      <c r="BA44" s="21"/>
      <c r="BB44" s="5">
        <f t="shared" si="62"/>
        <v>0</v>
      </c>
      <c r="BC44" s="5">
        <f t="shared" si="38"/>
        <v>0</v>
      </c>
      <c r="BD44" s="22">
        <f t="shared" si="34"/>
        <v>0</v>
      </c>
    </row>
    <row r="45" spans="1:56" x14ac:dyDescent="0.4">
      <c r="A45" s="20">
        <v>5120</v>
      </c>
      <c r="B45" s="2" t="s">
        <v>51</v>
      </c>
      <c r="C45" s="2">
        <v>341</v>
      </c>
      <c r="D45" s="2" t="s">
        <v>42</v>
      </c>
      <c r="E45" s="5">
        <v>636</v>
      </c>
      <c r="F45" s="5">
        <f t="shared" si="50"/>
        <v>402</v>
      </c>
      <c r="G45" s="5">
        <v>-324</v>
      </c>
      <c r="H45" s="6">
        <v>49.06</v>
      </c>
      <c r="I45" s="5">
        <v>624</v>
      </c>
      <c r="J45" s="5">
        <f t="shared" si="51"/>
        <v>246</v>
      </c>
      <c r="K45" s="5">
        <v>-522</v>
      </c>
      <c r="L45" s="6">
        <v>16.350000000000001</v>
      </c>
      <c r="M45" s="5">
        <v>852</v>
      </c>
      <c r="N45" s="5">
        <f t="shared" si="52"/>
        <v>482</v>
      </c>
      <c r="O45" s="5">
        <v>-852</v>
      </c>
      <c r="P45" s="6">
        <v>0</v>
      </c>
      <c r="Q45" s="5">
        <v>792</v>
      </c>
      <c r="R45" s="5">
        <f t="shared" si="53"/>
        <v>1104</v>
      </c>
      <c r="S45" s="5">
        <v>-792</v>
      </c>
      <c r="T45" s="6">
        <v>0</v>
      </c>
      <c r="U45" s="5">
        <v>840</v>
      </c>
      <c r="V45" s="5">
        <f t="shared" si="54"/>
        <v>1044</v>
      </c>
      <c r="W45" s="5">
        <v>-840</v>
      </c>
      <c r="X45" s="6">
        <v>0</v>
      </c>
      <c r="Y45" s="21">
        <v>780</v>
      </c>
      <c r="Z45" s="5">
        <f t="shared" si="55"/>
        <v>1391</v>
      </c>
      <c r="AA45" s="5">
        <v>-780</v>
      </c>
      <c r="AB45" s="22">
        <v>0</v>
      </c>
      <c r="AC45" s="21">
        <v>960</v>
      </c>
      <c r="AD45" s="85">
        <f t="shared" si="56"/>
        <v>759</v>
      </c>
      <c r="AE45" s="85">
        <v>-960</v>
      </c>
      <c r="AF45" s="22">
        <v>0</v>
      </c>
      <c r="AG45" s="21">
        <v>660</v>
      </c>
      <c r="AH45" s="5">
        <f t="shared" si="57"/>
        <v>1258</v>
      </c>
      <c r="AI45" s="5">
        <v>-660</v>
      </c>
      <c r="AJ45" s="22">
        <v>0</v>
      </c>
      <c r="AK45" s="21">
        <v>756</v>
      </c>
      <c r="AL45" s="5">
        <f t="shared" si="58"/>
        <v>536</v>
      </c>
      <c r="AM45" s="5">
        <v>-756</v>
      </c>
      <c r="AN45" s="22">
        <v>0</v>
      </c>
      <c r="AO45" s="21">
        <v>624</v>
      </c>
      <c r="AP45" s="5">
        <f t="shared" si="59"/>
        <v>884</v>
      </c>
      <c r="AQ45" s="5">
        <v>-624</v>
      </c>
      <c r="AR45" s="22">
        <v>0</v>
      </c>
      <c r="AS45" s="21">
        <v>624</v>
      </c>
      <c r="AT45" s="5">
        <f t="shared" si="60"/>
        <v>119</v>
      </c>
      <c r="AU45" s="5">
        <v>-624</v>
      </c>
      <c r="AV45" s="22">
        <v>0</v>
      </c>
      <c r="AW45" s="21">
        <v>624</v>
      </c>
      <c r="AX45" s="5">
        <f t="shared" si="61"/>
        <v>0</v>
      </c>
      <c r="AY45" s="5">
        <f t="shared" si="37"/>
        <v>-624</v>
      </c>
      <c r="AZ45" s="22">
        <f t="shared" si="33"/>
        <v>0</v>
      </c>
      <c r="BA45" s="21"/>
      <c r="BB45" s="5">
        <f t="shared" si="62"/>
        <v>0</v>
      </c>
      <c r="BC45" s="5">
        <f t="shared" si="38"/>
        <v>0</v>
      </c>
      <c r="BD45" s="22">
        <f t="shared" si="34"/>
        <v>0</v>
      </c>
    </row>
    <row r="46" spans="1:56" x14ac:dyDescent="0.4">
      <c r="A46" s="20">
        <v>5120</v>
      </c>
      <c r="B46" s="2" t="s">
        <v>51</v>
      </c>
      <c r="C46" s="2">
        <v>342</v>
      </c>
      <c r="D46" s="2" t="s">
        <v>43</v>
      </c>
      <c r="E46" s="5">
        <v>1326</v>
      </c>
      <c r="F46" s="5">
        <f t="shared" si="50"/>
        <v>954</v>
      </c>
      <c r="G46" s="5">
        <v>-306</v>
      </c>
      <c r="H46" s="6">
        <v>76.92</v>
      </c>
      <c r="I46" s="5">
        <v>1338</v>
      </c>
      <c r="J46" s="5">
        <f t="shared" si="51"/>
        <v>522</v>
      </c>
      <c r="K46" s="5">
        <v>-906</v>
      </c>
      <c r="L46" s="6">
        <v>32.29</v>
      </c>
      <c r="M46" s="5">
        <v>1338</v>
      </c>
      <c r="N46" s="5">
        <f t="shared" si="52"/>
        <v>354</v>
      </c>
      <c r="O46" s="5">
        <v>-1338</v>
      </c>
      <c r="P46" s="6">
        <v>0</v>
      </c>
      <c r="Q46" s="5">
        <v>1566</v>
      </c>
      <c r="R46" s="5">
        <f t="shared" si="53"/>
        <v>952</v>
      </c>
      <c r="S46" s="5">
        <v>-1566</v>
      </c>
      <c r="T46" s="6">
        <v>0</v>
      </c>
      <c r="U46" s="5">
        <v>1494</v>
      </c>
      <c r="V46" s="5">
        <f t="shared" si="54"/>
        <v>614</v>
      </c>
      <c r="W46" s="5">
        <v>-1494</v>
      </c>
      <c r="X46" s="6">
        <v>0</v>
      </c>
      <c r="Y46" s="21">
        <v>1710</v>
      </c>
      <c r="Z46" s="5">
        <f t="shared" si="55"/>
        <v>1386</v>
      </c>
      <c r="AA46" s="5">
        <v>-1710</v>
      </c>
      <c r="AB46" s="22">
        <v>0</v>
      </c>
      <c r="AC46" s="21">
        <v>1638</v>
      </c>
      <c r="AD46" s="85">
        <f t="shared" si="56"/>
        <v>809</v>
      </c>
      <c r="AE46" s="85">
        <v>-1638</v>
      </c>
      <c r="AF46" s="22">
        <v>0</v>
      </c>
      <c r="AG46" s="21">
        <v>1326</v>
      </c>
      <c r="AH46" s="5">
        <f t="shared" si="57"/>
        <v>576</v>
      </c>
      <c r="AI46" s="5">
        <v>-1326</v>
      </c>
      <c r="AJ46" s="22">
        <v>0</v>
      </c>
      <c r="AK46" s="21">
        <v>1578</v>
      </c>
      <c r="AL46" s="5">
        <f t="shared" si="58"/>
        <v>853</v>
      </c>
      <c r="AM46" s="5">
        <v>-1578</v>
      </c>
      <c r="AN46" s="22">
        <v>0</v>
      </c>
      <c r="AO46" s="21">
        <v>1410</v>
      </c>
      <c r="AP46" s="5">
        <f t="shared" si="59"/>
        <v>986</v>
      </c>
      <c r="AQ46" s="5">
        <v>-1410</v>
      </c>
      <c r="AR46" s="22">
        <v>0</v>
      </c>
      <c r="AS46" s="21">
        <v>1650</v>
      </c>
      <c r="AT46" s="5">
        <f t="shared" si="60"/>
        <v>390</v>
      </c>
      <c r="AU46" s="5">
        <v>-1650</v>
      </c>
      <c r="AV46" s="22">
        <v>0</v>
      </c>
      <c r="AW46" s="21">
        <v>1290</v>
      </c>
      <c r="AX46" s="5">
        <f t="shared" si="61"/>
        <v>0</v>
      </c>
      <c r="AY46" s="5">
        <f t="shared" si="37"/>
        <v>-1290</v>
      </c>
      <c r="AZ46" s="22">
        <f t="shared" si="33"/>
        <v>0</v>
      </c>
      <c r="BA46" s="21"/>
      <c r="BB46" s="5">
        <f t="shared" si="62"/>
        <v>0</v>
      </c>
      <c r="BC46" s="5">
        <f t="shared" si="38"/>
        <v>0</v>
      </c>
      <c r="BD46" s="22">
        <f t="shared" si="34"/>
        <v>0</v>
      </c>
    </row>
    <row r="47" spans="1:56" x14ac:dyDescent="0.4">
      <c r="A47" s="20">
        <v>5120</v>
      </c>
      <c r="B47" s="2" t="s">
        <v>51</v>
      </c>
      <c r="C47" s="2">
        <v>350</v>
      </c>
      <c r="D47" s="2" t="s">
        <v>4</v>
      </c>
      <c r="E47" s="5">
        <v>1176</v>
      </c>
      <c r="F47" s="5">
        <f t="shared" si="50"/>
        <v>438</v>
      </c>
      <c r="G47" s="5">
        <v>-672</v>
      </c>
      <c r="H47" s="6">
        <v>42.86</v>
      </c>
      <c r="I47" s="5">
        <v>1293</v>
      </c>
      <c r="J47" s="5">
        <f t="shared" si="51"/>
        <v>960</v>
      </c>
      <c r="K47" s="5">
        <v>-75</v>
      </c>
      <c r="L47" s="6">
        <v>94.2</v>
      </c>
      <c r="M47" s="5">
        <v>1356</v>
      </c>
      <c r="N47" s="5">
        <f t="shared" si="52"/>
        <v>3563</v>
      </c>
      <c r="O47" s="5">
        <v>-1356</v>
      </c>
      <c r="P47" s="6">
        <v>0</v>
      </c>
      <c r="Q47" s="5">
        <v>1641</v>
      </c>
      <c r="R47" s="5">
        <f t="shared" si="53"/>
        <v>1279</v>
      </c>
      <c r="S47" s="5">
        <v>-1641</v>
      </c>
      <c r="T47" s="6">
        <v>0</v>
      </c>
      <c r="U47" s="5">
        <v>1572</v>
      </c>
      <c r="V47" s="5">
        <f t="shared" si="54"/>
        <v>787</v>
      </c>
      <c r="W47" s="5">
        <v>-1572</v>
      </c>
      <c r="X47" s="6">
        <v>0</v>
      </c>
      <c r="Y47" s="21">
        <v>1869</v>
      </c>
      <c r="Z47" s="5">
        <f t="shared" si="55"/>
        <v>1857</v>
      </c>
      <c r="AA47" s="5">
        <v>-1869</v>
      </c>
      <c r="AB47" s="22">
        <v>0</v>
      </c>
      <c r="AC47" s="21">
        <v>1809</v>
      </c>
      <c r="AD47" s="85">
        <f t="shared" si="56"/>
        <v>360</v>
      </c>
      <c r="AE47" s="85">
        <v>-1809</v>
      </c>
      <c r="AF47" s="22">
        <v>0</v>
      </c>
      <c r="AG47" s="21">
        <v>1929</v>
      </c>
      <c r="AH47" s="5">
        <f t="shared" si="57"/>
        <v>1266</v>
      </c>
      <c r="AI47" s="5">
        <v>-1929</v>
      </c>
      <c r="AJ47" s="22">
        <v>0</v>
      </c>
      <c r="AK47" s="21">
        <v>1641</v>
      </c>
      <c r="AL47" s="5">
        <f t="shared" si="58"/>
        <v>450</v>
      </c>
      <c r="AM47" s="5">
        <v>-1641</v>
      </c>
      <c r="AN47" s="22">
        <v>0</v>
      </c>
      <c r="AO47" s="21">
        <v>1425</v>
      </c>
      <c r="AP47" s="5">
        <f t="shared" si="59"/>
        <v>1252</v>
      </c>
      <c r="AQ47" s="5">
        <v>-1425</v>
      </c>
      <c r="AR47" s="22">
        <v>0</v>
      </c>
      <c r="AS47" s="21">
        <v>1458</v>
      </c>
      <c r="AT47" s="5">
        <f t="shared" si="60"/>
        <v>523</v>
      </c>
      <c r="AU47" s="5">
        <v>-1458</v>
      </c>
      <c r="AV47" s="22">
        <v>0</v>
      </c>
      <c r="AW47" s="21">
        <v>1470</v>
      </c>
      <c r="AX47" s="5">
        <f t="shared" si="61"/>
        <v>0</v>
      </c>
      <c r="AY47" s="5">
        <f t="shared" si="37"/>
        <v>-1470</v>
      </c>
      <c r="AZ47" s="22">
        <f t="shared" si="33"/>
        <v>0</v>
      </c>
      <c r="BA47" s="21"/>
      <c r="BB47" s="5">
        <f t="shared" si="62"/>
        <v>0</v>
      </c>
      <c r="BC47" s="5">
        <f t="shared" si="38"/>
        <v>0</v>
      </c>
      <c r="BD47" s="22">
        <f t="shared" si="34"/>
        <v>0</v>
      </c>
    </row>
    <row r="48" spans="1:56" x14ac:dyDescent="0.4">
      <c r="A48" s="31"/>
      <c r="B48" s="32" t="s">
        <v>52</v>
      </c>
      <c r="C48" s="33"/>
      <c r="D48" s="33" t="s">
        <v>52</v>
      </c>
      <c r="E48" s="34"/>
      <c r="F48" s="34"/>
      <c r="G48" s="34"/>
      <c r="H48" s="35"/>
      <c r="I48" s="34"/>
      <c r="J48" s="34"/>
      <c r="K48" s="34"/>
      <c r="L48" s="35"/>
      <c r="M48" s="34"/>
      <c r="N48" s="34"/>
      <c r="O48" s="34"/>
      <c r="P48" s="35"/>
      <c r="Q48" s="34"/>
      <c r="R48" s="34">
        <f>SUM(R49:R55)</f>
        <v>5703</v>
      </c>
      <c r="S48" s="34"/>
      <c r="T48" s="35"/>
      <c r="U48" s="34"/>
      <c r="V48" s="34">
        <f>SUM(V49:V54)</f>
        <v>4796</v>
      </c>
      <c r="W48" s="34"/>
      <c r="X48" s="35"/>
      <c r="Y48" s="36"/>
      <c r="Z48" s="34">
        <f>SUM(Z49:Z54)</f>
        <v>5944</v>
      </c>
      <c r="AA48" s="34"/>
      <c r="AB48" s="37"/>
      <c r="AC48" s="36"/>
      <c r="AD48" s="88">
        <f>SUM(AD49:AD54)</f>
        <v>1308</v>
      </c>
      <c r="AE48" s="88"/>
      <c r="AF48" s="37"/>
      <c r="AG48" s="36"/>
      <c r="AH48" s="34">
        <f>SUM(AH49:AH54)</f>
        <v>4553</v>
      </c>
      <c r="AI48" s="34"/>
      <c r="AJ48" s="37"/>
      <c r="AK48" s="36"/>
      <c r="AL48" s="34">
        <f>SUM(AL49:AL54)</f>
        <v>1884</v>
      </c>
      <c r="AM48" s="34"/>
      <c r="AN48" s="37"/>
      <c r="AO48" s="36"/>
      <c r="AP48" s="34">
        <f>SUM(AP49:AP54)</f>
        <v>3349</v>
      </c>
      <c r="AQ48" s="34"/>
      <c r="AR48" s="37"/>
      <c r="AS48" s="36"/>
      <c r="AT48" s="34">
        <f>SUM(AT49:AT54)</f>
        <v>770</v>
      </c>
      <c r="AU48" s="34"/>
      <c r="AV48" s="37"/>
      <c r="AW48" s="36"/>
      <c r="AX48" s="34">
        <f>SUM(AX49:AX54)</f>
        <v>0</v>
      </c>
      <c r="AY48" s="34"/>
      <c r="AZ48" s="37"/>
      <c r="BA48" s="36"/>
      <c r="BB48" s="34">
        <f>SUM(BB49:BB54)</f>
        <v>0</v>
      </c>
      <c r="BC48" s="34"/>
      <c r="BD48" s="37"/>
    </row>
    <row r="49" spans="1:56" x14ac:dyDescent="0.4">
      <c r="A49" s="20"/>
      <c r="B49" s="38" t="s">
        <v>53</v>
      </c>
      <c r="C49" s="2">
        <v>310</v>
      </c>
      <c r="D49" s="2" t="s">
        <v>1</v>
      </c>
      <c r="E49" s="39" t="s">
        <v>54</v>
      </c>
      <c r="F49" s="5">
        <v>261</v>
      </c>
      <c r="G49" s="177" t="s">
        <v>54</v>
      </c>
      <c r="H49" s="177" t="s">
        <v>54</v>
      </c>
      <c r="I49" s="39" t="s">
        <v>54</v>
      </c>
      <c r="J49" s="5">
        <v>396</v>
      </c>
      <c r="K49" s="39" t="s">
        <v>54</v>
      </c>
      <c r="L49" s="39" t="s">
        <v>54</v>
      </c>
      <c r="M49" s="39" t="s">
        <v>54</v>
      </c>
      <c r="N49" s="5">
        <v>586</v>
      </c>
      <c r="O49" s="39" t="s">
        <v>54</v>
      </c>
      <c r="P49" s="39" t="s">
        <v>54</v>
      </c>
      <c r="Q49" s="39" t="s">
        <v>54</v>
      </c>
      <c r="R49" s="5">
        <v>564</v>
      </c>
      <c r="S49" s="39" t="s">
        <v>54</v>
      </c>
      <c r="T49" s="39" t="s">
        <v>54</v>
      </c>
      <c r="U49" s="39" t="s">
        <v>54</v>
      </c>
      <c r="V49" s="5">
        <v>689</v>
      </c>
      <c r="W49" s="39" t="s">
        <v>54</v>
      </c>
      <c r="X49" s="39" t="s">
        <v>54</v>
      </c>
      <c r="Y49" s="39" t="s">
        <v>54</v>
      </c>
      <c r="Z49" s="5">
        <v>274</v>
      </c>
      <c r="AA49" s="40" t="s">
        <v>54</v>
      </c>
      <c r="AB49" s="41" t="s">
        <v>54</v>
      </c>
      <c r="AC49" s="39" t="s">
        <v>54</v>
      </c>
      <c r="AD49" s="85">
        <v>0</v>
      </c>
      <c r="AE49" s="89" t="s">
        <v>54</v>
      </c>
      <c r="AF49" s="41" t="s">
        <v>54</v>
      </c>
      <c r="AG49" s="39" t="s">
        <v>54</v>
      </c>
      <c r="AH49" s="5">
        <v>445</v>
      </c>
      <c r="AI49" s="40" t="s">
        <v>54</v>
      </c>
      <c r="AJ49" s="41" t="s">
        <v>54</v>
      </c>
      <c r="AK49" s="39" t="s">
        <v>54</v>
      </c>
      <c r="AL49" s="5">
        <v>0</v>
      </c>
      <c r="AM49" s="40" t="s">
        <v>54</v>
      </c>
      <c r="AN49" s="41" t="s">
        <v>54</v>
      </c>
      <c r="AO49" s="39" t="s">
        <v>54</v>
      </c>
      <c r="AP49" s="5">
        <v>228</v>
      </c>
      <c r="AQ49" s="40" t="s">
        <v>54</v>
      </c>
      <c r="AR49" s="41" t="s">
        <v>54</v>
      </c>
      <c r="AS49" s="39" t="s">
        <v>54</v>
      </c>
      <c r="AT49" s="5">
        <v>0</v>
      </c>
      <c r="AU49" s="40" t="s">
        <v>54</v>
      </c>
      <c r="AV49" s="41" t="s">
        <v>54</v>
      </c>
      <c r="AW49" s="39" t="s">
        <v>54</v>
      </c>
      <c r="AX49" s="5"/>
      <c r="AY49" s="40" t="s">
        <v>54</v>
      </c>
      <c r="AZ49" s="41" t="s">
        <v>54</v>
      </c>
      <c r="BA49" s="39" t="s">
        <v>54</v>
      </c>
      <c r="BB49" s="5"/>
      <c r="BC49" s="40" t="s">
        <v>54</v>
      </c>
      <c r="BD49" s="41" t="s">
        <v>54</v>
      </c>
    </row>
    <row r="50" spans="1:56" x14ac:dyDescent="0.4">
      <c r="A50" s="20"/>
      <c r="B50" s="38" t="s">
        <v>53</v>
      </c>
      <c r="C50" s="2">
        <v>320</v>
      </c>
      <c r="D50" s="2" t="s">
        <v>2</v>
      </c>
      <c r="E50" s="39" t="s">
        <v>54</v>
      </c>
      <c r="F50" s="5">
        <v>288</v>
      </c>
      <c r="G50" s="177" t="s">
        <v>54</v>
      </c>
      <c r="H50" s="177" t="s">
        <v>54</v>
      </c>
      <c r="I50" s="39" t="s">
        <v>54</v>
      </c>
      <c r="J50" s="5">
        <v>702</v>
      </c>
      <c r="K50" s="39" t="s">
        <v>54</v>
      </c>
      <c r="L50" s="39" t="s">
        <v>54</v>
      </c>
      <c r="M50" s="39" t="s">
        <v>54</v>
      </c>
      <c r="N50" s="5">
        <v>520</v>
      </c>
      <c r="O50" s="39" t="s">
        <v>54</v>
      </c>
      <c r="P50" s="39" t="s">
        <v>54</v>
      </c>
      <c r="Q50" s="39" t="s">
        <v>54</v>
      </c>
      <c r="R50" s="5">
        <v>745</v>
      </c>
      <c r="S50" s="39" t="s">
        <v>54</v>
      </c>
      <c r="T50" s="39" t="s">
        <v>54</v>
      </c>
      <c r="U50" s="39" t="s">
        <v>54</v>
      </c>
      <c r="V50" s="5">
        <v>1328</v>
      </c>
      <c r="W50" s="39" t="s">
        <v>54</v>
      </c>
      <c r="X50" s="39" t="s">
        <v>54</v>
      </c>
      <c r="Y50" s="39" t="s">
        <v>54</v>
      </c>
      <c r="Z50" s="5">
        <v>1611</v>
      </c>
      <c r="AA50" s="40" t="s">
        <v>54</v>
      </c>
      <c r="AB50" s="41" t="s">
        <v>54</v>
      </c>
      <c r="AC50" s="39" t="s">
        <v>54</v>
      </c>
      <c r="AD50" s="85">
        <v>596</v>
      </c>
      <c r="AE50" s="89" t="s">
        <v>54</v>
      </c>
      <c r="AF50" s="41" t="s">
        <v>54</v>
      </c>
      <c r="AG50" s="39" t="s">
        <v>54</v>
      </c>
      <c r="AH50" s="5">
        <v>1513</v>
      </c>
      <c r="AI50" s="40" t="s">
        <v>54</v>
      </c>
      <c r="AJ50" s="41" t="s">
        <v>54</v>
      </c>
      <c r="AK50" s="39" t="s">
        <v>54</v>
      </c>
      <c r="AL50" s="5">
        <v>946</v>
      </c>
      <c r="AM50" s="40" t="s">
        <v>54</v>
      </c>
      <c r="AN50" s="41" t="s">
        <v>54</v>
      </c>
      <c r="AO50" s="39" t="s">
        <v>54</v>
      </c>
      <c r="AP50" s="5">
        <v>304</v>
      </c>
      <c r="AQ50" s="40" t="s">
        <v>54</v>
      </c>
      <c r="AR50" s="41" t="s">
        <v>54</v>
      </c>
      <c r="AS50" s="39" t="s">
        <v>54</v>
      </c>
      <c r="AT50" s="5">
        <v>278</v>
      </c>
      <c r="AU50" s="40" t="s">
        <v>54</v>
      </c>
      <c r="AV50" s="41" t="s">
        <v>54</v>
      </c>
      <c r="AW50" s="39" t="s">
        <v>54</v>
      </c>
      <c r="AX50" s="5"/>
      <c r="AY50" s="40" t="s">
        <v>54</v>
      </c>
      <c r="AZ50" s="41" t="s">
        <v>54</v>
      </c>
      <c r="BA50" s="39" t="s">
        <v>54</v>
      </c>
      <c r="BB50" s="5"/>
      <c r="BC50" s="40" t="s">
        <v>54</v>
      </c>
      <c r="BD50" s="41" t="s">
        <v>54</v>
      </c>
    </row>
    <row r="51" spans="1:56" x14ac:dyDescent="0.4">
      <c r="A51" s="20"/>
      <c r="B51" s="38" t="s">
        <v>53</v>
      </c>
      <c r="C51" s="2">
        <v>330</v>
      </c>
      <c r="D51" s="2" t="s">
        <v>3</v>
      </c>
      <c r="E51" s="39" t="s">
        <v>54</v>
      </c>
      <c r="F51" s="5">
        <v>803</v>
      </c>
      <c r="G51" s="177" t="s">
        <v>54</v>
      </c>
      <c r="H51" s="177" t="s">
        <v>54</v>
      </c>
      <c r="I51" s="39" t="s">
        <v>54</v>
      </c>
      <c r="J51" s="5">
        <v>936</v>
      </c>
      <c r="K51" s="39" t="s">
        <v>54</v>
      </c>
      <c r="L51" s="39" t="s">
        <v>54</v>
      </c>
      <c r="M51" s="39" t="s">
        <v>54</v>
      </c>
      <c r="N51" s="5">
        <v>496</v>
      </c>
      <c r="O51" s="39" t="s">
        <v>54</v>
      </c>
      <c r="P51" s="39" t="s">
        <v>54</v>
      </c>
      <c r="Q51" s="39" t="s">
        <v>54</v>
      </c>
      <c r="R51" s="5">
        <v>219</v>
      </c>
      <c r="S51" s="39" t="s">
        <v>54</v>
      </c>
      <c r="T51" s="39" t="s">
        <v>54</v>
      </c>
      <c r="U51" s="39" t="s">
        <v>54</v>
      </c>
      <c r="V51" s="5">
        <v>1054</v>
      </c>
      <c r="W51" s="39" t="s">
        <v>54</v>
      </c>
      <c r="X51" s="39" t="s">
        <v>54</v>
      </c>
      <c r="Y51" s="39" t="s">
        <v>54</v>
      </c>
      <c r="Z51" s="5">
        <v>625</v>
      </c>
      <c r="AA51" s="40" t="s">
        <v>54</v>
      </c>
      <c r="AB51" s="41" t="s">
        <v>54</v>
      </c>
      <c r="AC51" s="39" t="s">
        <v>54</v>
      </c>
      <c r="AD51" s="85">
        <v>104</v>
      </c>
      <c r="AE51" s="89" t="s">
        <v>54</v>
      </c>
      <c r="AF51" s="41" t="s">
        <v>54</v>
      </c>
      <c r="AG51" s="39" t="s">
        <v>54</v>
      </c>
      <c r="AH51" s="5">
        <v>755</v>
      </c>
      <c r="AI51" s="40" t="s">
        <v>54</v>
      </c>
      <c r="AJ51" s="41" t="s">
        <v>54</v>
      </c>
      <c r="AK51" s="39" t="s">
        <v>54</v>
      </c>
      <c r="AL51" s="5">
        <v>119</v>
      </c>
      <c r="AM51" s="40" t="s">
        <v>54</v>
      </c>
      <c r="AN51" s="41" t="s">
        <v>54</v>
      </c>
      <c r="AO51" s="39" t="s">
        <v>54</v>
      </c>
      <c r="AP51" s="5">
        <v>415</v>
      </c>
      <c r="AQ51" s="40" t="s">
        <v>54</v>
      </c>
      <c r="AR51" s="41" t="s">
        <v>54</v>
      </c>
      <c r="AS51" s="39" t="s">
        <v>54</v>
      </c>
      <c r="AT51" s="5">
        <v>0</v>
      </c>
      <c r="AU51" s="40" t="s">
        <v>54</v>
      </c>
      <c r="AV51" s="41" t="s">
        <v>54</v>
      </c>
      <c r="AW51" s="39" t="s">
        <v>54</v>
      </c>
      <c r="AX51" s="5"/>
      <c r="AY51" s="40" t="s">
        <v>54</v>
      </c>
      <c r="AZ51" s="41" t="s">
        <v>54</v>
      </c>
      <c r="BA51" s="39" t="s">
        <v>54</v>
      </c>
      <c r="BB51" s="5"/>
      <c r="BC51" s="40" t="s">
        <v>54</v>
      </c>
      <c r="BD51" s="41" t="s">
        <v>54</v>
      </c>
    </row>
    <row r="52" spans="1:56" x14ac:dyDescent="0.4">
      <c r="A52" s="20"/>
      <c r="B52" s="38" t="s">
        <v>53</v>
      </c>
      <c r="C52" s="2">
        <v>341</v>
      </c>
      <c r="D52" s="2" t="s">
        <v>42</v>
      </c>
      <c r="E52" s="39" t="s">
        <v>54</v>
      </c>
      <c r="F52" s="5">
        <v>342</v>
      </c>
      <c r="G52" s="177" t="s">
        <v>54</v>
      </c>
      <c r="H52" s="177" t="s">
        <v>54</v>
      </c>
      <c r="I52" s="39" t="s">
        <v>54</v>
      </c>
      <c r="J52" s="5">
        <v>186</v>
      </c>
      <c r="K52" s="39" t="s">
        <v>54</v>
      </c>
      <c r="L52" s="39" t="s">
        <v>54</v>
      </c>
      <c r="M52" s="39" t="s">
        <v>54</v>
      </c>
      <c r="N52" s="5">
        <v>362</v>
      </c>
      <c r="O52" s="39" t="s">
        <v>54</v>
      </c>
      <c r="P52" s="39" t="s">
        <v>54</v>
      </c>
      <c r="Q52" s="39" t="s">
        <v>54</v>
      </c>
      <c r="R52" s="5">
        <v>984</v>
      </c>
      <c r="S52" s="39" t="s">
        <v>54</v>
      </c>
      <c r="T52" s="39" t="s">
        <v>54</v>
      </c>
      <c r="U52" s="39" t="s">
        <v>54</v>
      </c>
      <c r="V52" s="5">
        <v>984</v>
      </c>
      <c r="W52" s="39" t="s">
        <v>54</v>
      </c>
      <c r="X52" s="39" t="s">
        <v>54</v>
      </c>
      <c r="Y52" s="39" t="s">
        <v>54</v>
      </c>
      <c r="Z52" s="5">
        <v>1211</v>
      </c>
      <c r="AA52" s="40" t="s">
        <v>54</v>
      </c>
      <c r="AB52" s="41" t="s">
        <v>54</v>
      </c>
      <c r="AC52" s="39" t="s">
        <v>54</v>
      </c>
      <c r="AD52" s="85">
        <v>399</v>
      </c>
      <c r="AE52" s="89" t="s">
        <v>54</v>
      </c>
      <c r="AF52" s="41" t="s">
        <v>54</v>
      </c>
      <c r="AG52" s="39" t="s">
        <v>54</v>
      </c>
      <c r="AH52" s="5">
        <v>1078</v>
      </c>
      <c r="AI52" s="40" t="s">
        <v>54</v>
      </c>
      <c r="AJ52" s="41" t="s">
        <v>54</v>
      </c>
      <c r="AK52" s="39" t="s">
        <v>54</v>
      </c>
      <c r="AL52" s="5">
        <v>356</v>
      </c>
      <c r="AM52" s="40" t="s">
        <v>54</v>
      </c>
      <c r="AN52" s="41" t="s">
        <v>54</v>
      </c>
      <c r="AO52" s="39" t="s">
        <v>54</v>
      </c>
      <c r="AP52" s="5">
        <v>704</v>
      </c>
      <c r="AQ52" s="40" t="s">
        <v>54</v>
      </c>
      <c r="AR52" s="41" t="s">
        <v>54</v>
      </c>
      <c r="AS52" s="39" t="s">
        <v>54</v>
      </c>
      <c r="AT52" s="5">
        <v>119</v>
      </c>
      <c r="AU52" s="40" t="s">
        <v>54</v>
      </c>
      <c r="AV52" s="41" t="s">
        <v>54</v>
      </c>
      <c r="AW52" s="39" t="s">
        <v>54</v>
      </c>
      <c r="AX52" s="5"/>
      <c r="AY52" s="40" t="s">
        <v>54</v>
      </c>
      <c r="AZ52" s="41" t="s">
        <v>54</v>
      </c>
      <c r="BA52" s="39" t="s">
        <v>54</v>
      </c>
      <c r="BB52" s="5"/>
      <c r="BC52" s="40" t="s">
        <v>54</v>
      </c>
      <c r="BD52" s="41" t="s">
        <v>54</v>
      </c>
    </row>
    <row r="53" spans="1:56" x14ac:dyDescent="0.4">
      <c r="A53" s="20"/>
      <c r="B53" s="38" t="s">
        <v>53</v>
      </c>
      <c r="C53" s="2">
        <v>342</v>
      </c>
      <c r="D53" s="2" t="s">
        <v>43</v>
      </c>
      <c r="E53" s="39" t="s">
        <v>54</v>
      </c>
      <c r="F53" s="5">
        <v>594</v>
      </c>
      <c r="G53" s="177" t="s">
        <v>54</v>
      </c>
      <c r="H53" s="177" t="s">
        <v>54</v>
      </c>
      <c r="I53" s="39" t="s">
        <v>54</v>
      </c>
      <c r="J53" s="5">
        <v>342</v>
      </c>
      <c r="K53" s="39" t="s">
        <v>54</v>
      </c>
      <c r="L53" s="39" t="s">
        <v>54</v>
      </c>
      <c r="M53" s="39" t="s">
        <v>54</v>
      </c>
      <c r="N53" s="5">
        <v>294</v>
      </c>
      <c r="O53" s="39" t="s">
        <v>54</v>
      </c>
      <c r="P53" s="39" t="s">
        <v>54</v>
      </c>
      <c r="Q53" s="39" t="s">
        <v>54</v>
      </c>
      <c r="R53" s="5">
        <v>592</v>
      </c>
      <c r="S53" s="39" t="s">
        <v>54</v>
      </c>
      <c r="T53" s="39" t="s">
        <v>54</v>
      </c>
      <c r="U53" s="39" t="s">
        <v>54</v>
      </c>
      <c r="V53" s="5">
        <v>314</v>
      </c>
      <c r="W53" s="39" t="s">
        <v>54</v>
      </c>
      <c r="X53" s="39" t="s">
        <v>54</v>
      </c>
      <c r="Y53" s="39" t="s">
        <v>54</v>
      </c>
      <c r="Z53" s="5">
        <v>906</v>
      </c>
      <c r="AA53" s="40" t="s">
        <v>54</v>
      </c>
      <c r="AB53" s="41" t="s">
        <v>54</v>
      </c>
      <c r="AC53" s="39" t="s">
        <v>54</v>
      </c>
      <c r="AD53" s="85">
        <v>209</v>
      </c>
      <c r="AE53" s="89" t="s">
        <v>54</v>
      </c>
      <c r="AF53" s="41" t="s">
        <v>54</v>
      </c>
      <c r="AG53" s="39" t="s">
        <v>54</v>
      </c>
      <c r="AH53" s="5">
        <v>156</v>
      </c>
      <c r="AI53" s="40" t="s">
        <v>54</v>
      </c>
      <c r="AJ53" s="41" t="s">
        <v>54</v>
      </c>
      <c r="AK53" s="39" t="s">
        <v>54</v>
      </c>
      <c r="AL53" s="5">
        <v>373</v>
      </c>
      <c r="AM53" s="40" t="s">
        <v>54</v>
      </c>
      <c r="AN53" s="41" t="s">
        <v>54</v>
      </c>
      <c r="AO53" s="39" t="s">
        <v>54</v>
      </c>
      <c r="AP53" s="5">
        <v>626</v>
      </c>
      <c r="AQ53" s="40" t="s">
        <v>54</v>
      </c>
      <c r="AR53" s="41" t="s">
        <v>54</v>
      </c>
      <c r="AS53" s="39" t="s">
        <v>54</v>
      </c>
      <c r="AT53" s="5">
        <v>90</v>
      </c>
      <c r="AU53" s="40" t="s">
        <v>54</v>
      </c>
      <c r="AV53" s="41" t="s">
        <v>54</v>
      </c>
      <c r="AW53" s="39" t="s">
        <v>54</v>
      </c>
      <c r="AX53" s="5"/>
      <c r="AY53" s="40" t="s">
        <v>54</v>
      </c>
      <c r="AZ53" s="41" t="s">
        <v>54</v>
      </c>
      <c r="BA53" s="39" t="s">
        <v>54</v>
      </c>
      <c r="BB53" s="5"/>
      <c r="BC53" s="40" t="s">
        <v>54</v>
      </c>
      <c r="BD53" s="41" t="s">
        <v>54</v>
      </c>
    </row>
    <row r="54" spans="1:56" x14ac:dyDescent="0.4">
      <c r="A54" s="20"/>
      <c r="B54" s="38" t="s">
        <v>53</v>
      </c>
      <c r="C54" s="2">
        <v>350</v>
      </c>
      <c r="D54" s="2" t="s">
        <v>4</v>
      </c>
      <c r="E54" s="39" t="s">
        <v>54</v>
      </c>
      <c r="F54" s="5">
        <v>198</v>
      </c>
      <c r="G54" s="177" t="s">
        <v>54</v>
      </c>
      <c r="H54" s="177" t="s">
        <v>54</v>
      </c>
      <c r="I54" s="39" t="s">
        <v>54</v>
      </c>
      <c r="J54" s="5">
        <v>780</v>
      </c>
      <c r="K54" s="39" t="s">
        <v>54</v>
      </c>
      <c r="L54" s="39" t="s">
        <v>54</v>
      </c>
      <c r="M54" s="39" t="s">
        <v>54</v>
      </c>
      <c r="N54" s="5">
        <v>3503</v>
      </c>
      <c r="O54" s="39" t="s">
        <v>54</v>
      </c>
      <c r="P54" s="39" t="s">
        <v>54</v>
      </c>
      <c r="Q54" s="39" t="s">
        <v>54</v>
      </c>
      <c r="R54" s="5">
        <v>799</v>
      </c>
      <c r="S54" s="39" t="s">
        <v>54</v>
      </c>
      <c r="T54" s="39" t="s">
        <v>54</v>
      </c>
      <c r="U54" s="39" t="s">
        <v>54</v>
      </c>
      <c r="V54" s="5">
        <v>427</v>
      </c>
      <c r="W54" s="39" t="s">
        <v>54</v>
      </c>
      <c r="X54" s="39" t="s">
        <v>54</v>
      </c>
      <c r="Y54" s="39" t="s">
        <v>54</v>
      </c>
      <c r="Z54" s="5">
        <v>1317</v>
      </c>
      <c r="AA54" s="40" t="s">
        <v>54</v>
      </c>
      <c r="AB54" s="41" t="s">
        <v>54</v>
      </c>
      <c r="AC54" s="39" t="s">
        <v>54</v>
      </c>
      <c r="AD54" s="85">
        <v>0</v>
      </c>
      <c r="AE54" s="89" t="s">
        <v>54</v>
      </c>
      <c r="AF54" s="41" t="s">
        <v>54</v>
      </c>
      <c r="AG54" s="39" t="s">
        <v>54</v>
      </c>
      <c r="AH54" s="5">
        <v>606</v>
      </c>
      <c r="AI54" s="40" t="s">
        <v>54</v>
      </c>
      <c r="AJ54" s="41" t="s">
        <v>54</v>
      </c>
      <c r="AK54" s="39" t="s">
        <v>54</v>
      </c>
      <c r="AL54" s="5">
        <v>90</v>
      </c>
      <c r="AM54" s="40" t="s">
        <v>54</v>
      </c>
      <c r="AN54" s="41" t="s">
        <v>54</v>
      </c>
      <c r="AO54" s="39" t="s">
        <v>54</v>
      </c>
      <c r="AP54" s="5">
        <v>1072</v>
      </c>
      <c r="AQ54" s="40" t="s">
        <v>54</v>
      </c>
      <c r="AR54" s="41" t="s">
        <v>54</v>
      </c>
      <c r="AS54" s="39" t="s">
        <v>54</v>
      </c>
      <c r="AT54" s="5">
        <v>283</v>
      </c>
      <c r="AU54" s="40" t="s">
        <v>54</v>
      </c>
      <c r="AV54" s="41" t="s">
        <v>54</v>
      </c>
      <c r="AW54" s="39" t="s">
        <v>54</v>
      </c>
      <c r="AX54" s="5"/>
      <c r="AY54" s="40" t="s">
        <v>54</v>
      </c>
      <c r="AZ54" s="41" t="s">
        <v>54</v>
      </c>
      <c r="BA54" s="39" t="s">
        <v>54</v>
      </c>
      <c r="BB54" s="5"/>
      <c r="BC54" s="40" t="s">
        <v>54</v>
      </c>
      <c r="BD54" s="41" t="s">
        <v>54</v>
      </c>
    </row>
    <row r="55" spans="1:56" x14ac:dyDescent="0.4">
      <c r="A55" s="31"/>
      <c r="B55" s="32" t="s">
        <v>15</v>
      </c>
      <c r="C55" s="33"/>
      <c r="D55" s="33" t="s">
        <v>72</v>
      </c>
      <c r="E55" s="34"/>
      <c r="F55" s="34"/>
      <c r="G55" s="34"/>
      <c r="H55" s="35"/>
      <c r="I55" s="34"/>
      <c r="J55" s="34"/>
      <c r="K55" s="34"/>
      <c r="L55" s="35"/>
      <c r="M55" s="34"/>
      <c r="N55" s="34"/>
      <c r="O55" s="34"/>
      <c r="P55" s="35"/>
      <c r="Q55" s="34"/>
      <c r="R55" s="34">
        <f>SUM(R56:R61)</f>
        <v>1800</v>
      </c>
      <c r="S55" s="34"/>
      <c r="T55" s="35"/>
      <c r="U55" s="34"/>
      <c r="V55" s="34">
        <f>SUM(V56:V61)</f>
        <v>1500</v>
      </c>
      <c r="W55" s="34"/>
      <c r="X55" s="35"/>
      <c r="Y55" s="36"/>
      <c r="Z55" s="34">
        <f>SUM(Z56:Z61)</f>
        <v>2160</v>
      </c>
      <c r="AA55" s="34"/>
      <c r="AB55" s="37"/>
      <c r="AC55" s="36"/>
      <c r="AD55" s="88">
        <f>SUM(AD56:AD61)</f>
        <v>2760</v>
      </c>
      <c r="AE55" s="88"/>
      <c r="AF55" s="37"/>
      <c r="AG55" s="36"/>
      <c r="AH55" s="34">
        <f>SUM(AH56:AH61)</f>
        <v>2400</v>
      </c>
      <c r="AI55" s="34"/>
      <c r="AJ55" s="37"/>
      <c r="AK55" s="36"/>
      <c r="AL55" s="34">
        <f>SUM(AL56:AL61)</f>
        <v>1980</v>
      </c>
      <c r="AM55" s="34"/>
      <c r="AN55" s="37"/>
      <c r="AO55" s="36"/>
      <c r="AP55" s="34">
        <f>SUM(AP56:AP61)</f>
        <v>1860</v>
      </c>
      <c r="AQ55" s="34"/>
      <c r="AR55" s="37"/>
      <c r="AS55" s="36"/>
      <c r="AT55" s="34">
        <f>SUM(AT56:AT61)</f>
        <v>1320</v>
      </c>
      <c r="AU55" s="34"/>
      <c r="AV55" s="37"/>
      <c r="AW55" s="36"/>
      <c r="AX55" s="34">
        <f>SUM(AX56:AX61)</f>
        <v>0</v>
      </c>
      <c r="AY55" s="34"/>
      <c r="AZ55" s="37"/>
      <c r="BA55" s="36"/>
      <c r="BB55" s="34">
        <f>SUM(BB56:BB61)</f>
        <v>0</v>
      </c>
      <c r="BC55" s="34"/>
      <c r="BD55" s="37"/>
    </row>
    <row r="56" spans="1:56" x14ac:dyDescent="0.4">
      <c r="A56" s="20"/>
      <c r="B56" s="38" t="s">
        <v>72</v>
      </c>
      <c r="C56" s="2">
        <v>310</v>
      </c>
      <c r="D56" s="2" t="s">
        <v>1</v>
      </c>
      <c r="E56" s="42"/>
      <c r="F56" s="42">
        <v>0</v>
      </c>
      <c r="G56" s="42"/>
      <c r="H56" s="43"/>
      <c r="I56" s="42"/>
      <c r="J56" s="42">
        <v>60</v>
      </c>
      <c r="K56" s="42"/>
      <c r="L56" s="43"/>
      <c r="M56" s="42"/>
      <c r="N56" s="42">
        <v>240</v>
      </c>
      <c r="O56" s="42"/>
      <c r="P56" s="43"/>
      <c r="Q56" s="42"/>
      <c r="R56" s="42">
        <v>240</v>
      </c>
      <c r="S56" s="42"/>
      <c r="T56" s="43"/>
      <c r="U56" s="42"/>
      <c r="V56" s="42">
        <v>240</v>
      </c>
      <c r="W56" s="42"/>
      <c r="X56" s="43"/>
      <c r="Y56" s="44" t="s">
        <v>55</v>
      </c>
      <c r="Z56" s="45">
        <v>240</v>
      </c>
      <c r="AA56" s="45" t="s">
        <v>55</v>
      </c>
      <c r="AB56" s="46" t="s">
        <v>55</v>
      </c>
      <c r="AC56" s="44" t="s">
        <v>55</v>
      </c>
      <c r="AD56" s="90">
        <v>120</v>
      </c>
      <c r="AE56" s="90" t="s">
        <v>55</v>
      </c>
      <c r="AF56" s="46" t="s">
        <v>55</v>
      </c>
      <c r="AG56" s="44" t="s">
        <v>55</v>
      </c>
      <c r="AH56" s="45">
        <v>120</v>
      </c>
      <c r="AI56" s="45" t="s">
        <v>55</v>
      </c>
      <c r="AJ56" s="46" t="s">
        <v>55</v>
      </c>
      <c r="AK56" s="44" t="s">
        <v>55</v>
      </c>
      <c r="AL56" s="45">
        <v>0</v>
      </c>
      <c r="AM56" s="45" t="s">
        <v>55</v>
      </c>
      <c r="AN56" s="46" t="s">
        <v>55</v>
      </c>
      <c r="AO56" s="44" t="s">
        <v>55</v>
      </c>
      <c r="AP56" s="45">
        <v>60</v>
      </c>
      <c r="AQ56" s="45" t="s">
        <v>55</v>
      </c>
      <c r="AR56" s="46" t="s">
        <v>55</v>
      </c>
      <c r="AS56" s="44" t="s">
        <v>55</v>
      </c>
      <c r="AT56" s="45">
        <v>120</v>
      </c>
      <c r="AU56" s="45" t="s">
        <v>55</v>
      </c>
      <c r="AV56" s="46" t="s">
        <v>55</v>
      </c>
      <c r="AW56" s="44" t="s">
        <v>55</v>
      </c>
      <c r="AX56" s="45"/>
      <c r="AY56" s="45" t="s">
        <v>55</v>
      </c>
      <c r="AZ56" s="46" t="s">
        <v>55</v>
      </c>
      <c r="BA56" s="44" t="s">
        <v>55</v>
      </c>
      <c r="BB56" s="45"/>
      <c r="BC56" s="45" t="s">
        <v>55</v>
      </c>
      <c r="BD56" s="46" t="s">
        <v>55</v>
      </c>
    </row>
    <row r="57" spans="1:56" x14ac:dyDescent="0.4">
      <c r="A57" s="20"/>
      <c r="B57" s="38" t="s">
        <v>15</v>
      </c>
      <c r="C57" s="2">
        <v>320</v>
      </c>
      <c r="D57" s="2" t="s">
        <v>2</v>
      </c>
      <c r="E57" s="42"/>
      <c r="F57" s="42">
        <v>240</v>
      </c>
      <c r="G57" s="42"/>
      <c r="H57" s="43"/>
      <c r="I57" s="42"/>
      <c r="J57" s="42">
        <v>180</v>
      </c>
      <c r="K57" s="42"/>
      <c r="L57" s="43"/>
      <c r="M57" s="42"/>
      <c r="N57" s="42">
        <v>240</v>
      </c>
      <c r="O57" s="42"/>
      <c r="P57" s="43"/>
      <c r="Q57" s="42"/>
      <c r="R57" s="42">
        <v>360</v>
      </c>
      <c r="S57" s="42"/>
      <c r="T57" s="43"/>
      <c r="U57" s="42"/>
      <c r="V57" s="42">
        <v>360</v>
      </c>
      <c r="W57" s="42"/>
      <c r="X57" s="43"/>
      <c r="Y57" s="44" t="s">
        <v>55</v>
      </c>
      <c r="Z57" s="45">
        <v>360</v>
      </c>
      <c r="AA57" s="45" t="s">
        <v>55</v>
      </c>
      <c r="AB57" s="46" t="s">
        <v>55</v>
      </c>
      <c r="AC57" s="44" t="s">
        <v>55</v>
      </c>
      <c r="AD57" s="90">
        <v>720</v>
      </c>
      <c r="AE57" s="90" t="s">
        <v>55</v>
      </c>
      <c r="AF57" s="46" t="s">
        <v>55</v>
      </c>
      <c r="AG57" s="44" t="s">
        <v>55</v>
      </c>
      <c r="AH57" s="45">
        <v>600</v>
      </c>
      <c r="AI57" s="45" t="s">
        <v>55</v>
      </c>
      <c r="AJ57" s="46" t="s">
        <v>55</v>
      </c>
      <c r="AK57" s="44" t="s">
        <v>55</v>
      </c>
      <c r="AL57" s="45">
        <v>600</v>
      </c>
      <c r="AM57" s="45" t="s">
        <v>55</v>
      </c>
      <c r="AN57" s="46" t="s">
        <v>55</v>
      </c>
      <c r="AO57" s="44" t="s">
        <v>55</v>
      </c>
      <c r="AP57" s="45">
        <v>600</v>
      </c>
      <c r="AQ57" s="45" t="s">
        <v>55</v>
      </c>
      <c r="AR57" s="46" t="s">
        <v>55</v>
      </c>
      <c r="AS57" s="44" t="s">
        <v>55</v>
      </c>
      <c r="AT57" s="45">
        <v>300</v>
      </c>
      <c r="AU57" s="45" t="s">
        <v>55</v>
      </c>
      <c r="AV57" s="46" t="s">
        <v>55</v>
      </c>
      <c r="AW57" s="44" t="s">
        <v>55</v>
      </c>
      <c r="AX57" s="45"/>
      <c r="AY57" s="45" t="s">
        <v>55</v>
      </c>
      <c r="AZ57" s="46" t="s">
        <v>55</v>
      </c>
      <c r="BA57" s="44" t="s">
        <v>55</v>
      </c>
      <c r="BB57" s="45"/>
      <c r="BC57" s="45" t="s">
        <v>55</v>
      </c>
      <c r="BD57" s="46" t="s">
        <v>55</v>
      </c>
    </row>
    <row r="58" spans="1:56" x14ac:dyDescent="0.4">
      <c r="A58" s="20"/>
      <c r="B58" s="38" t="s">
        <v>15</v>
      </c>
      <c r="C58" s="2">
        <v>330</v>
      </c>
      <c r="D58" s="2" t="s">
        <v>3</v>
      </c>
      <c r="E58" s="42"/>
      <c r="F58" s="42">
        <v>240</v>
      </c>
      <c r="G58" s="42"/>
      <c r="H58" s="43"/>
      <c r="I58" s="42"/>
      <c r="J58" s="42">
        <v>240</v>
      </c>
      <c r="K58" s="42"/>
      <c r="L58" s="43"/>
      <c r="M58" s="42"/>
      <c r="N58" s="42">
        <v>120</v>
      </c>
      <c r="O58" s="42"/>
      <c r="P58" s="43"/>
      <c r="Q58" s="42"/>
      <c r="R58" s="42">
        <v>240</v>
      </c>
      <c r="S58" s="42"/>
      <c r="T58" s="43"/>
      <c r="U58" s="42"/>
      <c r="V58" s="42">
        <v>180</v>
      </c>
      <c r="W58" s="42"/>
      <c r="X58" s="43"/>
      <c r="Y58" s="44" t="s">
        <v>55</v>
      </c>
      <c r="Z58" s="45">
        <v>360</v>
      </c>
      <c r="AA58" s="45" t="s">
        <v>55</v>
      </c>
      <c r="AB58" s="46" t="s">
        <v>55</v>
      </c>
      <c r="AC58" s="44" t="s">
        <v>55</v>
      </c>
      <c r="AD58" s="90">
        <v>600</v>
      </c>
      <c r="AE58" s="90" t="s">
        <v>55</v>
      </c>
      <c r="AF58" s="46" t="s">
        <v>55</v>
      </c>
      <c r="AG58" s="44" t="s">
        <v>55</v>
      </c>
      <c r="AH58" s="45">
        <v>420</v>
      </c>
      <c r="AI58" s="45" t="s">
        <v>55</v>
      </c>
      <c r="AJ58" s="46" t="s">
        <v>55</v>
      </c>
      <c r="AK58" s="44" t="s">
        <v>55</v>
      </c>
      <c r="AL58" s="45">
        <v>360</v>
      </c>
      <c r="AM58" s="45" t="s">
        <v>55</v>
      </c>
      <c r="AN58" s="46" t="s">
        <v>55</v>
      </c>
      <c r="AO58" s="44" t="s">
        <v>55</v>
      </c>
      <c r="AP58" s="45">
        <v>480</v>
      </c>
      <c r="AQ58" s="45" t="s">
        <v>55</v>
      </c>
      <c r="AR58" s="46" t="s">
        <v>55</v>
      </c>
      <c r="AS58" s="44" t="s">
        <v>55</v>
      </c>
      <c r="AT58" s="45">
        <v>360</v>
      </c>
      <c r="AU58" s="45" t="s">
        <v>55</v>
      </c>
      <c r="AV58" s="46" t="s">
        <v>55</v>
      </c>
      <c r="AW58" s="44" t="s">
        <v>55</v>
      </c>
      <c r="AX58" s="45"/>
      <c r="AY58" s="45" t="s">
        <v>55</v>
      </c>
      <c r="AZ58" s="46" t="s">
        <v>55</v>
      </c>
      <c r="BA58" s="44" t="s">
        <v>55</v>
      </c>
      <c r="BB58" s="45"/>
      <c r="BC58" s="45" t="s">
        <v>55</v>
      </c>
      <c r="BD58" s="46" t="s">
        <v>55</v>
      </c>
    </row>
    <row r="59" spans="1:56" x14ac:dyDescent="0.4">
      <c r="A59" s="20"/>
      <c r="B59" s="38" t="s">
        <v>72</v>
      </c>
      <c r="C59" s="2">
        <v>341</v>
      </c>
      <c r="D59" s="2" t="s">
        <v>42</v>
      </c>
      <c r="E59" s="42"/>
      <c r="F59" s="42">
        <v>60</v>
      </c>
      <c r="G59" s="42"/>
      <c r="H59" s="43"/>
      <c r="I59" s="42"/>
      <c r="J59" s="42">
        <v>60</v>
      </c>
      <c r="K59" s="42"/>
      <c r="L59" s="43"/>
      <c r="M59" s="42"/>
      <c r="N59" s="42">
        <v>120</v>
      </c>
      <c r="O59" s="42"/>
      <c r="P59" s="43"/>
      <c r="Q59" s="42"/>
      <c r="R59" s="42">
        <v>120</v>
      </c>
      <c r="S59" s="42"/>
      <c r="T59" s="43"/>
      <c r="U59" s="42"/>
      <c r="V59" s="42">
        <v>60</v>
      </c>
      <c r="W59" s="42"/>
      <c r="X59" s="43"/>
      <c r="Y59" s="44" t="s">
        <v>55</v>
      </c>
      <c r="Z59" s="45">
        <v>180</v>
      </c>
      <c r="AA59" s="45" t="s">
        <v>55</v>
      </c>
      <c r="AB59" s="46" t="s">
        <v>55</v>
      </c>
      <c r="AC59" s="44" t="s">
        <v>55</v>
      </c>
      <c r="AD59" s="90">
        <v>360</v>
      </c>
      <c r="AE59" s="90" t="s">
        <v>55</v>
      </c>
      <c r="AF59" s="46" t="s">
        <v>55</v>
      </c>
      <c r="AG59" s="44" t="s">
        <v>55</v>
      </c>
      <c r="AH59" s="45">
        <v>180</v>
      </c>
      <c r="AI59" s="45" t="s">
        <v>55</v>
      </c>
      <c r="AJ59" s="46" t="s">
        <v>55</v>
      </c>
      <c r="AK59" s="44" t="s">
        <v>55</v>
      </c>
      <c r="AL59" s="45">
        <v>180</v>
      </c>
      <c r="AM59" s="45" t="s">
        <v>55</v>
      </c>
      <c r="AN59" s="46" t="s">
        <v>55</v>
      </c>
      <c r="AO59" s="44" t="s">
        <v>55</v>
      </c>
      <c r="AP59" s="45">
        <v>180</v>
      </c>
      <c r="AQ59" s="45" t="s">
        <v>55</v>
      </c>
      <c r="AR59" s="46" t="s">
        <v>55</v>
      </c>
      <c r="AS59" s="44" t="s">
        <v>55</v>
      </c>
      <c r="AT59" s="45">
        <v>0</v>
      </c>
      <c r="AU59" s="45" t="s">
        <v>55</v>
      </c>
      <c r="AV59" s="46" t="s">
        <v>55</v>
      </c>
      <c r="AW59" s="44" t="s">
        <v>55</v>
      </c>
      <c r="AX59" s="45"/>
      <c r="AY59" s="45" t="s">
        <v>55</v>
      </c>
      <c r="AZ59" s="46" t="s">
        <v>55</v>
      </c>
      <c r="BA59" s="44" t="s">
        <v>55</v>
      </c>
      <c r="BB59" s="45"/>
      <c r="BC59" s="45" t="s">
        <v>55</v>
      </c>
      <c r="BD59" s="46" t="s">
        <v>55</v>
      </c>
    </row>
    <row r="60" spans="1:56" x14ac:dyDescent="0.4">
      <c r="A60" s="20"/>
      <c r="B60" s="38" t="s">
        <v>15</v>
      </c>
      <c r="C60" s="2">
        <v>342</v>
      </c>
      <c r="D60" s="2" t="s">
        <v>43</v>
      </c>
      <c r="E60" s="42"/>
      <c r="F60" s="42">
        <v>360</v>
      </c>
      <c r="G60" s="42"/>
      <c r="H60" s="43"/>
      <c r="I60" s="42"/>
      <c r="J60" s="42">
        <v>180</v>
      </c>
      <c r="K60" s="42"/>
      <c r="L60" s="43"/>
      <c r="M60" s="42"/>
      <c r="N60" s="42">
        <v>60</v>
      </c>
      <c r="O60" s="42"/>
      <c r="P60" s="43"/>
      <c r="Q60" s="42"/>
      <c r="R60" s="42">
        <v>360</v>
      </c>
      <c r="S60" s="42"/>
      <c r="T60" s="43"/>
      <c r="U60" s="42"/>
      <c r="V60" s="42">
        <v>300</v>
      </c>
      <c r="W60" s="42"/>
      <c r="X60" s="43"/>
      <c r="Y60" s="44" t="s">
        <v>55</v>
      </c>
      <c r="Z60" s="45">
        <v>480</v>
      </c>
      <c r="AA60" s="45" t="s">
        <v>55</v>
      </c>
      <c r="AB60" s="46" t="s">
        <v>55</v>
      </c>
      <c r="AC60" s="44" t="s">
        <v>55</v>
      </c>
      <c r="AD60" s="90">
        <v>600</v>
      </c>
      <c r="AE60" s="90" t="s">
        <v>55</v>
      </c>
      <c r="AF60" s="46" t="s">
        <v>55</v>
      </c>
      <c r="AG60" s="44" t="s">
        <v>55</v>
      </c>
      <c r="AH60" s="45">
        <v>420</v>
      </c>
      <c r="AI60" s="45" t="s">
        <v>55</v>
      </c>
      <c r="AJ60" s="46" t="s">
        <v>55</v>
      </c>
      <c r="AK60" s="44" t="s">
        <v>55</v>
      </c>
      <c r="AL60" s="45">
        <v>480</v>
      </c>
      <c r="AM60" s="45" t="s">
        <v>55</v>
      </c>
      <c r="AN60" s="46" t="s">
        <v>55</v>
      </c>
      <c r="AO60" s="44" t="s">
        <v>55</v>
      </c>
      <c r="AP60" s="45">
        <v>360</v>
      </c>
      <c r="AQ60" s="45" t="s">
        <v>55</v>
      </c>
      <c r="AR60" s="46" t="s">
        <v>55</v>
      </c>
      <c r="AS60" s="44" t="s">
        <v>55</v>
      </c>
      <c r="AT60" s="45">
        <v>300</v>
      </c>
      <c r="AU60" s="45" t="s">
        <v>55</v>
      </c>
      <c r="AV60" s="46" t="s">
        <v>55</v>
      </c>
      <c r="AW60" s="44" t="s">
        <v>55</v>
      </c>
      <c r="AX60" s="45"/>
      <c r="AY60" s="45" t="s">
        <v>55</v>
      </c>
      <c r="AZ60" s="46" t="s">
        <v>55</v>
      </c>
      <c r="BA60" s="44" t="s">
        <v>55</v>
      </c>
      <c r="BB60" s="45"/>
      <c r="BC60" s="45" t="s">
        <v>55</v>
      </c>
      <c r="BD60" s="46" t="s">
        <v>55</v>
      </c>
    </row>
    <row r="61" spans="1:56" x14ac:dyDescent="0.4">
      <c r="A61" s="23"/>
      <c r="B61" s="47" t="s">
        <v>15</v>
      </c>
      <c r="C61" s="24">
        <v>350</v>
      </c>
      <c r="D61" s="24" t="s">
        <v>4</v>
      </c>
      <c r="E61" s="48"/>
      <c r="F61" s="48">
        <v>240</v>
      </c>
      <c r="G61" s="48"/>
      <c r="H61" s="49"/>
      <c r="I61" s="48"/>
      <c r="J61" s="48">
        <v>180</v>
      </c>
      <c r="K61" s="48"/>
      <c r="L61" s="49"/>
      <c r="M61" s="48"/>
      <c r="N61" s="48">
        <v>60</v>
      </c>
      <c r="O61" s="48"/>
      <c r="P61" s="49"/>
      <c r="Q61" s="48"/>
      <c r="R61" s="48">
        <v>480</v>
      </c>
      <c r="S61" s="48"/>
      <c r="T61" s="49"/>
      <c r="U61" s="48"/>
      <c r="V61" s="48">
        <v>360</v>
      </c>
      <c r="W61" s="48"/>
      <c r="X61" s="49"/>
      <c r="Y61" s="50" t="s">
        <v>55</v>
      </c>
      <c r="Z61" s="51">
        <v>540</v>
      </c>
      <c r="AA61" s="51" t="s">
        <v>55</v>
      </c>
      <c r="AB61" s="52" t="s">
        <v>55</v>
      </c>
      <c r="AC61" s="50" t="s">
        <v>55</v>
      </c>
      <c r="AD61" s="91">
        <v>360</v>
      </c>
      <c r="AE61" s="91" t="s">
        <v>55</v>
      </c>
      <c r="AF61" s="52" t="s">
        <v>55</v>
      </c>
      <c r="AG61" s="50" t="s">
        <v>55</v>
      </c>
      <c r="AH61" s="51">
        <v>660</v>
      </c>
      <c r="AI61" s="51" t="s">
        <v>55</v>
      </c>
      <c r="AJ61" s="52" t="s">
        <v>55</v>
      </c>
      <c r="AK61" s="50" t="s">
        <v>55</v>
      </c>
      <c r="AL61" s="51">
        <v>360</v>
      </c>
      <c r="AM61" s="51" t="s">
        <v>55</v>
      </c>
      <c r="AN61" s="52" t="s">
        <v>55</v>
      </c>
      <c r="AO61" s="50" t="s">
        <v>55</v>
      </c>
      <c r="AP61" s="51">
        <v>180</v>
      </c>
      <c r="AQ61" s="51" t="s">
        <v>55</v>
      </c>
      <c r="AR61" s="52" t="s">
        <v>55</v>
      </c>
      <c r="AS61" s="50" t="s">
        <v>55</v>
      </c>
      <c r="AT61" s="51">
        <v>240</v>
      </c>
      <c r="AU61" s="51" t="s">
        <v>55</v>
      </c>
      <c r="AV61" s="52" t="s">
        <v>55</v>
      </c>
      <c r="AW61" s="50" t="s">
        <v>55</v>
      </c>
      <c r="AX61" s="51"/>
      <c r="AY61" s="51" t="s">
        <v>55</v>
      </c>
      <c r="AZ61" s="52" t="s">
        <v>55</v>
      </c>
      <c r="BA61" s="50" t="s">
        <v>55</v>
      </c>
      <c r="BB61" s="51"/>
      <c r="BC61" s="51" t="s">
        <v>55</v>
      </c>
      <c r="BD61" s="52" t="s">
        <v>55</v>
      </c>
    </row>
    <row r="62" spans="1:56" x14ac:dyDescent="0.4">
      <c r="A62" s="53">
        <v>5133</v>
      </c>
      <c r="B62" s="30" t="s">
        <v>56</v>
      </c>
      <c r="C62" s="30"/>
      <c r="D62" s="15" t="s">
        <v>76</v>
      </c>
      <c r="E62" s="16">
        <f>SUBTOTAL(9,E63:E68)</f>
        <v>642</v>
      </c>
      <c r="F62" s="16">
        <f>SUM(F63:F68)</f>
        <v>2476</v>
      </c>
      <c r="G62" s="16">
        <f t="shared" ref="G62" si="63">F62-E62</f>
        <v>1834</v>
      </c>
      <c r="H62" s="17">
        <f t="shared" ref="H62:H102" si="64">IF(E62=0,0,F62/E62)</f>
        <v>3.856697819314642</v>
      </c>
      <c r="I62" s="16">
        <f>SUBTOTAL(9,I63:I68)</f>
        <v>1322</v>
      </c>
      <c r="J62" s="16">
        <f>SUM(J63:J68)</f>
        <v>3139</v>
      </c>
      <c r="K62" s="16">
        <f t="shared" ref="K62" si="65">J62-I62</f>
        <v>1817</v>
      </c>
      <c r="L62" s="17">
        <f t="shared" ref="L62:L102" si="66">IF(I62=0,0,J62/I62)</f>
        <v>2.3744326777609683</v>
      </c>
      <c r="M62" s="16">
        <f>SUBTOTAL(9,M63:M68)</f>
        <v>739</v>
      </c>
      <c r="N62" s="16">
        <f>SUM(N63:N68)</f>
        <v>2812</v>
      </c>
      <c r="O62" s="16">
        <f t="shared" si="41"/>
        <v>2073</v>
      </c>
      <c r="P62" s="17">
        <f t="shared" ref="P62:P106" si="67">IF(M62=0,0,N62/M62)</f>
        <v>3.8051420838971581</v>
      </c>
      <c r="Q62" s="16">
        <f>SUBTOTAL(9,Q63:Q68)</f>
        <v>739</v>
      </c>
      <c r="R62" s="16">
        <f>SUM(R63:R68)</f>
        <v>3205</v>
      </c>
      <c r="S62" s="16">
        <f t="shared" ref="S62" si="68">R62-Q62</f>
        <v>2466</v>
      </c>
      <c r="T62" s="17">
        <f t="shared" ref="T62:T106" si="69">IF(Q62=0,0,R62/Q62)</f>
        <v>4.3369418132611637</v>
      </c>
      <c r="U62" s="16">
        <f>SUBTOTAL(9,U63:U68)</f>
        <v>765</v>
      </c>
      <c r="V62" s="16">
        <f>SUM(V63:V68)</f>
        <v>3315</v>
      </c>
      <c r="W62" s="16">
        <f t="shared" ref="W62" si="70">V62-U62</f>
        <v>2550</v>
      </c>
      <c r="X62" s="17">
        <f t="shared" ref="X62:X69" si="71">IF(U62=0,0,V62/U62)</f>
        <v>4.333333333333333</v>
      </c>
      <c r="Y62" s="18">
        <f>SUBTOTAL(9,Y63:Y68)</f>
        <v>792</v>
      </c>
      <c r="Z62" s="16">
        <f>SUM(Z63:Z68)</f>
        <v>2641</v>
      </c>
      <c r="AA62" s="16">
        <f t="shared" ref="AA62" si="72">Z62-Y62</f>
        <v>1849</v>
      </c>
      <c r="AB62" s="19">
        <f t="shared" ref="AB62:AB69" si="73">IF(Y62=0,0,Z62/Y62)</f>
        <v>3.3345959595959598</v>
      </c>
      <c r="AC62" s="18">
        <f>SUBTOTAL(9,AC63:AC68)</f>
        <v>773</v>
      </c>
      <c r="AD62" s="84">
        <f>SUM(AD63:AD68)</f>
        <v>1229</v>
      </c>
      <c r="AE62" s="84">
        <f t="shared" ref="AE62" si="74">AD62-AC62</f>
        <v>456</v>
      </c>
      <c r="AF62" s="19">
        <f t="shared" ref="AF62:AF69" si="75">IF(AC62=0,0,AD62/AC62)</f>
        <v>1.5899094437257439</v>
      </c>
      <c r="AG62" s="18">
        <f>SUBTOTAL(9,AG63:AG68)</f>
        <v>822</v>
      </c>
      <c r="AH62" s="16">
        <f>SUM(AH63:AH68)</f>
        <v>2765</v>
      </c>
      <c r="AI62" s="16">
        <f t="shared" ref="AI62" si="76">AH62-AG62</f>
        <v>1943</v>
      </c>
      <c r="AJ62" s="19">
        <f t="shared" ref="AJ62:AJ69" si="77">IF(AG62=0,0,AH62/AG62)</f>
        <v>3.3637469586374698</v>
      </c>
      <c r="AK62" s="18">
        <f>SUBTOTAL(9,AK63:AK68)</f>
        <v>853</v>
      </c>
      <c r="AL62" s="16">
        <f>SUM(AL63:AL68)</f>
        <v>1779</v>
      </c>
      <c r="AM62" s="16">
        <f t="shared" ref="AM62" si="78">AL62-AK62</f>
        <v>926</v>
      </c>
      <c r="AN62" s="19">
        <f t="shared" ref="AN62:AN69" si="79">IF(AK62=0,0,AL62/AK62)</f>
        <v>2.0855803048065651</v>
      </c>
      <c r="AO62" s="18">
        <f>SUBTOTAL(9,AO63:AO68)</f>
        <v>861</v>
      </c>
      <c r="AP62" s="16">
        <f>SUM(AP63:AP68)</f>
        <v>2272</v>
      </c>
      <c r="AQ62" s="16">
        <f t="shared" ref="AQ62" si="80">AP62-AO62</f>
        <v>1411</v>
      </c>
      <c r="AR62" s="19">
        <f t="shared" ref="AR62:AR69" si="81">IF(AO62=0,0,AP62/AO62)</f>
        <v>2.6387921022067364</v>
      </c>
      <c r="AS62" s="18">
        <f>SUBTOTAL(9,AS63:AS68)</f>
        <v>878</v>
      </c>
      <c r="AT62" s="16">
        <f>SUM(AT63:AT68)</f>
        <v>652</v>
      </c>
      <c r="AU62" s="16">
        <f t="shared" ref="AU62:AU98" si="82">AT62-AS62</f>
        <v>-226</v>
      </c>
      <c r="AV62" s="19">
        <f t="shared" ref="AV62:AV69" si="83">IF(AS62=0,0,AT62/AS62)</f>
        <v>0.74259681093394081</v>
      </c>
      <c r="AW62" s="18">
        <f>SUBTOTAL(9,AW63:AW68)</f>
        <v>864</v>
      </c>
      <c r="AX62" s="16">
        <f>SUM(AX63:AX68)</f>
        <v>0</v>
      </c>
      <c r="AY62" s="16">
        <f t="shared" ref="AY62:AY98" si="84">AX62-AW62</f>
        <v>-864</v>
      </c>
      <c r="AZ62" s="19">
        <f t="shared" ref="AZ62:AZ76" si="85">IF(AW62=0,0,AX62/AW62)</f>
        <v>0</v>
      </c>
      <c r="BA62" s="18">
        <f>SUBTOTAL(9,BA63:BA68)</f>
        <v>0</v>
      </c>
      <c r="BB62" s="16">
        <f>SUM(BB63:BB68)</f>
        <v>0</v>
      </c>
      <c r="BC62" s="16">
        <f t="shared" ref="BC62:BC98" si="86">BB62-BA62</f>
        <v>0</v>
      </c>
      <c r="BD62" s="19">
        <f t="shared" ref="BD62:BD76" si="87">IF(BA62=0,0,BB62/BA62)</f>
        <v>0</v>
      </c>
    </row>
    <row r="63" spans="1:56" x14ac:dyDescent="0.4">
      <c r="A63" s="20">
        <v>5133</v>
      </c>
      <c r="B63" s="2" t="s">
        <v>57</v>
      </c>
      <c r="C63" s="2">
        <v>310</v>
      </c>
      <c r="D63" s="2" t="s">
        <v>1</v>
      </c>
      <c r="E63" s="5">
        <v>55</v>
      </c>
      <c r="F63" s="5">
        <v>268</v>
      </c>
      <c r="G63" s="5">
        <v>213</v>
      </c>
      <c r="H63" s="6">
        <v>488.15</v>
      </c>
      <c r="I63" s="5">
        <v>83</v>
      </c>
      <c r="J63" s="5">
        <v>481</v>
      </c>
      <c r="K63" s="5">
        <v>398</v>
      </c>
      <c r="L63" s="6">
        <v>579.95000000000005</v>
      </c>
      <c r="M63" s="5">
        <v>55</v>
      </c>
      <c r="N63" s="5">
        <v>453</v>
      </c>
      <c r="O63" s="5">
        <v>-55</v>
      </c>
      <c r="P63" s="6">
        <v>0</v>
      </c>
      <c r="Q63" s="5">
        <v>55</v>
      </c>
      <c r="R63" s="5">
        <v>268</v>
      </c>
      <c r="S63" s="5">
        <v>-55</v>
      </c>
      <c r="T63" s="6">
        <v>0</v>
      </c>
      <c r="U63" s="5">
        <v>28</v>
      </c>
      <c r="V63" s="5">
        <v>279</v>
      </c>
      <c r="W63" s="5">
        <v>-28</v>
      </c>
      <c r="X63" s="6">
        <v>0</v>
      </c>
      <c r="Y63" s="21">
        <v>55</v>
      </c>
      <c r="Z63" s="5">
        <v>71</v>
      </c>
      <c r="AA63" s="5">
        <v>-55</v>
      </c>
      <c r="AB63" s="22">
        <v>0</v>
      </c>
      <c r="AC63" s="21">
        <v>55</v>
      </c>
      <c r="AD63" s="85">
        <v>0</v>
      </c>
      <c r="AE63" s="85">
        <v>-55</v>
      </c>
      <c r="AF63" s="22">
        <v>0</v>
      </c>
      <c r="AG63" s="21">
        <v>55</v>
      </c>
      <c r="AH63" s="5">
        <v>386</v>
      </c>
      <c r="AI63" s="5">
        <v>-55</v>
      </c>
      <c r="AJ63" s="22">
        <v>0</v>
      </c>
      <c r="AK63" s="21">
        <v>55</v>
      </c>
      <c r="AL63" s="5">
        <v>0</v>
      </c>
      <c r="AM63" s="5">
        <v>-55</v>
      </c>
      <c r="AN63" s="22">
        <v>0</v>
      </c>
      <c r="AO63" s="21">
        <v>55</v>
      </c>
      <c r="AP63" s="5">
        <v>255</v>
      </c>
      <c r="AQ63" s="5">
        <v>-55</v>
      </c>
      <c r="AR63" s="22">
        <v>0</v>
      </c>
      <c r="AS63" s="21">
        <v>55</v>
      </c>
      <c r="AT63" s="5">
        <v>0</v>
      </c>
      <c r="AU63" s="5">
        <v>-55</v>
      </c>
      <c r="AV63" s="22">
        <v>0</v>
      </c>
      <c r="AW63" s="21">
        <v>55</v>
      </c>
      <c r="AX63" s="5"/>
      <c r="AY63" s="5">
        <f t="shared" si="84"/>
        <v>-55</v>
      </c>
      <c r="AZ63" s="22">
        <f t="shared" si="85"/>
        <v>0</v>
      </c>
      <c r="BA63" s="21"/>
      <c r="BB63" s="5"/>
      <c r="BC63" s="5">
        <f t="shared" si="86"/>
        <v>0</v>
      </c>
      <c r="BD63" s="22">
        <f t="shared" si="87"/>
        <v>0</v>
      </c>
    </row>
    <row r="64" spans="1:56" x14ac:dyDescent="0.4">
      <c r="A64" s="20">
        <v>5133</v>
      </c>
      <c r="B64" s="2" t="s">
        <v>57</v>
      </c>
      <c r="C64" s="2">
        <v>320</v>
      </c>
      <c r="D64" s="2" t="s">
        <v>2</v>
      </c>
      <c r="E64" s="5">
        <v>137</v>
      </c>
      <c r="F64" s="5">
        <v>518</v>
      </c>
      <c r="G64" s="5">
        <v>381</v>
      </c>
      <c r="H64" s="6">
        <v>378.53</v>
      </c>
      <c r="I64" s="5">
        <v>137</v>
      </c>
      <c r="J64" s="5">
        <v>438</v>
      </c>
      <c r="K64" s="5">
        <v>301</v>
      </c>
      <c r="L64" s="6">
        <v>319.95999999999998</v>
      </c>
      <c r="M64" s="5">
        <v>137</v>
      </c>
      <c r="N64" s="5">
        <v>704</v>
      </c>
      <c r="O64" s="5">
        <v>-137</v>
      </c>
      <c r="P64" s="6">
        <v>0</v>
      </c>
      <c r="Q64" s="5">
        <v>137</v>
      </c>
      <c r="R64" s="5">
        <v>644</v>
      </c>
      <c r="S64" s="5">
        <v>-137</v>
      </c>
      <c r="T64" s="6">
        <v>0</v>
      </c>
      <c r="U64" s="5">
        <v>137</v>
      </c>
      <c r="V64" s="5">
        <v>625</v>
      </c>
      <c r="W64" s="5">
        <v>-137</v>
      </c>
      <c r="X64" s="6">
        <v>0</v>
      </c>
      <c r="Y64" s="21">
        <v>137</v>
      </c>
      <c r="Z64" s="5">
        <v>381</v>
      </c>
      <c r="AA64" s="5">
        <v>-137</v>
      </c>
      <c r="AB64" s="22">
        <v>0</v>
      </c>
      <c r="AC64" s="21">
        <v>137</v>
      </c>
      <c r="AD64" s="85">
        <v>428</v>
      </c>
      <c r="AE64" s="85">
        <v>-137</v>
      </c>
      <c r="AF64" s="22">
        <v>0</v>
      </c>
      <c r="AG64" s="21">
        <v>137</v>
      </c>
      <c r="AH64" s="5">
        <v>684</v>
      </c>
      <c r="AI64" s="5">
        <v>-137</v>
      </c>
      <c r="AJ64" s="22">
        <v>0</v>
      </c>
      <c r="AK64" s="21">
        <v>137</v>
      </c>
      <c r="AL64" s="5">
        <v>490</v>
      </c>
      <c r="AM64" s="5">
        <v>-137</v>
      </c>
      <c r="AN64" s="22">
        <v>0</v>
      </c>
      <c r="AO64" s="21">
        <v>137</v>
      </c>
      <c r="AP64" s="5">
        <v>261</v>
      </c>
      <c r="AQ64" s="5">
        <v>-137</v>
      </c>
      <c r="AR64" s="22">
        <v>0</v>
      </c>
      <c r="AS64" s="21">
        <v>137</v>
      </c>
      <c r="AT64" s="5">
        <v>163</v>
      </c>
      <c r="AU64" s="5">
        <v>-137</v>
      </c>
      <c r="AV64" s="22">
        <v>0</v>
      </c>
      <c r="AW64" s="21">
        <v>137</v>
      </c>
      <c r="AX64" s="5"/>
      <c r="AY64" s="5">
        <f t="shared" si="84"/>
        <v>-137</v>
      </c>
      <c r="AZ64" s="22">
        <f t="shared" si="85"/>
        <v>0</v>
      </c>
      <c r="BA64" s="21"/>
      <c r="BB64" s="5"/>
      <c r="BC64" s="5">
        <f t="shared" si="86"/>
        <v>0</v>
      </c>
      <c r="BD64" s="22">
        <f t="shared" si="87"/>
        <v>0</v>
      </c>
    </row>
    <row r="65" spans="1:56" x14ac:dyDescent="0.4">
      <c r="A65" s="20">
        <v>5133</v>
      </c>
      <c r="B65" s="2" t="s">
        <v>57</v>
      </c>
      <c r="C65" s="2">
        <v>330</v>
      </c>
      <c r="D65" s="2" t="s">
        <v>3</v>
      </c>
      <c r="E65" s="5">
        <v>155</v>
      </c>
      <c r="F65" s="5">
        <v>656</v>
      </c>
      <c r="G65" s="5">
        <v>501</v>
      </c>
      <c r="H65" s="6">
        <v>423.5</v>
      </c>
      <c r="I65" s="5">
        <v>731</v>
      </c>
      <c r="J65" s="5">
        <v>991</v>
      </c>
      <c r="K65" s="5">
        <v>260</v>
      </c>
      <c r="L65" s="6">
        <v>135.65</v>
      </c>
      <c r="M65" s="5">
        <v>155</v>
      </c>
      <c r="N65" s="5">
        <v>574</v>
      </c>
      <c r="O65" s="5">
        <v>-155</v>
      </c>
      <c r="P65" s="6">
        <v>0</v>
      </c>
      <c r="Q65" s="5">
        <v>155</v>
      </c>
      <c r="R65" s="5">
        <v>1050</v>
      </c>
      <c r="S65" s="5">
        <v>-155</v>
      </c>
      <c r="T65" s="6">
        <v>0</v>
      </c>
      <c r="U65" s="5">
        <v>187</v>
      </c>
      <c r="V65" s="5">
        <v>814</v>
      </c>
      <c r="W65" s="5">
        <v>-187</v>
      </c>
      <c r="X65" s="6">
        <v>0</v>
      </c>
      <c r="Y65" s="21">
        <v>187</v>
      </c>
      <c r="Z65" s="5">
        <v>639</v>
      </c>
      <c r="AA65" s="5">
        <v>-187</v>
      </c>
      <c r="AB65" s="22">
        <v>0</v>
      </c>
      <c r="AC65" s="21">
        <v>155</v>
      </c>
      <c r="AD65" s="85">
        <v>368</v>
      </c>
      <c r="AE65" s="85">
        <v>-155</v>
      </c>
      <c r="AF65" s="22">
        <v>0</v>
      </c>
      <c r="AG65" s="21">
        <v>187</v>
      </c>
      <c r="AH65" s="5">
        <v>616</v>
      </c>
      <c r="AI65" s="5">
        <v>-187</v>
      </c>
      <c r="AJ65" s="22">
        <v>0</v>
      </c>
      <c r="AK65" s="21">
        <v>218</v>
      </c>
      <c r="AL65" s="5">
        <v>515</v>
      </c>
      <c r="AM65" s="5">
        <v>-218</v>
      </c>
      <c r="AN65" s="22">
        <v>0</v>
      </c>
      <c r="AO65" s="21">
        <v>218</v>
      </c>
      <c r="AP65" s="5">
        <v>662</v>
      </c>
      <c r="AQ65" s="5">
        <v>-218</v>
      </c>
      <c r="AR65" s="22">
        <v>0</v>
      </c>
      <c r="AS65" s="21">
        <v>218</v>
      </c>
      <c r="AT65" s="5">
        <v>300</v>
      </c>
      <c r="AU65" s="5">
        <v>-218</v>
      </c>
      <c r="AV65" s="22">
        <v>0</v>
      </c>
      <c r="AW65" s="21">
        <v>187</v>
      </c>
      <c r="AX65" s="5"/>
      <c r="AY65" s="5">
        <f t="shared" si="84"/>
        <v>-187</v>
      </c>
      <c r="AZ65" s="22">
        <f t="shared" si="85"/>
        <v>0</v>
      </c>
      <c r="BA65" s="21"/>
      <c r="BB65" s="5"/>
      <c r="BC65" s="5">
        <f t="shared" si="86"/>
        <v>0</v>
      </c>
      <c r="BD65" s="22">
        <f t="shared" si="87"/>
        <v>0</v>
      </c>
    </row>
    <row r="66" spans="1:56" x14ac:dyDescent="0.4">
      <c r="A66" s="20">
        <v>5133</v>
      </c>
      <c r="B66" s="2" t="s">
        <v>57</v>
      </c>
      <c r="C66" s="2">
        <v>341</v>
      </c>
      <c r="D66" s="2" t="s">
        <v>42</v>
      </c>
      <c r="E66" s="5">
        <v>68</v>
      </c>
      <c r="F66" s="5">
        <v>213</v>
      </c>
      <c r="G66" s="5">
        <v>145</v>
      </c>
      <c r="H66" s="6">
        <v>314.36</v>
      </c>
      <c r="I66" s="5">
        <v>102</v>
      </c>
      <c r="J66" s="5">
        <v>296</v>
      </c>
      <c r="K66" s="5">
        <v>194</v>
      </c>
      <c r="L66" s="6">
        <v>290.86</v>
      </c>
      <c r="M66" s="5">
        <v>102</v>
      </c>
      <c r="N66" s="5">
        <v>455</v>
      </c>
      <c r="O66" s="5">
        <v>-102</v>
      </c>
      <c r="P66" s="6">
        <v>0</v>
      </c>
      <c r="Q66" s="5">
        <v>102</v>
      </c>
      <c r="R66" s="5">
        <v>289</v>
      </c>
      <c r="S66" s="5">
        <v>-102</v>
      </c>
      <c r="T66" s="6">
        <v>0</v>
      </c>
      <c r="U66" s="5">
        <v>102</v>
      </c>
      <c r="V66" s="5">
        <v>373</v>
      </c>
      <c r="W66" s="5">
        <v>-102</v>
      </c>
      <c r="X66" s="6">
        <v>0</v>
      </c>
      <c r="Y66" s="21">
        <v>102</v>
      </c>
      <c r="Z66" s="5">
        <v>508</v>
      </c>
      <c r="AA66" s="5">
        <v>-102</v>
      </c>
      <c r="AB66" s="22">
        <v>0</v>
      </c>
      <c r="AC66" s="21">
        <v>102</v>
      </c>
      <c r="AD66" s="85">
        <v>168</v>
      </c>
      <c r="AE66" s="85">
        <v>-102</v>
      </c>
      <c r="AF66" s="22">
        <v>0</v>
      </c>
      <c r="AG66" s="21">
        <v>102</v>
      </c>
      <c r="AH66" s="5">
        <v>351</v>
      </c>
      <c r="AI66" s="5">
        <v>-102</v>
      </c>
      <c r="AJ66" s="22">
        <v>0</v>
      </c>
      <c r="AK66" s="21">
        <v>136</v>
      </c>
      <c r="AL66" s="5">
        <v>355</v>
      </c>
      <c r="AM66" s="5">
        <v>-136</v>
      </c>
      <c r="AN66" s="22">
        <v>0</v>
      </c>
      <c r="AO66" s="21">
        <v>102</v>
      </c>
      <c r="AP66" s="5">
        <v>489</v>
      </c>
      <c r="AQ66" s="5">
        <v>-102</v>
      </c>
      <c r="AR66" s="22">
        <v>0</v>
      </c>
      <c r="AS66" s="21">
        <v>102</v>
      </c>
      <c r="AT66" s="5">
        <v>0</v>
      </c>
      <c r="AU66" s="5">
        <v>-102</v>
      </c>
      <c r="AV66" s="22">
        <v>0</v>
      </c>
      <c r="AW66" s="21">
        <v>102</v>
      </c>
      <c r="AX66" s="5"/>
      <c r="AY66" s="5">
        <f t="shared" si="84"/>
        <v>-102</v>
      </c>
      <c r="AZ66" s="22">
        <f t="shared" si="85"/>
        <v>0</v>
      </c>
      <c r="BA66" s="21"/>
      <c r="BB66" s="5"/>
      <c r="BC66" s="5">
        <f t="shared" si="86"/>
        <v>0</v>
      </c>
      <c r="BD66" s="22">
        <f t="shared" si="87"/>
        <v>0</v>
      </c>
    </row>
    <row r="67" spans="1:56" x14ac:dyDescent="0.4">
      <c r="A67" s="20">
        <v>5133</v>
      </c>
      <c r="B67" s="2" t="s">
        <v>57</v>
      </c>
      <c r="C67" s="2">
        <v>342</v>
      </c>
      <c r="D67" s="2" t="s">
        <v>43</v>
      </c>
      <c r="E67" s="5">
        <v>106</v>
      </c>
      <c r="F67" s="5">
        <v>492</v>
      </c>
      <c r="G67" s="5">
        <v>386</v>
      </c>
      <c r="H67" s="6">
        <v>464.95</v>
      </c>
      <c r="I67" s="5">
        <v>148</v>
      </c>
      <c r="J67" s="5">
        <v>363</v>
      </c>
      <c r="K67" s="5">
        <v>215</v>
      </c>
      <c r="L67" s="6">
        <v>245.9</v>
      </c>
      <c r="M67" s="5">
        <v>169</v>
      </c>
      <c r="N67" s="5">
        <v>299</v>
      </c>
      <c r="O67" s="5">
        <v>-169</v>
      </c>
      <c r="P67" s="6">
        <v>0</v>
      </c>
      <c r="Q67" s="5">
        <v>169</v>
      </c>
      <c r="R67" s="5">
        <v>400</v>
      </c>
      <c r="S67" s="5">
        <v>-169</v>
      </c>
      <c r="T67" s="6">
        <v>0</v>
      </c>
      <c r="U67" s="5">
        <v>190</v>
      </c>
      <c r="V67" s="5">
        <v>796</v>
      </c>
      <c r="W67" s="5">
        <v>-190</v>
      </c>
      <c r="X67" s="6">
        <v>0</v>
      </c>
      <c r="Y67" s="21">
        <v>190</v>
      </c>
      <c r="Z67" s="5">
        <v>480</v>
      </c>
      <c r="AA67" s="5">
        <v>-190</v>
      </c>
      <c r="AB67" s="22">
        <v>0</v>
      </c>
      <c r="AC67" s="21">
        <v>169</v>
      </c>
      <c r="AD67" s="85">
        <v>234</v>
      </c>
      <c r="AE67" s="85">
        <v>-169</v>
      </c>
      <c r="AF67" s="22">
        <v>0</v>
      </c>
      <c r="AG67" s="21">
        <v>169</v>
      </c>
      <c r="AH67" s="5">
        <v>428</v>
      </c>
      <c r="AI67" s="5">
        <v>-169</v>
      </c>
      <c r="AJ67" s="22">
        <v>0</v>
      </c>
      <c r="AK67" s="21">
        <v>169</v>
      </c>
      <c r="AL67" s="5">
        <v>287</v>
      </c>
      <c r="AM67" s="5">
        <v>-169</v>
      </c>
      <c r="AN67" s="22">
        <v>0</v>
      </c>
      <c r="AO67" s="21">
        <v>211</v>
      </c>
      <c r="AP67" s="5">
        <v>332</v>
      </c>
      <c r="AQ67" s="5">
        <v>-211</v>
      </c>
      <c r="AR67" s="22">
        <v>0</v>
      </c>
      <c r="AS67" s="21">
        <v>211</v>
      </c>
      <c r="AT67" s="5">
        <v>0</v>
      </c>
      <c r="AU67" s="5">
        <v>-211</v>
      </c>
      <c r="AV67" s="22">
        <v>0</v>
      </c>
      <c r="AW67" s="21">
        <v>211</v>
      </c>
      <c r="AX67" s="5"/>
      <c r="AY67" s="5">
        <f t="shared" si="84"/>
        <v>-211</v>
      </c>
      <c r="AZ67" s="22">
        <f t="shared" si="85"/>
        <v>0</v>
      </c>
      <c r="BA67" s="21"/>
      <c r="BB67" s="5"/>
      <c r="BC67" s="5">
        <f t="shared" si="86"/>
        <v>0</v>
      </c>
      <c r="BD67" s="22">
        <f t="shared" si="87"/>
        <v>0</v>
      </c>
    </row>
    <row r="68" spans="1:56" x14ac:dyDescent="0.4">
      <c r="A68" s="23">
        <v>5133</v>
      </c>
      <c r="B68" s="24" t="s">
        <v>57</v>
      </c>
      <c r="C68" s="24">
        <v>350</v>
      </c>
      <c r="D68" s="24" t="s">
        <v>4</v>
      </c>
      <c r="E68" s="25">
        <v>121</v>
      </c>
      <c r="F68" s="25">
        <v>329</v>
      </c>
      <c r="G68" s="25">
        <v>208</v>
      </c>
      <c r="H68" s="26">
        <v>272.37</v>
      </c>
      <c r="I68" s="25">
        <v>121</v>
      </c>
      <c r="J68" s="25">
        <v>570</v>
      </c>
      <c r="K68" s="25">
        <v>449</v>
      </c>
      <c r="L68" s="26">
        <v>471.72</v>
      </c>
      <c r="M68" s="25">
        <v>121</v>
      </c>
      <c r="N68" s="25">
        <v>327</v>
      </c>
      <c r="O68" s="25">
        <v>-121</v>
      </c>
      <c r="P68" s="26">
        <v>0</v>
      </c>
      <c r="Q68" s="25">
        <v>121</v>
      </c>
      <c r="R68" s="25">
        <v>554</v>
      </c>
      <c r="S68" s="25">
        <v>-121</v>
      </c>
      <c r="T68" s="26">
        <v>0</v>
      </c>
      <c r="U68" s="25">
        <v>121</v>
      </c>
      <c r="V68" s="25">
        <v>428</v>
      </c>
      <c r="W68" s="25">
        <v>-121</v>
      </c>
      <c r="X68" s="26">
        <v>0</v>
      </c>
      <c r="Y68" s="27">
        <v>121</v>
      </c>
      <c r="Z68" s="25">
        <v>562</v>
      </c>
      <c r="AA68" s="25">
        <v>-121</v>
      </c>
      <c r="AB68" s="28">
        <v>0</v>
      </c>
      <c r="AC68" s="27">
        <v>155</v>
      </c>
      <c r="AD68" s="86">
        <v>31</v>
      </c>
      <c r="AE68" s="86">
        <v>-155</v>
      </c>
      <c r="AF68" s="28">
        <v>0</v>
      </c>
      <c r="AG68" s="27">
        <v>172</v>
      </c>
      <c r="AH68" s="25">
        <v>300</v>
      </c>
      <c r="AI68" s="25">
        <v>-172</v>
      </c>
      <c r="AJ68" s="28">
        <v>0</v>
      </c>
      <c r="AK68" s="27">
        <v>138</v>
      </c>
      <c r="AL68" s="25">
        <v>132</v>
      </c>
      <c r="AM68" s="25">
        <v>-138</v>
      </c>
      <c r="AN68" s="28">
        <v>0</v>
      </c>
      <c r="AO68" s="27">
        <v>138</v>
      </c>
      <c r="AP68" s="25">
        <v>273</v>
      </c>
      <c r="AQ68" s="25">
        <v>-138</v>
      </c>
      <c r="AR68" s="28">
        <v>0</v>
      </c>
      <c r="AS68" s="27">
        <v>155</v>
      </c>
      <c r="AT68" s="25">
        <v>189</v>
      </c>
      <c r="AU68" s="25">
        <v>-155</v>
      </c>
      <c r="AV68" s="28">
        <v>0</v>
      </c>
      <c r="AW68" s="27">
        <v>172</v>
      </c>
      <c r="AX68" s="25"/>
      <c r="AY68" s="25">
        <f t="shared" si="84"/>
        <v>-172</v>
      </c>
      <c r="AZ68" s="28">
        <f t="shared" si="85"/>
        <v>0</v>
      </c>
      <c r="BA68" s="27"/>
      <c r="BB68" s="25"/>
      <c r="BC68" s="25">
        <f t="shared" si="86"/>
        <v>0</v>
      </c>
      <c r="BD68" s="28">
        <f t="shared" si="87"/>
        <v>0</v>
      </c>
    </row>
    <row r="69" spans="1:56" x14ac:dyDescent="0.4">
      <c r="A69" s="14">
        <v>5135</v>
      </c>
      <c r="B69" s="15" t="s">
        <v>58</v>
      </c>
      <c r="C69" s="15"/>
      <c r="D69" s="15" t="s">
        <v>77</v>
      </c>
      <c r="E69" s="16">
        <f>SUBTOTAL(9,E70:E77)</f>
        <v>12699</v>
      </c>
      <c r="F69" s="16">
        <f>SUM(F70:F77)</f>
        <v>11204</v>
      </c>
      <c r="G69" s="16">
        <f t="shared" si="39"/>
        <v>-1495</v>
      </c>
      <c r="H69" s="17">
        <f t="shared" si="64"/>
        <v>0.88227419481848968</v>
      </c>
      <c r="I69" s="16">
        <f>SUBTOTAL(9,I70:I77)</f>
        <v>12699</v>
      </c>
      <c r="J69" s="16">
        <f>SUM(J70:J77)</f>
        <v>12183</v>
      </c>
      <c r="K69" s="16">
        <f t="shared" si="40"/>
        <v>-516</v>
      </c>
      <c r="L69" s="17">
        <f t="shared" si="66"/>
        <v>0.95936687928183317</v>
      </c>
      <c r="M69" s="16">
        <f>SUBTOTAL(9,M70:M77)</f>
        <v>12699</v>
      </c>
      <c r="N69" s="16">
        <f>SUM(N70:N77)</f>
        <v>17091</v>
      </c>
      <c r="O69" s="16">
        <f t="shared" si="41"/>
        <v>4392</v>
      </c>
      <c r="P69" s="17">
        <f t="shared" si="67"/>
        <v>1.3458540042523033</v>
      </c>
      <c r="Q69" s="16">
        <f>SUM(Q70:Q77)</f>
        <v>12699</v>
      </c>
      <c r="R69" s="16">
        <f>SUM(R70:R76)</f>
        <v>12826</v>
      </c>
      <c r="S69" s="16">
        <f t="shared" ref="S69" si="88">R69-Q69</f>
        <v>127</v>
      </c>
      <c r="T69" s="17">
        <f t="shared" si="69"/>
        <v>1.0100007874635799</v>
      </c>
      <c r="U69" s="16">
        <f>SUM(U70:U77)</f>
        <v>12699</v>
      </c>
      <c r="V69" s="16">
        <f>SUM(V70:V77)</f>
        <v>13443</v>
      </c>
      <c r="W69" s="16">
        <f t="shared" ref="W69" si="89">V69-U69</f>
        <v>744</v>
      </c>
      <c r="X69" s="17">
        <f t="shared" si="71"/>
        <v>1.058587290337822</v>
      </c>
      <c r="Y69" s="18">
        <f>SUM(Y70:Y77)</f>
        <v>12699</v>
      </c>
      <c r="Z69" s="16">
        <f>SUM(Z70:Z77)</f>
        <v>12224</v>
      </c>
      <c r="AA69" s="16">
        <f t="shared" ref="AA69" si="90">Z69-Y69</f>
        <v>-475</v>
      </c>
      <c r="AB69" s="19">
        <f t="shared" si="73"/>
        <v>0.96259547995905193</v>
      </c>
      <c r="AC69" s="18">
        <f>SUM(AC70:AC77)</f>
        <v>12699</v>
      </c>
      <c r="AD69" s="84">
        <f>SUM(AD70:AD77)</f>
        <v>1531</v>
      </c>
      <c r="AE69" s="84">
        <f t="shared" ref="AE69" si="91">AD69-AC69</f>
        <v>-11168</v>
      </c>
      <c r="AF69" s="19">
        <f t="shared" si="75"/>
        <v>0.12056067406882431</v>
      </c>
      <c r="AG69" s="18">
        <f>SUM(AG70:AG77)</f>
        <v>12699</v>
      </c>
      <c r="AH69" s="16">
        <f>SUM(AH70:AH77)</f>
        <v>12753</v>
      </c>
      <c r="AI69" s="16">
        <f t="shared" ref="AI69" si="92">AH69-AG69</f>
        <v>54</v>
      </c>
      <c r="AJ69" s="19">
        <f t="shared" si="77"/>
        <v>1.0042523033309709</v>
      </c>
      <c r="AK69" s="18">
        <f>SUM(AK70:AK77)</f>
        <v>12699</v>
      </c>
      <c r="AL69" s="16">
        <f>SUM(AL70:AL77)</f>
        <v>1180</v>
      </c>
      <c r="AM69" s="16">
        <f t="shared" ref="AM69" si="93">AL69-AK69</f>
        <v>-11519</v>
      </c>
      <c r="AN69" s="19">
        <f t="shared" si="79"/>
        <v>9.2920702417513185E-2</v>
      </c>
      <c r="AO69" s="18">
        <f>SUM(AO70:AO77)</f>
        <v>12699</v>
      </c>
      <c r="AP69" s="16">
        <f>SUM(AP70:AP77)</f>
        <v>8339</v>
      </c>
      <c r="AQ69" s="16">
        <f t="shared" ref="AQ69" si="94">AP69-AO69</f>
        <v>-4360</v>
      </c>
      <c r="AR69" s="19">
        <f t="shared" si="81"/>
        <v>0.65666587920308683</v>
      </c>
      <c r="AS69" s="18">
        <f>SUM(AS70:AS77)</f>
        <v>12699</v>
      </c>
      <c r="AT69" s="16">
        <f>SUM(AT70:AT77)</f>
        <v>792</v>
      </c>
      <c r="AU69" s="16">
        <f t="shared" si="82"/>
        <v>-11907</v>
      </c>
      <c r="AV69" s="19">
        <f t="shared" si="83"/>
        <v>6.2367115520907158E-2</v>
      </c>
      <c r="AW69" s="18">
        <f>SUM(AW70:AW77)</f>
        <v>12699</v>
      </c>
      <c r="AX69" s="16">
        <f>SUM(AX70:AX77)</f>
        <v>0</v>
      </c>
      <c r="AY69" s="16">
        <f t="shared" si="84"/>
        <v>-12699</v>
      </c>
      <c r="AZ69" s="19">
        <f t="shared" si="85"/>
        <v>0</v>
      </c>
      <c r="BA69" s="18">
        <f>SUM(BA70:BA77)</f>
        <v>0</v>
      </c>
      <c r="BB69" s="16">
        <f>SUM(BB70:BB77)</f>
        <v>0</v>
      </c>
      <c r="BC69" s="16">
        <f t="shared" si="86"/>
        <v>0</v>
      </c>
      <c r="BD69" s="19">
        <f t="shared" si="87"/>
        <v>0</v>
      </c>
    </row>
    <row r="70" spans="1:56" x14ac:dyDescent="0.4">
      <c r="A70" s="20">
        <v>5135</v>
      </c>
      <c r="B70" s="2" t="s">
        <v>58</v>
      </c>
      <c r="C70" s="2">
        <v>310</v>
      </c>
      <c r="D70" s="2" t="s">
        <v>1</v>
      </c>
      <c r="E70" s="5">
        <v>300</v>
      </c>
      <c r="F70" s="5">
        <v>183</v>
      </c>
      <c r="G70" s="5">
        <v>-116</v>
      </c>
      <c r="H70" s="6">
        <v>61.01</v>
      </c>
      <c r="I70" s="5">
        <v>300</v>
      </c>
      <c r="J70" s="5">
        <v>256</v>
      </c>
      <c r="K70" s="5">
        <v>-43</v>
      </c>
      <c r="L70" s="6">
        <v>85.49</v>
      </c>
      <c r="M70" s="5">
        <v>300</v>
      </c>
      <c r="N70" s="5">
        <v>1070</v>
      </c>
      <c r="O70" s="5">
        <v>-300</v>
      </c>
      <c r="P70" s="6">
        <v>0</v>
      </c>
      <c r="Q70" s="5">
        <v>300</v>
      </c>
      <c r="R70" s="5">
        <v>484</v>
      </c>
      <c r="S70" s="5">
        <v>-300</v>
      </c>
      <c r="T70" s="6">
        <v>0</v>
      </c>
      <c r="U70" s="5">
        <v>300</v>
      </c>
      <c r="V70" s="5">
        <v>324</v>
      </c>
      <c r="W70" s="5">
        <v>-300</v>
      </c>
      <c r="X70" s="6">
        <v>0</v>
      </c>
      <c r="Y70" s="21">
        <v>300</v>
      </c>
      <c r="Z70" s="5">
        <v>679</v>
      </c>
      <c r="AA70" s="5">
        <v>-300</v>
      </c>
      <c r="AB70" s="22">
        <v>0</v>
      </c>
      <c r="AC70" s="21">
        <v>300</v>
      </c>
      <c r="AD70" s="85">
        <v>24</v>
      </c>
      <c r="AE70" s="85">
        <v>-300</v>
      </c>
      <c r="AF70" s="22">
        <v>0</v>
      </c>
      <c r="AG70" s="21">
        <v>300</v>
      </c>
      <c r="AH70" s="5">
        <v>415</v>
      </c>
      <c r="AI70" s="5">
        <v>-300</v>
      </c>
      <c r="AJ70" s="22">
        <v>0</v>
      </c>
      <c r="AK70" s="21">
        <v>300</v>
      </c>
      <c r="AL70" s="5">
        <v>8</v>
      </c>
      <c r="AM70" s="5">
        <v>-300</v>
      </c>
      <c r="AN70" s="22">
        <v>0</v>
      </c>
      <c r="AO70" s="21">
        <v>300</v>
      </c>
      <c r="AP70" s="5">
        <v>201</v>
      </c>
      <c r="AQ70" s="5">
        <v>-300</v>
      </c>
      <c r="AR70" s="22">
        <v>0</v>
      </c>
      <c r="AS70" s="21">
        <v>300</v>
      </c>
      <c r="AT70" s="5">
        <v>0</v>
      </c>
      <c r="AU70" s="5">
        <v>-300</v>
      </c>
      <c r="AV70" s="22">
        <v>0</v>
      </c>
      <c r="AW70" s="21">
        <v>300</v>
      </c>
      <c r="AX70" s="5"/>
      <c r="AY70" s="5">
        <f t="shared" si="84"/>
        <v>-300</v>
      </c>
      <c r="AZ70" s="22">
        <f t="shared" si="85"/>
        <v>0</v>
      </c>
      <c r="BA70" s="21"/>
      <c r="BB70" s="5"/>
      <c r="BC70" s="5">
        <f t="shared" si="86"/>
        <v>0</v>
      </c>
      <c r="BD70" s="22">
        <f t="shared" si="87"/>
        <v>0</v>
      </c>
    </row>
    <row r="71" spans="1:56" x14ac:dyDescent="0.4">
      <c r="A71" s="20">
        <v>5135</v>
      </c>
      <c r="B71" s="2" t="s">
        <v>58</v>
      </c>
      <c r="C71" s="2">
        <v>320</v>
      </c>
      <c r="D71" s="2" t="s">
        <v>2</v>
      </c>
      <c r="E71" s="5">
        <v>899</v>
      </c>
      <c r="F71" s="5">
        <v>659</v>
      </c>
      <c r="G71" s="5">
        <v>-239</v>
      </c>
      <c r="H71" s="6">
        <v>73.41</v>
      </c>
      <c r="I71" s="5">
        <v>899</v>
      </c>
      <c r="J71" s="5">
        <v>502</v>
      </c>
      <c r="K71" s="5">
        <v>-396</v>
      </c>
      <c r="L71" s="6">
        <v>55.92</v>
      </c>
      <c r="M71" s="5">
        <v>899</v>
      </c>
      <c r="N71" s="5">
        <v>1591</v>
      </c>
      <c r="O71" s="5">
        <v>-899</v>
      </c>
      <c r="P71" s="6">
        <v>0</v>
      </c>
      <c r="Q71" s="5">
        <v>899</v>
      </c>
      <c r="R71" s="5">
        <v>711</v>
      </c>
      <c r="S71" s="5">
        <v>-899</v>
      </c>
      <c r="T71" s="6">
        <v>0</v>
      </c>
      <c r="U71" s="5">
        <v>899</v>
      </c>
      <c r="V71" s="5">
        <v>660</v>
      </c>
      <c r="W71" s="5">
        <v>-899</v>
      </c>
      <c r="X71" s="6">
        <v>0</v>
      </c>
      <c r="Y71" s="21">
        <v>899</v>
      </c>
      <c r="Z71" s="5">
        <v>490</v>
      </c>
      <c r="AA71" s="5">
        <v>-899</v>
      </c>
      <c r="AB71" s="22">
        <v>0</v>
      </c>
      <c r="AC71" s="21">
        <v>899</v>
      </c>
      <c r="AD71" s="85">
        <v>838</v>
      </c>
      <c r="AE71" s="85">
        <v>-899</v>
      </c>
      <c r="AF71" s="22">
        <v>0</v>
      </c>
      <c r="AG71" s="21">
        <v>899</v>
      </c>
      <c r="AH71" s="5">
        <v>1174</v>
      </c>
      <c r="AI71" s="5">
        <v>-899</v>
      </c>
      <c r="AJ71" s="22">
        <v>0</v>
      </c>
      <c r="AK71" s="21">
        <v>899</v>
      </c>
      <c r="AL71" s="5">
        <v>256</v>
      </c>
      <c r="AM71" s="5">
        <v>-899</v>
      </c>
      <c r="AN71" s="22">
        <v>0</v>
      </c>
      <c r="AO71" s="21">
        <v>899</v>
      </c>
      <c r="AP71" s="5">
        <v>529</v>
      </c>
      <c r="AQ71" s="5">
        <v>-899</v>
      </c>
      <c r="AR71" s="22">
        <v>0</v>
      </c>
      <c r="AS71" s="21">
        <v>899</v>
      </c>
      <c r="AT71" s="5">
        <v>259</v>
      </c>
      <c r="AU71" s="5">
        <v>-899</v>
      </c>
      <c r="AV71" s="22">
        <v>0</v>
      </c>
      <c r="AW71" s="21">
        <v>899</v>
      </c>
      <c r="AX71" s="5"/>
      <c r="AY71" s="5">
        <f t="shared" si="84"/>
        <v>-899</v>
      </c>
      <c r="AZ71" s="22">
        <f t="shared" si="85"/>
        <v>0</v>
      </c>
      <c r="BA71" s="21"/>
      <c r="BB71" s="5"/>
      <c r="BC71" s="5">
        <f t="shared" si="86"/>
        <v>0</v>
      </c>
      <c r="BD71" s="22">
        <f t="shared" si="87"/>
        <v>0</v>
      </c>
    </row>
    <row r="72" spans="1:56" x14ac:dyDescent="0.4">
      <c r="A72" s="20">
        <v>5135</v>
      </c>
      <c r="B72" s="2" t="s">
        <v>58</v>
      </c>
      <c r="C72" s="2">
        <v>330</v>
      </c>
      <c r="D72" s="2" t="s">
        <v>3</v>
      </c>
      <c r="E72" s="5">
        <v>550</v>
      </c>
      <c r="F72" s="5">
        <v>690</v>
      </c>
      <c r="G72" s="5">
        <v>140</v>
      </c>
      <c r="H72" s="6">
        <v>125.46</v>
      </c>
      <c r="I72" s="5">
        <v>550</v>
      </c>
      <c r="J72" s="5">
        <v>673</v>
      </c>
      <c r="K72" s="5">
        <v>123</v>
      </c>
      <c r="L72" s="6">
        <v>122.38</v>
      </c>
      <c r="M72" s="5">
        <v>550</v>
      </c>
      <c r="N72" s="5">
        <v>1397</v>
      </c>
      <c r="O72" s="5">
        <v>-550</v>
      </c>
      <c r="P72" s="6">
        <v>0</v>
      </c>
      <c r="Q72" s="5">
        <v>550</v>
      </c>
      <c r="R72" s="5">
        <v>1130</v>
      </c>
      <c r="S72" s="5">
        <v>-550</v>
      </c>
      <c r="T72" s="6">
        <v>0</v>
      </c>
      <c r="U72" s="5">
        <v>550</v>
      </c>
      <c r="V72" s="5">
        <v>1427</v>
      </c>
      <c r="W72" s="5">
        <v>-550</v>
      </c>
      <c r="X72" s="6">
        <v>0</v>
      </c>
      <c r="Y72" s="21">
        <v>550</v>
      </c>
      <c r="Z72" s="5">
        <v>801</v>
      </c>
      <c r="AA72" s="5">
        <v>-550</v>
      </c>
      <c r="AB72" s="22">
        <v>0</v>
      </c>
      <c r="AC72" s="21">
        <v>550</v>
      </c>
      <c r="AD72" s="85">
        <v>395</v>
      </c>
      <c r="AE72" s="85">
        <v>-550</v>
      </c>
      <c r="AF72" s="22">
        <v>0</v>
      </c>
      <c r="AG72" s="21">
        <v>550</v>
      </c>
      <c r="AH72" s="5">
        <v>277</v>
      </c>
      <c r="AI72" s="5">
        <v>-550</v>
      </c>
      <c r="AJ72" s="22">
        <v>0</v>
      </c>
      <c r="AK72" s="21">
        <v>550</v>
      </c>
      <c r="AL72" s="5">
        <v>411</v>
      </c>
      <c r="AM72" s="5">
        <v>-550</v>
      </c>
      <c r="AN72" s="22">
        <v>0</v>
      </c>
      <c r="AO72" s="21">
        <v>550</v>
      </c>
      <c r="AP72" s="5">
        <v>999</v>
      </c>
      <c r="AQ72" s="5">
        <v>-550</v>
      </c>
      <c r="AR72" s="22">
        <v>0</v>
      </c>
      <c r="AS72" s="21">
        <v>550</v>
      </c>
      <c r="AT72" s="5">
        <v>266</v>
      </c>
      <c r="AU72" s="5">
        <v>-550</v>
      </c>
      <c r="AV72" s="22">
        <v>0</v>
      </c>
      <c r="AW72" s="21">
        <v>550</v>
      </c>
      <c r="AX72" s="5"/>
      <c r="AY72" s="5">
        <f t="shared" si="84"/>
        <v>-550</v>
      </c>
      <c r="AZ72" s="22">
        <f t="shared" si="85"/>
        <v>0</v>
      </c>
      <c r="BA72" s="21"/>
      <c r="BB72" s="5"/>
      <c r="BC72" s="5">
        <f t="shared" si="86"/>
        <v>0</v>
      </c>
      <c r="BD72" s="22">
        <f t="shared" si="87"/>
        <v>0</v>
      </c>
    </row>
    <row r="73" spans="1:56" x14ac:dyDescent="0.4">
      <c r="A73" s="20">
        <v>5135</v>
      </c>
      <c r="B73" s="2" t="s">
        <v>58</v>
      </c>
      <c r="C73" s="2">
        <v>341</v>
      </c>
      <c r="D73" s="2" t="s">
        <v>42</v>
      </c>
      <c r="E73" s="5">
        <v>240</v>
      </c>
      <c r="F73" s="5">
        <v>147</v>
      </c>
      <c r="G73" s="5">
        <v>-92</v>
      </c>
      <c r="H73" s="6">
        <v>61.59</v>
      </c>
      <c r="I73" s="5">
        <v>240</v>
      </c>
      <c r="J73" s="5">
        <v>53</v>
      </c>
      <c r="K73" s="5">
        <v>-186</v>
      </c>
      <c r="L73" s="6">
        <v>22.14</v>
      </c>
      <c r="M73" s="5">
        <v>240</v>
      </c>
      <c r="N73" s="5">
        <v>1186</v>
      </c>
      <c r="O73" s="5">
        <v>-240</v>
      </c>
      <c r="P73" s="6">
        <v>0</v>
      </c>
      <c r="Q73" s="5">
        <v>240</v>
      </c>
      <c r="R73" s="5">
        <v>213</v>
      </c>
      <c r="S73" s="5">
        <v>-240</v>
      </c>
      <c r="T73" s="6">
        <v>0</v>
      </c>
      <c r="U73" s="5">
        <v>240</v>
      </c>
      <c r="V73" s="5">
        <v>662</v>
      </c>
      <c r="W73" s="5">
        <v>-240</v>
      </c>
      <c r="X73" s="6">
        <v>0</v>
      </c>
      <c r="Y73" s="21">
        <v>240</v>
      </c>
      <c r="Z73" s="5">
        <v>222</v>
      </c>
      <c r="AA73" s="5">
        <v>-240</v>
      </c>
      <c r="AB73" s="22">
        <v>0</v>
      </c>
      <c r="AC73" s="21">
        <v>240</v>
      </c>
      <c r="AD73" s="85">
        <v>113</v>
      </c>
      <c r="AE73" s="85">
        <v>-240</v>
      </c>
      <c r="AF73" s="22">
        <v>0</v>
      </c>
      <c r="AG73" s="21">
        <v>240</v>
      </c>
      <c r="AH73" s="5">
        <v>234</v>
      </c>
      <c r="AI73" s="5">
        <v>-240</v>
      </c>
      <c r="AJ73" s="22">
        <v>0</v>
      </c>
      <c r="AK73" s="21">
        <v>240</v>
      </c>
      <c r="AL73" s="5">
        <v>257</v>
      </c>
      <c r="AM73" s="5">
        <v>-240</v>
      </c>
      <c r="AN73" s="22">
        <v>0</v>
      </c>
      <c r="AO73" s="21">
        <v>240</v>
      </c>
      <c r="AP73" s="5">
        <v>176</v>
      </c>
      <c r="AQ73" s="5">
        <v>-240</v>
      </c>
      <c r="AR73" s="22">
        <v>0</v>
      </c>
      <c r="AS73" s="21">
        <v>240</v>
      </c>
      <c r="AT73" s="5">
        <v>32</v>
      </c>
      <c r="AU73" s="5">
        <v>-240</v>
      </c>
      <c r="AV73" s="22">
        <v>0</v>
      </c>
      <c r="AW73" s="21">
        <v>240</v>
      </c>
      <c r="AX73" s="5"/>
      <c r="AY73" s="5">
        <f t="shared" si="84"/>
        <v>-240</v>
      </c>
      <c r="AZ73" s="22">
        <f t="shared" si="85"/>
        <v>0</v>
      </c>
      <c r="BA73" s="21"/>
      <c r="BB73" s="5"/>
      <c r="BC73" s="5">
        <f t="shared" si="86"/>
        <v>0</v>
      </c>
      <c r="BD73" s="22">
        <f t="shared" si="87"/>
        <v>0</v>
      </c>
    </row>
    <row r="74" spans="1:56" x14ac:dyDescent="0.4">
      <c r="A74" s="20">
        <v>5135</v>
      </c>
      <c r="B74" s="2" t="s">
        <v>58</v>
      </c>
      <c r="C74" s="2">
        <v>342</v>
      </c>
      <c r="D74" s="2" t="s">
        <v>43</v>
      </c>
      <c r="E74" s="5">
        <v>330</v>
      </c>
      <c r="F74" s="5">
        <v>104</v>
      </c>
      <c r="G74" s="5">
        <v>-225</v>
      </c>
      <c r="H74" s="6">
        <v>31.8</v>
      </c>
      <c r="I74" s="5">
        <v>330</v>
      </c>
      <c r="J74" s="5">
        <v>208</v>
      </c>
      <c r="K74" s="5">
        <v>-121</v>
      </c>
      <c r="L74" s="6">
        <v>63.22</v>
      </c>
      <c r="M74" s="5">
        <v>330</v>
      </c>
      <c r="N74" s="5">
        <v>757</v>
      </c>
      <c r="O74" s="5">
        <v>-330</v>
      </c>
      <c r="P74" s="6">
        <v>0</v>
      </c>
      <c r="Q74" s="5">
        <v>330</v>
      </c>
      <c r="R74" s="5">
        <v>433</v>
      </c>
      <c r="S74" s="5">
        <v>-330</v>
      </c>
      <c r="T74" s="6">
        <v>0</v>
      </c>
      <c r="U74" s="5">
        <v>330</v>
      </c>
      <c r="V74" s="5">
        <v>777</v>
      </c>
      <c r="W74" s="5">
        <v>-330</v>
      </c>
      <c r="X74" s="6">
        <v>0</v>
      </c>
      <c r="Y74" s="21">
        <v>330</v>
      </c>
      <c r="Z74" s="5">
        <v>461</v>
      </c>
      <c r="AA74" s="5">
        <v>-330</v>
      </c>
      <c r="AB74" s="22">
        <v>0</v>
      </c>
      <c r="AC74" s="21">
        <v>330</v>
      </c>
      <c r="AD74" s="85">
        <v>155</v>
      </c>
      <c r="AE74" s="85">
        <v>-330</v>
      </c>
      <c r="AF74" s="22">
        <v>0</v>
      </c>
      <c r="AG74" s="21">
        <v>330</v>
      </c>
      <c r="AH74" s="5">
        <v>275</v>
      </c>
      <c r="AI74" s="5">
        <v>-330</v>
      </c>
      <c r="AJ74" s="22">
        <v>0</v>
      </c>
      <c r="AK74" s="21">
        <v>330</v>
      </c>
      <c r="AL74" s="5">
        <v>94</v>
      </c>
      <c r="AM74" s="5">
        <v>-330</v>
      </c>
      <c r="AN74" s="22">
        <v>0</v>
      </c>
      <c r="AO74" s="21">
        <v>330</v>
      </c>
      <c r="AP74" s="5">
        <v>107</v>
      </c>
      <c r="AQ74" s="5">
        <v>-330</v>
      </c>
      <c r="AR74" s="22">
        <v>0</v>
      </c>
      <c r="AS74" s="21">
        <v>330</v>
      </c>
      <c r="AT74" s="5">
        <v>0</v>
      </c>
      <c r="AU74" s="5">
        <v>-330</v>
      </c>
      <c r="AV74" s="22">
        <v>0</v>
      </c>
      <c r="AW74" s="21">
        <v>330</v>
      </c>
      <c r="AX74" s="5"/>
      <c r="AY74" s="5">
        <f t="shared" si="84"/>
        <v>-330</v>
      </c>
      <c r="AZ74" s="22">
        <f t="shared" si="85"/>
        <v>0</v>
      </c>
      <c r="BA74" s="21"/>
      <c r="BB74" s="5"/>
      <c r="BC74" s="5">
        <f t="shared" si="86"/>
        <v>0</v>
      </c>
      <c r="BD74" s="22">
        <f t="shared" si="87"/>
        <v>0</v>
      </c>
    </row>
    <row r="75" spans="1:56" x14ac:dyDescent="0.4">
      <c r="A75" s="20">
        <v>5135</v>
      </c>
      <c r="B75" s="2" t="s">
        <v>58</v>
      </c>
      <c r="C75" s="2">
        <v>350</v>
      </c>
      <c r="D75" s="2" t="s">
        <v>4</v>
      </c>
      <c r="E75" s="5">
        <v>380</v>
      </c>
      <c r="F75" s="5">
        <v>432</v>
      </c>
      <c r="G75" s="5">
        <v>52</v>
      </c>
      <c r="H75" s="6">
        <v>113.77</v>
      </c>
      <c r="I75" s="5">
        <v>380</v>
      </c>
      <c r="J75" s="5">
        <v>326</v>
      </c>
      <c r="K75" s="5">
        <v>-53</v>
      </c>
      <c r="L75" s="6">
        <v>85.88</v>
      </c>
      <c r="M75" s="5">
        <v>380</v>
      </c>
      <c r="N75" s="5">
        <v>861</v>
      </c>
      <c r="O75" s="5">
        <v>-380</v>
      </c>
      <c r="P75" s="6">
        <v>0</v>
      </c>
      <c r="Q75" s="5">
        <v>380</v>
      </c>
      <c r="R75" s="5">
        <v>364</v>
      </c>
      <c r="S75" s="5">
        <v>-380</v>
      </c>
      <c r="T75" s="6">
        <v>0</v>
      </c>
      <c r="U75" s="5">
        <v>380</v>
      </c>
      <c r="V75" s="5">
        <v>381</v>
      </c>
      <c r="W75" s="5">
        <v>-380</v>
      </c>
      <c r="X75" s="6">
        <v>0</v>
      </c>
      <c r="Y75" s="21">
        <v>380</v>
      </c>
      <c r="Z75" s="5">
        <v>394</v>
      </c>
      <c r="AA75" s="5">
        <v>-380</v>
      </c>
      <c r="AB75" s="22">
        <v>0</v>
      </c>
      <c r="AC75" s="21">
        <v>380</v>
      </c>
      <c r="AD75" s="85">
        <v>6</v>
      </c>
      <c r="AE75" s="85">
        <v>-380</v>
      </c>
      <c r="AF75" s="22">
        <v>0</v>
      </c>
      <c r="AG75" s="21">
        <v>380</v>
      </c>
      <c r="AH75" s="5">
        <v>474</v>
      </c>
      <c r="AI75" s="5">
        <v>-380</v>
      </c>
      <c r="AJ75" s="22">
        <v>0</v>
      </c>
      <c r="AK75" s="21">
        <v>380</v>
      </c>
      <c r="AL75" s="5">
        <v>154</v>
      </c>
      <c r="AM75" s="5">
        <v>-380</v>
      </c>
      <c r="AN75" s="22">
        <v>0</v>
      </c>
      <c r="AO75" s="21">
        <v>380</v>
      </c>
      <c r="AP75" s="5">
        <v>216</v>
      </c>
      <c r="AQ75" s="5">
        <v>-380</v>
      </c>
      <c r="AR75" s="22">
        <v>0</v>
      </c>
      <c r="AS75" s="21">
        <v>380</v>
      </c>
      <c r="AT75" s="5">
        <v>235</v>
      </c>
      <c r="AU75" s="5">
        <v>-380</v>
      </c>
      <c r="AV75" s="22">
        <v>0</v>
      </c>
      <c r="AW75" s="21">
        <v>380</v>
      </c>
      <c r="AX75" s="5"/>
      <c r="AY75" s="5">
        <f t="shared" si="84"/>
        <v>-380</v>
      </c>
      <c r="AZ75" s="22">
        <f t="shared" si="85"/>
        <v>0</v>
      </c>
      <c r="BA75" s="21"/>
      <c r="BB75" s="5"/>
      <c r="BC75" s="5">
        <f t="shared" si="86"/>
        <v>0</v>
      </c>
      <c r="BD75" s="22">
        <f t="shared" si="87"/>
        <v>0</v>
      </c>
    </row>
    <row r="76" spans="1:56" x14ac:dyDescent="0.4">
      <c r="A76" s="20">
        <v>5135</v>
      </c>
      <c r="B76" s="2" t="s">
        <v>58</v>
      </c>
      <c r="C76" s="2">
        <v>390</v>
      </c>
      <c r="D76" s="2" t="s">
        <v>11</v>
      </c>
      <c r="E76" s="5">
        <v>10000</v>
      </c>
      <c r="F76" s="5">
        <v>8966</v>
      </c>
      <c r="G76" s="5">
        <v>-1033</v>
      </c>
      <c r="H76" s="6">
        <v>89.67</v>
      </c>
      <c r="I76" s="5">
        <v>10000</v>
      </c>
      <c r="J76" s="5">
        <v>10145</v>
      </c>
      <c r="K76" s="5">
        <v>145</v>
      </c>
      <c r="L76" s="6">
        <v>101.45</v>
      </c>
      <c r="M76" s="5">
        <v>10000</v>
      </c>
      <c r="N76" s="5">
        <v>10229</v>
      </c>
      <c r="O76" s="5">
        <v>-10000</v>
      </c>
      <c r="P76" s="6">
        <v>0</v>
      </c>
      <c r="Q76" s="5">
        <v>10000</v>
      </c>
      <c r="R76" s="5">
        <v>9491</v>
      </c>
      <c r="S76" s="5">
        <v>-10000</v>
      </c>
      <c r="T76" s="6">
        <v>0</v>
      </c>
      <c r="U76" s="5">
        <v>10000</v>
      </c>
      <c r="V76" s="5">
        <v>9212</v>
      </c>
      <c r="W76" s="5">
        <v>-10000</v>
      </c>
      <c r="X76" s="6">
        <v>0</v>
      </c>
      <c r="Y76" s="21">
        <v>10000</v>
      </c>
      <c r="Z76" s="5">
        <v>9177</v>
      </c>
      <c r="AA76" s="5">
        <v>-10000</v>
      </c>
      <c r="AB76" s="22">
        <v>0</v>
      </c>
      <c r="AC76" s="21">
        <v>10000</v>
      </c>
      <c r="AD76" s="85">
        <v>0</v>
      </c>
      <c r="AE76" s="85">
        <v>-10000</v>
      </c>
      <c r="AF76" s="22">
        <v>0</v>
      </c>
      <c r="AG76" s="21">
        <v>10000</v>
      </c>
      <c r="AH76" s="5">
        <v>9904</v>
      </c>
      <c r="AI76" s="5">
        <v>-10000</v>
      </c>
      <c r="AJ76" s="22">
        <v>0</v>
      </c>
      <c r="AK76" s="21">
        <v>10000</v>
      </c>
      <c r="AL76" s="5">
        <v>0</v>
      </c>
      <c r="AM76" s="5">
        <v>-10000</v>
      </c>
      <c r="AN76" s="22">
        <v>0</v>
      </c>
      <c r="AO76" s="21">
        <v>10000</v>
      </c>
      <c r="AP76" s="5">
        <v>6111</v>
      </c>
      <c r="AQ76" s="5">
        <v>-10000</v>
      </c>
      <c r="AR76" s="22">
        <v>0</v>
      </c>
      <c r="AS76" s="21">
        <v>10000</v>
      </c>
      <c r="AT76" s="5">
        <v>0</v>
      </c>
      <c r="AU76" s="5">
        <v>-10000</v>
      </c>
      <c r="AV76" s="22">
        <v>0</v>
      </c>
      <c r="AW76" s="21">
        <v>10000</v>
      </c>
      <c r="AX76" s="5"/>
      <c r="AY76" s="5">
        <f t="shared" si="84"/>
        <v>-10000</v>
      </c>
      <c r="AZ76" s="22">
        <f t="shared" si="85"/>
        <v>0</v>
      </c>
      <c r="BA76" s="21"/>
      <c r="BB76" s="5"/>
      <c r="BC76" s="5">
        <f t="shared" si="86"/>
        <v>0</v>
      </c>
      <c r="BD76" s="22">
        <f t="shared" si="87"/>
        <v>0</v>
      </c>
    </row>
    <row r="77" spans="1:56" x14ac:dyDescent="0.4">
      <c r="A77" s="23">
        <v>5136</v>
      </c>
      <c r="B77" s="24" t="s">
        <v>58</v>
      </c>
      <c r="C77" s="24">
        <v>910</v>
      </c>
      <c r="D77" s="24" t="s">
        <v>47</v>
      </c>
      <c r="E77" s="25">
        <v>0</v>
      </c>
      <c r="F77" s="25">
        <v>23</v>
      </c>
      <c r="G77" s="25">
        <v>23</v>
      </c>
      <c r="H77" s="26">
        <v>0</v>
      </c>
      <c r="I77" s="25">
        <v>0</v>
      </c>
      <c r="J77" s="25">
        <v>20</v>
      </c>
      <c r="K77" s="25">
        <v>20</v>
      </c>
      <c r="L77" s="26">
        <v>0</v>
      </c>
      <c r="M77" s="25">
        <v>0</v>
      </c>
      <c r="N77" s="25">
        <v>0</v>
      </c>
      <c r="O77" s="25">
        <v>0</v>
      </c>
      <c r="P77" s="26">
        <v>0</v>
      </c>
      <c r="Q77" s="25">
        <v>0</v>
      </c>
      <c r="R77" s="25">
        <v>0</v>
      </c>
      <c r="S77" s="25">
        <v>0</v>
      </c>
      <c r="T77" s="26">
        <v>0</v>
      </c>
      <c r="U77" s="25">
        <v>0</v>
      </c>
      <c r="V77" s="25">
        <v>0</v>
      </c>
      <c r="W77" s="25">
        <v>0</v>
      </c>
      <c r="X77" s="26">
        <v>0</v>
      </c>
      <c r="Y77" s="27">
        <v>0</v>
      </c>
      <c r="Z77" s="25">
        <v>0</v>
      </c>
      <c r="AA77" s="25">
        <v>0</v>
      </c>
      <c r="AB77" s="28">
        <v>0</v>
      </c>
      <c r="AC77" s="27">
        <v>0</v>
      </c>
      <c r="AD77" s="86">
        <v>0</v>
      </c>
      <c r="AE77" s="86">
        <v>0</v>
      </c>
      <c r="AF77" s="28">
        <v>0</v>
      </c>
      <c r="AG77" s="27">
        <v>0</v>
      </c>
      <c r="AH77" s="25">
        <v>0</v>
      </c>
      <c r="AI77" s="25">
        <v>0</v>
      </c>
      <c r="AJ77" s="28">
        <v>0</v>
      </c>
      <c r="AK77" s="27">
        <v>0</v>
      </c>
      <c r="AL77" s="25">
        <v>0</v>
      </c>
      <c r="AM77" s="25">
        <v>0</v>
      </c>
      <c r="AN77" s="28">
        <v>0</v>
      </c>
      <c r="AO77" s="27">
        <v>0</v>
      </c>
      <c r="AP77" s="25">
        <v>0</v>
      </c>
      <c r="AQ77" s="25">
        <v>0</v>
      </c>
      <c r="AR77" s="28">
        <v>0</v>
      </c>
      <c r="AS77" s="27">
        <v>0</v>
      </c>
      <c r="AT77" s="25">
        <v>0</v>
      </c>
      <c r="AU77" s="25">
        <v>0</v>
      </c>
      <c r="AV77" s="28">
        <v>0</v>
      </c>
      <c r="AW77" s="27">
        <v>0</v>
      </c>
      <c r="AX77" s="25"/>
      <c r="AY77" s="25">
        <f t="shared" si="84"/>
        <v>0</v>
      </c>
      <c r="AZ77" s="28">
        <f>IF(AW77=0,0,AX77/AW77)</f>
        <v>0</v>
      </c>
      <c r="BA77" s="27"/>
      <c r="BB77" s="25"/>
      <c r="BC77" s="25">
        <f t="shared" si="86"/>
        <v>0</v>
      </c>
      <c r="BD77" s="28">
        <f>IF(BA77=0,0,BB77/BA77)</f>
        <v>0</v>
      </c>
    </row>
    <row r="78" spans="1:56" x14ac:dyDescent="0.4">
      <c r="A78" s="14">
        <v>5151</v>
      </c>
      <c r="B78" s="15" t="s">
        <v>59</v>
      </c>
      <c r="C78" s="15"/>
      <c r="D78" s="15" t="s">
        <v>59</v>
      </c>
      <c r="E78" s="16">
        <f>SUM(E79:E86)</f>
        <v>190</v>
      </c>
      <c r="F78" s="16">
        <f>SUM(F79:F86)</f>
        <v>40</v>
      </c>
      <c r="G78" s="16">
        <f t="shared" si="39"/>
        <v>-150</v>
      </c>
      <c r="H78" s="17">
        <f t="shared" si="64"/>
        <v>0.21052631578947367</v>
      </c>
      <c r="I78" s="16">
        <f>SUM(I79:I86)</f>
        <v>211</v>
      </c>
      <c r="J78" s="16">
        <f>SUM(J79:J86)</f>
        <v>105</v>
      </c>
      <c r="K78" s="16">
        <f t="shared" si="40"/>
        <v>-106</v>
      </c>
      <c r="L78" s="17">
        <f t="shared" si="66"/>
        <v>0.49763033175355448</v>
      </c>
      <c r="M78" s="16">
        <f>SUM(M79:M86)</f>
        <v>238</v>
      </c>
      <c r="N78" s="16">
        <f>SUM(N79:N86)</f>
        <v>348</v>
      </c>
      <c r="O78" s="16">
        <f t="shared" si="41"/>
        <v>110</v>
      </c>
      <c r="P78" s="17">
        <f t="shared" si="67"/>
        <v>1.4621848739495797</v>
      </c>
      <c r="Q78" s="16">
        <f>SUM(Q79:Q86)</f>
        <v>505</v>
      </c>
      <c r="R78" s="16">
        <f>SUM(R79:R86)</f>
        <v>40</v>
      </c>
      <c r="S78" s="16">
        <f t="shared" ref="S78:S101" si="95">R78-Q78</f>
        <v>-465</v>
      </c>
      <c r="T78" s="17">
        <f t="shared" si="69"/>
        <v>7.9207920792079209E-2</v>
      </c>
      <c r="U78" s="16">
        <f>SUM(U79:U86)</f>
        <v>581</v>
      </c>
      <c r="V78" s="16">
        <f>SUM(V79:V86)</f>
        <v>55</v>
      </c>
      <c r="W78" s="16">
        <f t="shared" ref="W78:W98" si="96">V78-U78</f>
        <v>-526</v>
      </c>
      <c r="X78" s="17">
        <f t="shared" ref="X78:X106" si="97">IF(U78=0,0,V78/U78)</f>
        <v>9.4664371772805511E-2</v>
      </c>
      <c r="Y78" s="18">
        <f>SUM(Y79:Y86)</f>
        <v>721</v>
      </c>
      <c r="Z78" s="16">
        <f>SUM(Z79:Z86)</f>
        <v>210</v>
      </c>
      <c r="AA78" s="16">
        <f t="shared" ref="AA78:AA98" si="98">Z78-Y78</f>
        <v>-511</v>
      </c>
      <c r="AB78" s="19">
        <f t="shared" ref="AB78:AB98" si="99">IF(Y78=0,0,Z78/Y78)</f>
        <v>0.29126213592233008</v>
      </c>
      <c r="AC78" s="18">
        <f>SUM(AC79:AC86)</f>
        <v>933</v>
      </c>
      <c r="AD78" s="84">
        <f>SUM(AD79:AD86)</f>
        <v>5</v>
      </c>
      <c r="AE78" s="84">
        <f t="shared" ref="AE78:AE98" si="100">AD78-AC78</f>
        <v>-928</v>
      </c>
      <c r="AF78" s="19">
        <f t="shared" ref="AF78:AF98" si="101">IF(AC78=0,0,AD78/AC78)</f>
        <v>5.3590568060021436E-3</v>
      </c>
      <c r="AG78" s="18">
        <f>SUM(AG79:AG86)</f>
        <v>951</v>
      </c>
      <c r="AH78" s="16">
        <f>SUM(AH79:AH86)</f>
        <v>15</v>
      </c>
      <c r="AI78" s="16">
        <f t="shared" ref="AI78:AI98" si="102">AH78-AG78</f>
        <v>-936</v>
      </c>
      <c r="AJ78" s="19">
        <f t="shared" ref="AJ78:AJ98" si="103">IF(AG78=0,0,AH78/AG78)</f>
        <v>1.5772870662460567E-2</v>
      </c>
      <c r="AK78" s="18">
        <f>SUM(AK79:AK86)</f>
        <v>1073</v>
      </c>
      <c r="AL78" s="16">
        <f>SUM(AL79:AL86)</f>
        <v>18</v>
      </c>
      <c r="AM78" s="16">
        <f t="shared" ref="AM78:AM98" si="104">AL78-AK78</f>
        <v>-1055</v>
      </c>
      <c r="AN78" s="19">
        <f t="shared" ref="AN78:AN98" si="105">IF(AK78=0,0,AL78/AK78)</f>
        <v>1.6775396085740912E-2</v>
      </c>
      <c r="AO78" s="18">
        <f>SUM(AO79:AO86)</f>
        <v>1073</v>
      </c>
      <c r="AP78" s="16">
        <f>SUM(AP79:AP86)</f>
        <v>214</v>
      </c>
      <c r="AQ78" s="16">
        <f t="shared" ref="AQ78:AQ98" si="106">AP78-AO78</f>
        <v>-859</v>
      </c>
      <c r="AR78" s="19">
        <f t="shared" ref="AR78:AR98" si="107">IF(AO78=0,0,AP78/AO78)</f>
        <v>0.19944082013047532</v>
      </c>
      <c r="AS78" s="18">
        <f>SUM(AS79:AS86)</f>
        <v>1085</v>
      </c>
      <c r="AT78" s="16">
        <f>SUM(AT79:AT86)</f>
        <v>0</v>
      </c>
      <c r="AU78" s="16">
        <f t="shared" si="82"/>
        <v>-1085</v>
      </c>
      <c r="AV78" s="19">
        <f t="shared" ref="AV78:AV98" si="108">IF(AS78=0,0,AT78/AS78)</f>
        <v>0</v>
      </c>
      <c r="AW78" s="18">
        <f>SUM(AW79:AW86)</f>
        <v>1301</v>
      </c>
      <c r="AX78" s="16">
        <f>SUM(AX79:AX86)</f>
        <v>0</v>
      </c>
      <c r="AY78" s="16">
        <f t="shared" si="84"/>
        <v>-1301</v>
      </c>
      <c r="AZ78" s="19">
        <f t="shared" ref="AZ78:AZ98" si="109">IF(AW78=0,0,AX78/AW78)</f>
        <v>0</v>
      </c>
      <c r="BA78" s="18">
        <f>SUM(BA79:BA86)</f>
        <v>0</v>
      </c>
      <c r="BB78" s="16">
        <f>SUM(BB79:BB86)</f>
        <v>0</v>
      </c>
      <c r="BC78" s="16">
        <f t="shared" si="86"/>
        <v>0</v>
      </c>
      <c r="BD78" s="19">
        <f t="shared" ref="BD78:BD98" si="110">IF(BA78=0,0,BB78/BA78)</f>
        <v>0</v>
      </c>
    </row>
    <row r="79" spans="1:56" x14ac:dyDescent="0.4">
      <c r="A79" s="20">
        <v>5151</v>
      </c>
      <c r="B79" s="2" t="s">
        <v>14</v>
      </c>
      <c r="C79" s="2">
        <v>310</v>
      </c>
      <c r="D79" s="2" t="s">
        <v>1</v>
      </c>
      <c r="E79" s="5">
        <v>0</v>
      </c>
      <c r="F79" s="5">
        <v>0</v>
      </c>
      <c r="G79" s="5">
        <v>0</v>
      </c>
      <c r="H79" s="6">
        <v>0</v>
      </c>
      <c r="I79" s="5">
        <v>0</v>
      </c>
      <c r="J79" s="5">
        <v>0</v>
      </c>
      <c r="K79" s="5">
        <v>0</v>
      </c>
      <c r="L79" s="6">
        <v>0</v>
      </c>
      <c r="M79" s="5">
        <v>0</v>
      </c>
      <c r="N79" s="5">
        <v>0</v>
      </c>
      <c r="O79" s="5">
        <v>0</v>
      </c>
      <c r="P79" s="6">
        <v>0</v>
      </c>
      <c r="Q79" s="5">
        <v>25</v>
      </c>
      <c r="R79" s="5">
        <v>0</v>
      </c>
      <c r="S79" s="5">
        <v>-25</v>
      </c>
      <c r="T79" s="6">
        <v>0</v>
      </c>
      <c r="U79" s="5">
        <v>25</v>
      </c>
      <c r="V79" s="5">
        <v>0</v>
      </c>
      <c r="W79" s="5">
        <v>-25</v>
      </c>
      <c r="X79" s="6">
        <v>0</v>
      </c>
      <c r="Y79" s="21">
        <v>25</v>
      </c>
      <c r="Z79" s="5">
        <v>0</v>
      </c>
      <c r="AA79" s="5">
        <v>-25</v>
      </c>
      <c r="AB79" s="22">
        <v>0</v>
      </c>
      <c r="AC79" s="21">
        <v>25</v>
      </c>
      <c r="AD79" s="85">
        <v>0</v>
      </c>
      <c r="AE79" s="85">
        <v>-25</v>
      </c>
      <c r="AF79" s="22">
        <v>0</v>
      </c>
      <c r="AG79" s="21">
        <v>25</v>
      </c>
      <c r="AH79" s="5">
        <v>0</v>
      </c>
      <c r="AI79" s="5">
        <v>-25</v>
      </c>
      <c r="AJ79" s="22">
        <v>0</v>
      </c>
      <c r="AK79" s="21">
        <v>25</v>
      </c>
      <c r="AL79" s="5">
        <v>0</v>
      </c>
      <c r="AM79" s="5">
        <v>-25</v>
      </c>
      <c r="AN79" s="22">
        <v>0</v>
      </c>
      <c r="AO79" s="21">
        <v>25</v>
      </c>
      <c r="AP79" s="5">
        <v>0</v>
      </c>
      <c r="AQ79" s="5">
        <v>-25</v>
      </c>
      <c r="AR79" s="22">
        <v>0</v>
      </c>
      <c r="AS79" s="21">
        <v>25</v>
      </c>
      <c r="AT79" s="5">
        <v>0</v>
      </c>
      <c r="AU79" s="5">
        <v>-25</v>
      </c>
      <c r="AV79" s="22">
        <v>0</v>
      </c>
      <c r="AW79" s="21">
        <v>25</v>
      </c>
      <c r="AX79" s="5"/>
      <c r="AY79" s="5">
        <f t="shared" si="84"/>
        <v>-25</v>
      </c>
      <c r="AZ79" s="22">
        <f t="shared" si="109"/>
        <v>0</v>
      </c>
      <c r="BA79" s="21"/>
      <c r="BB79" s="5"/>
      <c r="BC79" s="5">
        <f t="shared" si="86"/>
        <v>0</v>
      </c>
      <c r="BD79" s="22">
        <f t="shared" si="110"/>
        <v>0</v>
      </c>
    </row>
    <row r="80" spans="1:56" x14ac:dyDescent="0.4">
      <c r="A80" s="20">
        <v>5151</v>
      </c>
      <c r="B80" s="2" t="s">
        <v>14</v>
      </c>
      <c r="C80" s="2">
        <v>320</v>
      </c>
      <c r="D80" s="2" t="s">
        <v>2</v>
      </c>
      <c r="E80" s="5">
        <v>20</v>
      </c>
      <c r="F80" s="5">
        <v>0</v>
      </c>
      <c r="G80" s="5">
        <v>-20</v>
      </c>
      <c r="H80" s="6">
        <v>0</v>
      </c>
      <c r="I80" s="5">
        <v>20</v>
      </c>
      <c r="J80" s="5">
        <v>0</v>
      </c>
      <c r="K80" s="5">
        <v>-20</v>
      </c>
      <c r="L80" s="6">
        <v>0</v>
      </c>
      <c r="M80" s="5">
        <v>20</v>
      </c>
      <c r="N80" s="5">
        <v>0</v>
      </c>
      <c r="O80" s="5">
        <v>-20</v>
      </c>
      <c r="P80" s="6">
        <v>0</v>
      </c>
      <c r="Q80" s="5">
        <v>50</v>
      </c>
      <c r="R80" s="5">
        <v>40</v>
      </c>
      <c r="S80" s="5">
        <v>-50</v>
      </c>
      <c r="T80" s="6">
        <v>0</v>
      </c>
      <c r="U80" s="5">
        <v>50</v>
      </c>
      <c r="V80" s="5">
        <v>55</v>
      </c>
      <c r="W80" s="5">
        <v>-50</v>
      </c>
      <c r="X80" s="6">
        <v>0</v>
      </c>
      <c r="Y80" s="21">
        <v>50</v>
      </c>
      <c r="Z80" s="5">
        <v>30</v>
      </c>
      <c r="AA80" s="5">
        <v>-50</v>
      </c>
      <c r="AB80" s="22">
        <v>0</v>
      </c>
      <c r="AC80" s="21">
        <v>50</v>
      </c>
      <c r="AD80" s="85">
        <v>5</v>
      </c>
      <c r="AE80" s="85">
        <v>-50</v>
      </c>
      <c r="AF80" s="22">
        <v>0</v>
      </c>
      <c r="AG80" s="21">
        <v>50</v>
      </c>
      <c r="AH80" s="5">
        <v>15</v>
      </c>
      <c r="AI80" s="5">
        <v>-50</v>
      </c>
      <c r="AJ80" s="22">
        <v>0</v>
      </c>
      <c r="AK80" s="21">
        <v>50</v>
      </c>
      <c r="AL80" s="5">
        <v>10</v>
      </c>
      <c r="AM80" s="5">
        <v>-50</v>
      </c>
      <c r="AN80" s="22">
        <v>0</v>
      </c>
      <c r="AO80" s="21">
        <v>50</v>
      </c>
      <c r="AP80" s="5">
        <v>0</v>
      </c>
      <c r="AQ80" s="5">
        <v>-50</v>
      </c>
      <c r="AR80" s="22">
        <v>0</v>
      </c>
      <c r="AS80" s="21">
        <v>50</v>
      </c>
      <c r="AT80" s="5">
        <v>0</v>
      </c>
      <c r="AU80" s="5">
        <v>-50</v>
      </c>
      <c r="AV80" s="22">
        <v>0</v>
      </c>
      <c r="AW80" s="21">
        <v>50</v>
      </c>
      <c r="AX80" s="5"/>
      <c r="AY80" s="5">
        <f t="shared" si="84"/>
        <v>-50</v>
      </c>
      <c r="AZ80" s="22">
        <f t="shared" si="109"/>
        <v>0</v>
      </c>
      <c r="BA80" s="21"/>
      <c r="BB80" s="5"/>
      <c r="BC80" s="5">
        <f t="shared" si="86"/>
        <v>0</v>
      </c>
      <c r="BD80" s="22">
        <f t="shared" si="110"/>
        <v>0</v>
      </c>
    </row>
    <row r="81" spans="1:56" x14ac:dyDescent="0.4">
      <c r="A81" s="20">
        <v>5151</v>
      </c>
      <c r="B81" s="2" t="s">
        <v>59</v>
      </c>
      <c r="C81" s="2">
        <v>330</v>
      </c>
      <c r="D81" s="2" t="s">
        <v>3</v>
      </c>
      <c r="E81" s="5">
        <v>24</v>
      </c>
      <c r="F81" s="5">
        <v>0</v>
      </c>
      <c r="G81" s="5">
        <v>-24</v>
      </c>
      <c r="H81" s="6">
        <v>0</v>
      </c>
      <c r="I81" s="5">
        <v>24</v>
      </c>
      <c r="J81" s="5">
        <v>0</v>
      </c>
      <c r="K81" s="5">
        <v>-24</v>
      </c>
      <c r="L81" s="6">
        <v>0</v>
      </c>
      <c r="M81" s="5">
        <v>30</v>
      </c>
      <c r="N81" s="5">
        <v>0</v>
      </c>
      <c r="O81" s="5">
        <v>-30</v>
      </c>
      <c r="P81" s="6">
        <v>0</v>
      </c>
      <c r="Q81" s="5">
        <v>30</v>
      </c>
      <c r="R81" s="5">
        <v>0</v>
      </c>
      <c r="S81" s="5">
        <v>-30</v>
      </c>
      <c r="T81" s="6">
        <v>0</v>
      </c>
      <c r="U81" s="5">
        <v>36</v>
      </c>
      <c r="V81" s="5">
        <v>0</v>
      </c>
      <c r="W81" s="5">
        <v>-36</v>
      </c>
      <c r="X81" s="6">
        <v>0</v>
      </c>
      <c r="Y81" s="21">
        <v>36</v>
      </c>
      <c r="Z81" s="5">
        <v>0</v>
      </c>
      <c r="AA81" s="5">
        <v>-36</v>
      </c>
      <c r="AB81" s="22">
        <v>0</v>
      </c>
      <c r="AC81" s="21">
        <v>30</v>
      </c>
      <c r="AD81" s="85">
        <v>0</v>
      </c>
      <c r="AE81" s="85">
        <v>-30</v>
      </c>
      <c r="AF81" s="22">
        <v>0</v>
      </c>
      <c r="AG81" s="21">
        <v>36</v>
      </c>
      <c r="AH81" s="5">
        <v>0</v>
      </c>
      <c r="AI81" s="5">
        <v>-36</v>
      </c>
      <c r="AJ81" s="22">
        <v>0</v>
      </c>
      <c r="AK81" s="21">
        <v>42</v>
      </c>
      <c r="AL81" s="5">
        <v>0</v>
      </c>
      <c r="AM81" s="5">
        <v>-42</v>
      </c>
      <c r="AN81" s="22">
        <v>0</v>
      </c>
      <c r="AO81" s="21">
        <v>42</v>
      </c>
      <c r="AP81" s="5">
        <v>0</v>
      </c>
      <c r="AQ81" s="5">
        <v>-42</v>
      </c>
      <c r="AR81" s="22">
        <v>0</v>
      </c>
      <c r="AS81" s="21">
        <v>42</v>
      </c>
      <c r="AT81" s="5">
        <v>0</v>
      </c>
      <c r="AU81" s="5">
        <v>-42</v>
      </c>
      <c r="AV81" s="22">
        <v>0</v>
      </c>
      <c r="AW81" s="21">
        <v>36</v>
      </c>
      <c r="AX81" s="5"/>
      <c r="AY81" s="5">
        <f t="shared" si="84"/>
        <v>-36</v>
      </c>
      <c r="AZ81" s="22">
        <f t="shared" si="109"/>
        <v>0</v>
      </c>
      <c r="BA81" s="21"/>
      <c r="BB81" s="5"/>
      <c r="BC81" s="5">
        <f t="shared" si="86"/>
        <v>0</v>
      </c>
      <c r="BD81" s="22">
        <f t="shared" si="110"/>
        <v>0</v>
      </c>
    </row>
    <row r="82" spans="1:56" x14ac:dyDescent="0.4">
      <c r="A82" s="20">
        <v>5151</v>
      </c>
      <c r="B82" s="2" t="s">
        <v>14</v>
      </c>
      <c r="C82" s="2">
        <v>341</v>
      </c>
      <c r="D82" s="2" t="s">
        <v>42</v>
      </c>
      <c r="E82" s="5">
        <v>0</v>
      </c>
      <c r="F82" s="5">
        <v>0</v>
      </c>
      <c r="G82" s="5">
        <v>0</v>
      </c>
      <c r="H82" s="6">
        <v>0</v>
      </c>
      <c r="I82" s="5">
        <v>21</v>
      </c>
      <c r="J82" s="5">
        <v>0</v>
      </c>
      <c r="K82" s="5">
        <v>-21</v>
      </c>
      <c r="L82" s="6">
        <v>0</v>
      </c>
      <c r="M82" s="5">
        <v>42</v>
      </c>
      <c r="N82" s="5">
        <v>0</v>
      </c>
      <c r="O82" s="5">
        <v>-42</v>
      </c>
      <c r="P82" s="6">
        <v>0</v>
      </c>
      <c r="Q82" s="5">
        <v>70</v>
      </c>
      <c r="R82" s="5">
        <v>0</v>
      </c>
      <c r="S82" s="5">
        <v>-70</v>
      </c>
      <c r="T82" s="6">
        <v>0</v>
      </c>
      <c r="U82" s="5">
        <v>140</v>
      </c>
      <c r="V82" s="5">
        <v>0</v>
      </c>
      <c r="W82" s="5">
        <v>-140</v>
      </c>
      <c r="X82" s="6">
        <v>0</v>
      </c>
      <c r="Y82" s="21">
        <v>280</v>
      </c>
      <c r="Z82" s="5">
        <v>0</v>
      </c>
      <c r="AA82" s="5">
        <v>-280</v>
      </c>
      <c r="AB82" s="22">
        <v>0</v>
      </c>
      <c r="AC82" s="21">
        <v>350</v>
      </c>
      <c r="AD82" s="85">
        <v>0</v>
      </c>
      <c r="AE82" s="85">
        <v>-350</v>
      </c>
      <c r="AF82" s="22">
        <v>0</v>
      </c>
      <c r="AG82" s="21">
        <v>350</v>
      </c>
      <c r="AH82" s="5">
        <v>0</v>
      </c>
      <c r="AI82" s="5">
        <v>-350</v>
      </c>
      <c r="AJ82" s="22">
        <v>0</v>
      </c>
      <c r="AK82" s="21">
        <v>490</v>
      </c>
      <c r="AL82" s="5">
        <v>0</v>
      </c>
      <c r="AM82" s="5">
        <v>-490</v>
      </c>
      <c r="AN82" s="22">
        <v>0</v>
      </c>
      <c r="AO82" s="21">
        <v>490</v>
      </c>
      <c r="AP82" s="5">
        <v>0</v>
      </c>
      <c r="AQ82" s="5">
        <v>-490</v>
      </c>
      <c r="AR82" s="22">
        <v>0</v>
      </c>
      <c r="AS82" s="21">
        <v>490</v>
      </c>
      <c r="AT82" s="5">
        <v>0</v>
      </c>
      <c r="AU82" s="5">
        <v>-490</v>
      </c>
      <c r="AV82" s="22">
        <v>0</v>
      </c>
      <c r="AW82" s="21">
        <v>700</v>
      </c>
      <c r="AX82" s="5"/>
      <c r="AY82" s="5">
        <f t="shared" si="84"/>
        <v>-700</v>
      </c>
      <c r="AZ82" s="22">
        <f t="shared" si="109"/>
        <v>0</v>
      </c>
      <c r="BA82" s="21"/>
      <c r="BB82" s="5"/>
      <c r="BC82" s="5">
        <f t="shared" si="86"/>
        <v>0</v>
      </c>
      <c r="BD82" s="22">
        <f t="shared" si="110"/>
        <v>0</v>
      </c>
    </row>
    <row r="83" spans="1:56" x14ac:dyDescent="0.4">
      <c r="A83" s="20">
        <v>5151</v>
      </c>
      <c r="B83" s="2" t="s">
        <v>14</v>
      </c>
      <c r="C83" s="2">
        <v>342</v>
      </c>
      <c r="D83" s="2" t="s">
        <v>43</v>
      </c>
      <c r="E83" s="5">
        <v>62</v>
      </c>
      <c r="F83" s="5">
        <v>0</v>
      </c>
      <c r="G83" s="5">
        <v>-62</v>
      </c>
      <c r="H83" s="6">
        <v>0</v>
      </c>
      <c r="I83" s="5">
        <v>62</v>
      </c>
      <c r="J83" s="5">
        <v>0</v>
      </c>
      <c r="K83" s="5">
        <v>-62</v>
      </c>
      <c r="L83" s="6">
        <v>0</v>
      </c>
      <c r="M83" s="5">
        <v>62</v>
      </c>
      <c r="N83" s="5">
        <v>0</v>
      </c>
      <c r="O83" s="5">
        <v>-62</v>
      </c>
      <c r="P83" s="6">
        <v>0</v>
      </c>
      <c r="Q83" s="5">
        <v>186</v>
      </c>
      <c r="R83" s="5">
        <v>0</v>
      </c>
      <c r="S83" s="5">
        <v>-186</v>
      </c>
      <c r="T83" s="6">
        <v>0</v>
      </c>
      <c r="U83" s="5">
        <v>186</v>
      </c>
      <c r="V83" s="5">
        <v>0</v>
      </c>
      <c r="W83" s="5">
        <v>-186</v>
      </c>
      <c r="X83" s="6">
        <v>0</v>
      </c>
      <c r="Y83" s="21">
        <v>186</v>
      </c>
      <c r="Z83" s="5">
        <v>0</v>
      </c>
      <c r="AA83" s="5">
        <v>-186</v>
      </c>
      <c r="AB83" s="22">
        <v>0</v>
      </c>
      <c r="AC83" s="21">
        <v>310</v>
      </c>
      <c r="AD83" s="85">
        <v>0</v>
      </c>
      <c r="AE83" s="85">
        <v>-310</v>
      </c>
      <c r="AF83" s="22">
        <v>0</v>
      </c>
      <c r="AG83" s="21">
        <v>310</v>
      </c>
      <c r="AH83" s="5">
        <v>0</v>
      </c>
      <c r="AI83" s="5">
        <v>-310</v>
      </c>
      <c r="AJ83" s="22">
        <v>0</v>
      </c>
      <c r="AK83" s="21">
        <v>310</v>
      </c>
      <c r="AL83" s="5">
        <v>0</v>
      </c>
      <c r="AM83" s="5">
        <v>-310</v>
      </c>
      <c r="AN83" s="22">
        <v>0</v>
      </c>
      <c r="AO83" s="21">
        <v>310</v>
      </c>
      <c r="AP83" s="5">
        <v>0</v>
      </c>
      <c r="AQ83" s="5">
        <v>-310</v>
      </c>
      <c r="AR83" s="22">
        <v>0</v>
      </c>
      <c r="AS83" s="21">
        <v>310</v>
      </c>
      <c r="AT83" s="5">
        <v>0</v>
      </c>
      <c r="AU83" s="5">
        <v>-310</v>
      </c>
      <c r="AV83" s="22">
        <v>0</v>
      </c>
      <c r="AW83" s="21">
        <v>310</v>
      </c>
      <c r="AX83" s="5"/>
      <c r="AY83" s="5">
        <f t="shared" si="84"/>
        <v>-310</v>
      </c>
      <c r="AZ83" s="22">
        <f t="shared" si="109"/>
        <v>0</v>
      </c>
      <c r="BA83" s="21"/>
      <c r="BB83" s="5"/>
      <c r="BC83" s="5">
        <f t="shared" si="86"/>
        <v>0</v>
      </c>
      <c r="BD83" s="22">
        <f t="shared" si="110"/>
        <v>0</v>
      </c>
    </row>
    <row r="84" spans="1:56" x14ac:dyDescent="0.4">
      <c r="A84" s="20">
        <v>5151</v>
      </c>
      <c r="B84" s="2" t="s">
        <v>14</v>
      </c>
      <c r="C84" s="2">
        <v>350</v>
      </c>
      <c r="D84" s="2" t="s">
        <v>4</v>
      </c>
      <c r="E84" s="5">
        <v>84</v>
      </c>
      <c r="F84" s="5">
        <v>0</v>
      </c>
      <c r="G84" s="5">
        <v>-84</v>
      </c>
      <c r="H84" s="6">
        <v>0</v>
      </c>
      <c r="I84" s="5">
        <v>84</v>
      </c>
      <c r="J84" s="5">
        <v>85</v>
      </c>
      <c r="K84" s="5">
        <v>1</v>
      </c>
      <c r="L84" s="6">
        <v>101.19</v>
      </c>
      <c r="M84" s="5">
        <v>84</v>
      </c>
      <c r="N84" s="5">
        <v>331</v>
      </c>
      <c r="O84" s="5">
        <v>-84</v>
      </c>
      <c r="P84" s="6">
        <v>0</v>
      </c>
      <c r="Q84" s="5">
        <v>144</v>
      </c>
      <c r="R84" s="5">
        <v>0</v>
      </c>
      <c r="S84" s="5">
        <v>-144</v>
      </c>
      <c r="T84" s="6">
        <v>0</v>
      </c>
      <c r="U84" s="5">
        <v>144</v>
      </c>
      <c r="V84" s="5">
        <v>0</v>
      </c>
      <c r="W84" s="5">
        <v>-144</v>
      </c>
      <c r="X84" s="6">
        <v>0</v>
      </c>
      <c r="Y84" s="21">
        <v>144</v>
      </c>
      <c r="Z84" s="5">
        <v>180</v>
      </c>
      <c r="AA84" s="5">
        <v>-144</v>
      </c>
      <c r="AB84" s="22">
        <v>0</v>
      </c>
      <c r="AC84" s="21">
        <v>168</v>
      </c>
      <c r="AD84" s="85">
        <v>0</v>
      </c>
      <c r="AE84" s="85">
        <v>-168</v>
      </c>
      <c r="AF84" s="22">
        <v>0</v>
      </c>
      <c r="AG84" s="21">
        <v>180</v>
      </c>
      <c r="AH84" s="5">
        <v>0</v>
      </c>
      <c r="AI84" s="5">
        <v>-180</v>
      </c>
      <c r="AJ84" s="22">
        <v>0</v>
      </c>
      <c r="AK84" s="21">
        <v>156</v>
      </c>
      <c r="AL84" s="5">
        <v>8</v>
      </c>
      <c r="AM84" s="5">
        <v>-156</v>
      </c>
      <c r="AN84" s="22">
        <v>0</v>
      </c>
      <c r="AO84" s="21">
        <v>156</v>
      </c>
      <c r="AP84" s="5">
        <v>180</v>
      </c>
      <c r="AQ84" s="5">
        <v>-156</v>
      </c>
      <c r="AR84" s="22">
        <v>0</v>
      </c>
      <c r="AS84" s="21">
        <v>168</v>
      </c>
      <c r="AT84" s="5">
        <v>0</v>
      </c>
      <c r="AU84" s="5">
        <v>-168</v>
      </c>
      <c r="AV84" s="22">
        <v>0</v>
      </c>
      <c r="AW84" s="21">
        <v>180</v>
      </c>
      <c r="AX84" s="5"/>
      <c r="AY84" s="5">
        <f t="shared" si="84"/>
        <v>-180</v>
      </c>
      <c r="AZ84" s="22">
        <f t="shared" si="109"/>
        <v>0</v>
      </c>
      <c r="BA84" s="21"/>
      <c r="BB84" s="5"/>
      <c r="BC84" s="5">
        <f t="shared" si="86"/>
        <v>0</v>
      </c>
      <c r="BD84" s="22">
        <f t="shared" si="110"/>
        <v>0</v>
      </c>
    </row>
    <row r="85" spans="1:56" x14ac:dyDescent="0.4">
      <c r="A85" s="20">
        <v>5151</v>
      </c>
      <c r="B85" s="2" t="s">
        <v>14</v>
      </c>
      <c r="C85" s="2">
        <v>390</v>
      </c>
      <c r="D85" s="2" t="s">
        <v>117</v>
      </c>
      <c r="E85" s="5">
        <v>0</v>
      </c>
      <c r="F85" s="5">
        <v>17</v>
      </c>
      <c r="G85" s="5">
        <v>17</v>
      </c>
      <c r="H85" s="6">
        <v>0</v>
      </c>
      <c r="I85" s="5">
        <v>0</v>
      </c>
      <c r="J85" s="5">
        <v>0</v>
      </c>
      <c r="K85" s="5">
        <v>0</v>
      </c>
      <c r="L85" s="6">
        <v>0</v>
      </c>
      <c r="M85" s="5">
        <v>0</v>
      </c>
      <c r="N85" s="5">
        <v>17</v>
      </c>
      <c r="O85" s="5">
        <v>0</v>
      </c>
      <c r="P85" s="6">
        <v>0</v>
      </c>
      <c r="Q85" s="5">
        <v>0</v>
      </c>
      <c r="R85" s="5">
        <v>0</v>
      </c>
      <c r="S85" s="5">
        <v>0</v>
      </c>
      <c r="T85" s="6">
        <v>0</v>
      </c>
      <c r="U85" s="5">
        <v>0</v>
      </c>
      <c r="V85" s="5">
        <v>0</v>
      </c>
      <c r="W85" s="5">
        <v>0</v>
      </c>
      <c r="X85" s="6">
        <v>0</v>
      </c>
      <c r="Y85" s="21">
        <v>0</v>
      </c>
      <c r="Z85" s="5">
        <v>0</v>
      </c>
      <c r="AA85" s="5">
        <v>0</v>
      </c>
      <c r="AB85" s="22">
        <v>0</v>
      </c>
      <c r="AC85" s="21">
        <v>0</v>
      </c>
      <c r="AD85" s="85">
        <v>0</v>
      </c>
      <c r="AE85" s="85">
        <v>0</v>
      </c>
      <c r="AF85" s="22">
        <v>0</v>
      </c>
      <c r="AG85" s="21">
        <v>0</v>
      </c>
      <c r="AH85" s="5">
        <v>0</v>
      </c>
      <c r="AI85" s="5">
        <v>0</v>
      </c>
      <c r="AJ85" s="22">
        <v>0</v>
      </c>
      <c r="AK85" s="21">
        <v>0</v>
      </c>
      <c r="AL85" s="5">
        <v>0</v>
      </c>
      <c r="AM85" s="5">
        <v>0</v>
      </c>
      <c r="AN85" s="22">
        <v>0</v>
      </c>
      <c r="AO85" s="21">
        <v>0</v>
      </c>
      <c r="AP85" s="5">
        <v>34</v>
      </c>
      <c r="AQ85" s="5">
        <v>0</v>
      </c>
      <c r="AR85" s="22">
        <v>0</v>
      </c>
      <c r="AS85" s="21">
        <v>0</v>
      </c>
      <c r="AT85" s="5">
        <v>0</v>
      </c>
      <c r="AU85" s="5">
        <v>0</v>
      </c>
      <c r="AV85" s="22">
        <v>0</v>
      </c>
      <c r="AW85" s="21">
        <v>0</v>
      </c>
      <c r="AX85" s="5"/>
      <c r="AY85" s="5">
        <f t="shared" si="84"/>
        <v>0</v>
      </c>
      <c r="AZ85" s="22">
        <f t="shared" si="109"/>
        <v>0</v>
      </c>
      <c r="BA85" s="21"/>
      <c r="BB85" s="5"/>
      <c r="BC85" s="5">
        <f t="shared" si="86"/>
        <v>0</v>
      </c>
      <c r="BD85" s="22">
        <f t="shared" si="110"/>
        <v>0</v>
      </c>
    </row>
    <row r="86" spans="1:56" x14ac:dyDescent="0.4">
      <c r="A86" s="23">
        <v>5151</v>
      </c>
      <c r="B86" s="24" t="s">
        <v>14</v>
      </c>
      <c r="C86" s="24">
        <v>910</v>
      </c>
      <c r="D86" s="24" t="s">
        <v>47</v>
      </c>
      <c r="E86" s="25">
        <v>0</v>
      </c>
      <c r="F86" s="25">
        <v>23</v>
      </c>
      <c r="G86" s="25">
        <v>23</v>
      </c>
      <c r="H86" s="26">
        <v>0</v>
      </c>
      <c r="I86" s="25">
        <v>0</v>
      </c>
      <c r="J86" s="25">
        <v>20</v>
      </c>
      <c r="K86" s="25">
        <v>20</v>
      </c>
      <c r="L86" s="26">
        <v>0</v>
      </c>
      <c r="M86" s="25">
        <v>0</v>
      </c>
      <c r="N86" s="25">
        <v>0</v>
      </c>
      <c r="O86" s="25">
        <v>0</v>
      </c>
      <c r="P86" s="26">
        <v>0</v>
      </c>
      <c r="Q86" s="25">
        <v>0</v>
      </c>
      <c r="R86" s="25">
        <v>0</v>
      </c>
      <c r="S86" s="25">
        <v>0</v>
      </c>
      <c r="T86" s="26">
        <v>0</v>
      </c>
      <c r="U86" s="25">
        <v>0</v>
      </c>
      <c r="V86" s="25">
        <v>0</v>
      </c>
      <c r="W86" s="25">
        <v>0</v>
      </c>
      <c r="X86" s="26">
        <v>0</v>
      </c>
      <c r="Y86" s="27">
        <v>0</v>
      </c>
      <c r="Z86" s="25">
        <v>0</v>
      </c>
      <c r="AA86" s="25">
        <v>0</v>
      </c>
      <c r="AB86" s="28">
        <v>0</v>
      </c>
      <c r="AC86" s="27">
        <v>0</v>
      </c>
      <c r="AD86" s="86">
        <v>0</v>
      </c>
      <c r="AE86" s="86">
        <v>0</v>
      </c>
      <c r="AF86" s="28">
        <v>0</v>
      </c>
      <c r="AG86" s="27">
        <v>0</v>
      </c>
      <c r="AH86" s="25">
        <v>0</v>
      </c>
      <c r="AI86" s="25">
        <v>0</v>
      </c>
      <c r="AJ86" s="28">
        <v>0</v>
      </c>
      <c r="AK86" s="27">
        <v>0</v>
      </c>
      <c r="AL86" s="25">
        <v>0</v>
      </c>
      <c r="AM86" s="25">
        <v>0</v>
      </c>
      <c r="AN86" s="28">
        <v>0</v>
      </c>
      <c r="AO86" s="27">
        <v>0</v>
      </c>
      <c r="AP86" s="25">
        <v>0</v>
      </c>
      <c r="AQ86" s="25">
        <v>0</v>
      </c>
      <c r="AR86" s="28">
        <v>0</v>
      </c>
      <c r="AS86" s="27">
        <v>0</v>
      </c>
      <c r="AT86" s="25">
        <v>0</v>
      </c>
      <c r="AU86" s="25">
        <v>0</v>
      </c>
      <c r="AV86" s="28">
        <v>0</v>
      </c>
      <c r="AW86" s="27">
        <v>0</v>
      </c>
      <c r="AX86" s="25"/>
      <c r="AY86" s="25">
        <f t="shared" si="84"/>
        <v>0</v>
      </c>
      <c r="AZ86" s="28">
        <f t="shared" si="109"/>
        <v>0</v>
      </c>
      <c r="BA86" s="27"/>
      <c r="BB86" s="25"/>
      <c r="BC86" s="25">
        <f t="shared" si="86"/>
        <v>0</v>
      </c>
      <c r="BD86" s="28">
        <f t="shared" si="110"/>
        <v>0</v>
      </c>
    </row>
    <row r="87" spans="1:56" x14ac:dyDescent="0.4">
      <c r="A87" s="54">
        <v>5152</v>
      </c>
      <c r="B87" s="55" t="s">
        <v>60</v>
      </c>
      <c r="C87" s="15"/>
      <c r="D87" s="15" t="s">
        <v>12</v>
      </c>
      <c r="E87" s="16">
        <f>SUM(E88:E95)</f>
        <v>57</v>
      </c>
      <c r="F87" s="16">
        <f>SUM(F88:F95)</f>
        <v>25</v>
      </c>
      <c r="G87" s="16">
        <f t="shared" ref="G87" si="111">F87-E87</f>
        <v>-32</v>
      </c>
      <c r="H87" s="17">
        <f t="shared" si="64"/>
        <v>0.43859649122807015</v>
      </c>
      <c r="I87" s="16">
        <f>SUM(I88:I95)</f>
        <v>60</v>
      </c>
      <c r="J87" s="16">
        <f>SUM(J88:J95)</f>
        <v>53</v>
      </c>
      <c r="K87" s="16">
        <f t="shared" ref="K87" si="112">J87-I87</f>
        <v>-7</v>
      </c>
      <c r="L87" s="17">
        <f t="shared" si="66"/>
        <v>0.8833333333333333</v>
      </c>
      <c r="M87" s="16">
        <f>SUM(M88:M95)</f>
        <v>64</v>
      </c>
      <c r="N87" s="16">
        <f>SUM(N88:N95)</f>
        <v>18</v>
      </c>
      <c r="O87" s="16">
        <f t="shared" ref="O87" si="113">N87-M87</f>
        <v>-46</v>
      </c>
      <c r="P87" s="17">
        <f t="shared" si="67"/>
        <v>0.28125</v>
      </c>
      <c r="Q87" s="16">
        <f>SUM(Q88:Q95)</f>
        <v>136</v>
      </c>
      <c r="R87" s="16">
        <f>SUM(R88:R95)</f>
        <v>3</v>
      </c>
      <c r="S87" s="16">
        <f t="shared" ref="S87" si="114">R87-Q87</f>
        <v>-133</v>
      </c>
      <c r="T87" s="17">
        <f t="shared" si="69"/>
        <v>2.2058823529411766E-2</v>
      </c>
      <c r="U87" s="16">
        <f>SUM(U88:U95)</f>
        <v>151</v>
      </c>
      <c r="V87" s="16">
        <f>SUM(V88:V95)</f>
        <v>15</v>
      </c>
      <c r="W87" s="16">
        <f t="shared" si="96"/>
        <v>-136</v>
      </c>
      <c r="X87" s="17">
        <f t="shared" si="97"/>
        <v>9.9337748344370855E-2</v>
      </c>
      <c r="Y87" s="18">
        <f>SUM(Y88:Y95)</f>
        <v>179</v>
      </c>
      <c r="Z87" s="16">
        <f>SUM(Z88:Z95)</f>
        <v>0</v>
      </c>
      <c r="AA87" s="16">
        <f t="shared" si="98"/>
        <v>-179</v>
      </c>
      <c r="AB87" s="19">
        <f t="shared" si="99"/>
        <v>0</v>
      </c>
      <c r="AC87" s="18">
        <f>SUM(AC88:AC95)</f>
        <v>239</v>
      </c>
      <c r="AD87" s="84">
        <f>SUM(AD88:AD95)</f>
        <v>0</v>
      </c>
      <c r="AE87" s="84">
        <f t="shared" si="100"/>
        <v>-239</v>
      </c>
      <c r="AF87" s="19">
        <f t="shared" si="101"/>
        <v>0</v>
      </c>
      <c r="AG87" s="18">
        <f>SUM(AG88:AG95)</f>
        <v>243</v>
      </c>
      <c r="AH87" s="16">
        <f>SUM(AH88:AH95)</f>
        <v>22</v>
      </c>
      <c r="AI87" s="16">
        <f t="shared" si="102"/>
        <v>-221</v>
      </c>
      <c r="AJ87" s="19">
        <f t="shared" si="103"/>
        <v>9.0534979423868317E-2</v>
      </c>
      <c r="AK87" s="18">
        <f>SUM(AK88:AK95)</f>
        <v>239</v>
      </c>
      <c r="AL87" s="16">
        <f>SUM(AL88:AL95)</f>
        <v>0</v>
      </c>
      <c r="AM87" s="16">
        <f t="shared" si="104"/>
        <v>-239</v>
      </c>
      <c r="AN87" s="19">
        <f t="shared" si="105"/>
        <v>0</v>
      </c>
      <c r="AO87" s="18">
        <f>SUM(AO88:AO95)</f>
        <v>239</v>
      </c>
      <c r="AP87" s="16">
        <f>SUM(AP88:AP95)</f>
        <v>11</v>
      </c>
      <c r="AQ87" s="16">
        <f t="shared" si="106"/>
        <v>-228</v>
      </c>
      <c r="AR87" s="19">
        <f t="shared" si="107"/>
        <v>4.6025104602510462E-2</v>
      </c>
      <c r="AS87" s="18">
        <f>SUM(AS88:AS95)</f>
        <v>242</v>
      </c>
      <c r="AT87" s="16">
        <f>SUM(AT88:AT95)</f>
        <v>0</v>
      </c>
      <c r="AU87" s="16">
        <f t="shared" si="82"/>
        <v>-242</v>
      </c>
      <c r="AV87" s="19">
        <f t="shared" si="108"/>
        <v>0</v>
      </c>
      <c r="AW87" s="18">
        <f>SUM(AW88:AW95)</f>
        <v>243</v>
      </c>
      <c r="AX87" s="16">
        <f>SUM(AX88:AX95)</f>
        <v>0</v>
      </c>
      <c r="AY87" s="16">
        <f t="shared" si="84"/>
        <v>-243</v>
      </c>
      <c r="AZ87" s="19">
        <f t="shared" si="109"/>
        <v>0</v>
      </c>
      <c r="BA87" s="18">
        <f>SUM(BA88:BA95)</f>
        <v>0</v>
      </c>
      <c r="BB87" s="16">
        <f>SUM(BB88:BB95)</f>
        <v>0</v>
      </c>
      <c r="BC87" s="16">
        <f t="shared" si="86"/>
        <v>0</v>
      </c>
      <c r="BD87" s="19">
        <f t="shared" si="110"/>
        <v>0</v>
      </c>
    </row>
    <row r="88" spans="1:56" x14ac:dyDescent="0.4">
      <c r="A88" s="20">
        <v>5152</v>
      </c>
      <c r="B88" s="2" t="s">
        <v>12</v>
      </c>
      <c r="C88" s="2">
        <v>310</v>
      </c>
      <c r="D88" s="2" t="s">
        <v>1</v>
      </c>
      <c r="E88" s="5">
        <v>0</v>
      </c>
      <c r="F88" s="5">
        <v>0</v>
      </c>
      <c r="G88" s="5">
        <v>0</v>
      </c>
      <c r="H88" s="6">
        <v>0</v>
      </c>
      <c r="I88" s="5">
        <v>0</v>
      </c>
      <c r="J88" s="5">
        <v>0</v>
      </c>
      <c r="K88" s="5">
        <v>0</v>
      </c>
      <c r="L88" s="6">
        <v>0</v>
      </c>
      <c r="M88" s="5">
        <v>0</v>
      </c>
      <c r="N88" s="5">
        <v>0</v>
      </c>
      <c r="O88" s="5">
        <v>0</v>
      </c>
      <c r="P88" s="6">
        <v>0</v>
      </c>
      <c r="Q88" s="5">
        <v>3</v>
      </c>
      <c r="R88" s="5">
        <v>0</v>
      </c>
      <c r="S88" s="5">
        <v>-3</v>
      </c>
      <c r="T88" s="6">
        <v>0</v>
      </c>
      <c r="U88" s="5">
        <v>3</v>
      </c>
      <c r="V88" s="5">
        <v>0</v>
      </c>
      <c r="W88" s="5">
        <v>-3</v>
      </c>
      <c r="X88" s="6">
        <v>0</v>
      </c>
      <c r="Y88" s="21">
        <v>3</v>
      </c>
      <c r="Z88" s="5">
        <v>0</v>
      </c>
      <c r="AA88" s="5">
        <v>-3</v>
      </c>
      <c r="AB88" s="22">
        <v>0</v>
      </c>
      <c r="AC88" s="21">
        <v>3</v>
      </c>
      <c r="AD88" s="85">
        <v>0</v>
      </c>
      <c r="AE88" s="85">
        <v>-3</v>
      </c>
      <c r="AF88" s="22">
        <v>0</v>
      </c>
      <c r="AG88" s="21">
        <v>3</v>
      </c>
      <c r="AH88" s="5">
        <v>0</v>
      </c>
      <c r="AI88" s="5">
        <v>-3</v>
      </c>
      <c r="AJ88" s="22">
        <v>0</v>
      </c>
      <c r="AK88" s="21">
        <v>3</v>
      </c>
      <c r="AL88" s="5">
        <v>0</v>
      </c>
      <c r="AM88" s="5">
        <v>-3</v>
      </c>
      <c r="AN88" s="22">
        <v>0</v>
      </c>
      <c r="AO88" s="21">
        <v>3</v>
      </c>
      <c r="AP88" s="5">
        <v>0</v>
      </c>
      <c r="AQ88" s="5">
        <v>-3</v>
      </c>
      <c r="AR88" s="22">
        <v>0</v>
      </c>
      <c r="AS88" s="21">
        <v>3</v>
      </c>
      <c r="AT88" s="5">
        <v>0</v>
      </c>
      <c r="AU88" s="5">
        <v>-3</v>
      </c>
      <c r="AV88" s="22">
        <v>0</v>
      </c>
      <c r="AW88" s="21">
        <v>3</v>
      </c>
      <c r="AX88" s="5"/>
      <c r="AY88" s="5">
        <f t="shared" si="84"/>
        <v>-3</v>
      </c>
      <c r="AZ88" s="22">
        <f t="shared" si="109"/>
        <v>0</v>
      </c>
      <c r="BA88" s="21"/>
      <c r="BB88" s="5"/>
      <c r="BC88" s="5">
        <f t="shared" si="86"/>
        <v>0</v>
      </c>
      <c r="BD88" s="22">
        <f t="shared" si="110"/>
        <v>0</v>
      </c>
    </row>
    <row r="89" spans="1:56" x14ac:dyDescent="0.4">
      <c r="A89" s="20">
        <v>5152</v>
      </c>
      <c r="B89" s="2" t="s">
        <v>12</v>
      </c>
      <c r="C89" s="2">
        <v>320</v>
      </c>
      <c r="D89" s="2" t="s">
        <v>2</v>
      </c>
      <c r="E89" s="5">
        <v>3</v>
      </c>
      <c r="F89" s="5">
        <v>0</v>
      </c>
      <c r="G89" s="5">
        <v>-3</v>
      </c>
      <c r="H89" s="6">
        <v>0</v>
      </c>
      <c r="I89" s="5">
        <v>3</v>
      </c>
      <c r="J89" s="5">
        <v>0</v>
      </c>
      <c r="K89" s="5">
        <v>-3</v>
      </c>
      <c r="L89" s="6">
        <v>0</v>
      </c>
      <c r="M89" s="5">
        <v>3</v>
      </c>
      <c r="N89" s="5">
        <v>0</v>
      </c>
      <c r="O89" s="5">
        <v>-3</v>
      </c>
      <c r="P89" s="6">
        <v>0</v>
      </c>
      <c r="Q89" s="5">
        <v>8</v>
      </c>
      <c r="R89" s="5">
        <v>0</v>
      </c>
      <c r="S89" s="5">
        <v>-8</v>
      </c>
      <c r="T89" s="6">
        <v>0</v>
      </c>
      <c r="U89" s="5">
        <v>8</v>
      </c>
      <c r="V89" s="5">
        <v>0</v>
      </c>
      <c r="W89" s="5">
        <v>-8</v>
      </c>
      <c r="X89" s="6">
        <v>0</v>
      </c>
      <c r="Y89" s="21">
        <v>8</v>
      </c>
      <c r="Z89" s="5">
        <v>0</v>
      </c>
      <c r="AA89" s="5">
        <v>-8</v>
      </c>
      <c r="AB89" s="22">
        <v>0</v>
      </c>
      <c r="AC89" s="21">
        <v>8</v>
      </c>
      <c r="AD89" s="85">
        <v>0</v>
      </c>
      <c r="AE89" s="85">
        <v>-8</v>
      </c>
      <c r="AF89" s="22">
        <v>0</v>
      </c>
      <c r="AG89" s="21">
        <v>8</v>
      </c>
      <c r="AH89" s="5">
        <v>0</v>
      </c>
      <c r="AI89" s="5">
        <v>-8</v>
      </c>
      <c r="AJ89" s="22">
        <v>0</v>
      </c>
      <c r="AK89" s="21">
        <v>8</v>
      </c>
      <c r="AL89" s="5">
        <v>0</v>
      </c>
      <c r="AM89" s="5">
        <v>-8</v>
      </c>
      <c r="AN89" s="22">
        <v>0</v>
      </c>
      <c r="AO89" s="21">
        <v>8</v>
      </c>
      <c r="AP89" s="5">
        <v>0</v>
      </c>
      <c r="AQ89" s="5">
        <v>-8</v>
      </c>
      <c r="AR89" s="22">
        <v>0</v>
      </c>
      <c r="AS89" s="21">
        <v>8</v>
      </c>
      <c r="AT89" s="5">
        <v>0</v>
      </c>
      <c r="AU89" s="5">
        <v>-8</v>
      </c>
      <c r="AV89" s="22">
        <v>0</v>
      </c>
      <c r="AW89" s="21">
        <v>8</v>
      </c>
      <c r="AX89" s="5"/>
      <c r="AY89" s="5">
        <f t="shared" si="84"/>
        <v>-8</v>
      </c>
      <c r="AZ89" s="22">
        <f t="shared" si="109"/>
        <v>0</v>
      </c>
      <c r="BA89" s="21"/>
      <c r="BB89" s="5"/>
      <c r="BC89" s="5">
        <f t="shared" si="86"/>
        <v>0</v>
      </c>
      <c r="BD89" s="22">
        <f t="shared" si="110"/>
        <v>0</v>
      </c>
    </row>
    <row r="90" spans="1:56" x14ac:dyDescent="0.4">
      <c r="A90" s="20">
        <v>5152</v>
      </c>
      <c r="B90" s="2" t="s">
        <v>12</v>
      </c>
      <c r="C90" s="2">
        <v>330</v>
      </c>
      <c r="D90" s="2" t="s">
        <v>3</v>
      </c>
      <c r="E90" s="5">
        <v>6</v>
      </c>
      <c r="F90" s="5">
        <v>0</v>
      </c>
      <c r="G90" s="5">
        <v>-6</v>
      </c>
      <c r="H90" s="6">
        <v>0</v>
      </c>
      <c r="I90" s="5">
        <v>6</v>
      </c>
      <c r="J90" s="5">
        <v>0</v>
      </c>
      <c r="K90" s="5">
        <v>-6</v>
      </c>
      <c r="L90" s="6">
        <v>0</v>
      </c>
      <c r="M90" s="5">
        <v>7</v>
      </c>
      <c r="N90" s="5">
        <v>0</v>
      </c>
      <c r="O90" s="5">
        <v>-7</v>
      </c>
      <c r="P90" s="6">
        <v>0</v>
      </c>
      <c r="Q90" s="5">
        <v>7</v>
      </c>
      <c r="R90" s="5">
        <v>3</v>
      </c>
      <c r="S90" s="5">
        <v>-7</v>
      </c>
      <c r="T90" s="6">
        <v>0</v>
      </c>
      <c r="U90" s="5">
        <v>8</v>
      </c>
      <c r="V90" s="5">
        <v>0</v>
      </c>
      <c r="W90" s="5">
        <v>-8</v>
      </c>
      <c r="X90" s="6">
        <v>0</v>
      </c>
      <c r="Y90" s="21">
        <v>8</v>
      </c>
      <c r="Z90" s="5">
        <v>0</v>
      </c>
      <c r="AA90" s="5">
        <v>-8</v>
      </c>
      <c r="AB90" s="22">
        <v>0</v>
      </c>
      <c r="AC90" s="21">
        <v>7</v>
      </c>
      <c r="AD90" s="85">
        <v>0</v>
      </c>
      <c r="AE90" s="85">
        <v>-7</v>
      </c>
      <c r="AF90" s="22">
        <v>0</v>
      </c>
      <c r="AG90" s="21">
        <v>8</v>
      </c>
      <c r="AH90" s="5">
        <v>0</v>
      </c>
      <c r="AI90" s="5">
        <v>-8</v>
      </c>
      <c r="AJ90" s="22">
        <v>0</v>
      </c>
      <c r="AK90" s="21">
        <v>10</v>
      </c>
      <c r="AL90" s="5">
        <v>0</v>
      </c>
      <c r="AM90" s="5">
        <v>-10</v>
      </c>
      <c r="AN90" s="22">
        <v>0</v>
      </c>
      <c r="AO90" s="21">
        <v>10</v>
      </c>
      <c r="AP90" s="5">
        <v>0</v>
      </c>
      <c r="AQ90" s="5">
        <v>-10</v>
      </c>
      <c r="AR90" s="22">
        <v>0</v>
      </c>
      <c r="AS90" s="21">
        <v>10</v>
      </c>
      <c r="AT90" s="5">
        <v>0</v>
      </c>
      <c r="AU90" s="5">
        <v>-10</v>
      </c>
      <c r="AV90" s="22">
        <v>0</v>
      </c>
      <c r="AW90" s="21">
        <v>8</v>
      </c>
      <c r="AX90" s="5"/>
      <c r="AY90" s="5">
        <f t="shared" si="84"/>
        <v>-8</v>
      </c>
      <c r="AZ90" s="22">
        <f t="shared" si="109"/>
        <v>0</v>
      </c>
      <c r="BA90" s="21"/>
      <c r="BB90" s="5"/>
      <c r="BC90" s="5">
        <f t="shared" si="86"/>
        <v>0</v>
      </c>
      <c r="BD90" s="22">
        <f t="shared" si="110"/>
        <v>0</v>
      </c>
    </row>
    <row r="91" spans="1:56" x14ac:dyDescent="0.4">
      <c r="A91" s="20">
        <v>5152</v>
      </c>
      <c r="B91" s="2" t="s">
        <v>12</v>
      </c>
      <c r="C91" s="2">
        <v>341</v>
      </c>
      <c r="D91" s="2" t="s">
        <v>42</v>
      </c>
      <c r="E91" s="5">
        <v>0</v>
      </c>
      <c r="F91" s="5">
        <v>0</v>
      </c>
      <c r="G91" s="5">
        <v>0</v>
      </c>
      <c r="H91" s="6">
        <v>0</v>
      </c>
      <c r="I91" s="5">
        <v>3</v>
      </c>
      <c r="J91" s="5">
        <v>0</v>
      </c>
      <c r="K91" s="5">
        <v>-3</v>
      </c>
      <c r="L91" s="6">
        <v>0</v>
      </c>
      <c r="M91" s="5">
        <v>6</v>
      </c>
      <c r="N91" s="5">
        <v>0</v>
      </c>
      <c r="O91" s="5">
        <v>-6</v>
      </c>
      <c r="P91" s="6">
        <v>0</v>
      </c>
      <c r="Q91" s="5">
        <v>14</v>
      </c>
      <c r="R91" s="5">
        <v>0</v>
      </c>
      <c r="S91" s="5">
        <v>-14</v>
      </c>
      <c r="T91" s="6">
        <v>0</v>
      </c>
      <c r="U91" s="5">
        <v>28</v>
      </c>
      <c r="V91" s="5">
        <v>0</v>
      </c>
      <c r="W91" s="5">
        <v>-28</v>
      </c>
      <c r="X91" s="6">
        <v>0</v>
      </c>
      <c r="Y91" s="21">
        <v>56</v>
      </c>
      <c r="Z91" s="5">
        <v>0</v>
      </c>
      <c r="AA91" s="5">
        <v>-56</v>
      </c>
      <c r="AB91" s="22">
        <v>0</v>
      </c>
      <c r="AC91" s="21">
        <v>56</v>
      </c>
      <c r="AD91" s="85">
        <v>0</v>
      </c>
      <c r="AE91" s="85">
        <v>-56</v>
      </c>
      <c r="AF91" s="22">
        <v>0</v>
      </c>
      <c r="AG91" s="21">
        <v>56</v>
      </c>
      <c r="AH91" s="5">
        <v>0</v>
      </c>
      <c r="AI91" s="5">
        <v>-56</v>
      </c>
      <c r="AJ91" s="22">
        <v>0</v>
      </c>
      <c r="AK91" s="21">
        <v>56</v>
      </c>
      <c r="AL91" s="5">
        <v>0</v>
      </c>
      <c r="AM91" s="5">
        <v>-56</v>
      </c>
      <c r="AN91" s="22">
        <v>0</v>
      </c>
      <c r="AO91" s="21">
        <v>56</v>
      </c>
      <c r="AP91" s="5">
        <v>0</v>
      </c>
      <c r="AQ91" s="5">
        <v>-56</v>
      </c>
      <c r="AR91" s="22">
        <v>0</v>
      </c>
      <c r="AS91" s="21">
        <v>56</v>
      </c>
      <c r="AT91" s="5">
        <v>0</v>
      </c>
      <c r="AU91" s="5">
        <v>-56</v>
      </c>
      <c r="AV91" s="22">
        <v>0</v>
      </c>
      <c r="AW91" s="21">
        <v>56</v>
      </c>
      <c r="AX91" s="5"/>
      <c r="AY91" s="5">
        <f t="shared" si="84"/>
        <v>-56</v>
      </c>
      <c r="AZ91" s="22">
        <f t="shared" si="109"/>
        <v>0</v>
      </c>
      <c r="BA91" s="21"/>
      <c r="BB91" s="5"/>
      <c r="BC91" s="5">
        <f t="shared" si="86"/>
        <v>0</v>
      </c>
      <c r="BD91" s="22">
        <f t="shared" si="110"/>
        <v>0</v>
      </c>
    </row>
    <row r="92" spans="1:56" x14ac:dyDescent="0.4">
      <c r="A92" s="20">
        <v>5152</v>
      </c>
      <c r="B92" s="2" t="s">
        <v>12</v>
      </c>
      <c r="C92" s="2">
        <v>342</v>
      </c>
      <c r="D92" s="2" t="s">
        <v>43</v>
      </c>
      <c r="E92" s="5">
        <v>28</v>
      </c>
      <c r="F92" s="5">
        <v>0</v>
      </c>
      <c r="G92" s="5">
        <v>-28</v>
      </c>
      <c r="H92" s="6">
        <v>0</v>
      </c>
      <c r="I92" s="5">
        <v>28</v>
      </c>
      <c r="J92" s="5">
        <v>0</v>
      </c>
      <c r="K92" s="5">
        <v>-28</v>
      </c>
      <c r="L92" s="6">
        <v>0</v>
      </c>
      <c r="M92" s="5">
        <v>28</v>
      </c>
      <c r="N92" s="5">
        <v>0</v>
      </c>
      <c r="O92" s="5">
        <v>-28</v>
      </c>
      <c r="P92" s="6">
        <v>0</v>
      </c>
      <c r="Q92" s="5">
        <v>84</v>
      </c>
      <c r="R92" s="5">
        <v>0</v>
      </c>
      <c r="S92" s="5">
        <v>-84</v>
      </c>
      <c r="T92" s="6">
        <v>0</v>
      </c>
      <c r="U92" s="5">
        <v>84</v>
      </c>
      <c r="V92" s="5">
        <v>0</v>
      </c>
      <c r="W92" s="5">
        <v>-84</v>
      </c>
      <c r="X92" s="6">
        <v>0</v>
      </c>
      <c r="Y92" s="21">
        <v>84</v>
      </c>
      <c r="Z92" s="5">
        <v>0</v>
      </c>
      <c r="AA92" s="5">
        <v>-84</v>
      </c>
      <c r="AB92" s="22">
        <v>0</v>
      </c>
      <c r="AC92" s="21">
        <v>140</v>
      </c>
      <c r="AD92" s="85">
        <v>0</v>
      </c>
      <c r="AE92" s="85">
        <v>-140</v>
      </c>
      <c r="AF92" s="22">
        <v>0</v>
      </c>
      <c r="AG92" s="21">
        <v>140</v>
      </c>
      <c r="AH92" s="5">
        <v>0</v>
      </c>
      <c r="AI92" s="5">
        <v>-140</v>
      </c>
      <c r="AJ92" s="22">
        <v>0</v>
      </c>
      <c r="AK92" s="21">
        <v>140</v>
      </c>
      <c r="AL92" s="5">
        <v>0</v>
      </c>
      <c r="AM92" s="5">
        <v>-140</v>
      </c>
      <c r="AN92" s="22">
        <v>0</v>
      </c>
      <c r="AO92" s="21">
        <v>140</v>
      </c>
      <c r="AP92" s="5">
        <v>0</v>
      </c>
      <c r="AQ92" s="5">
        <v>-140</v>
      </c>
      <c r="AR92" s="22">
        <v>0</v>
      </c>
      <c r="AS92" s="21">
        <v>140</v>
      </c>
      <c r="AT92" s="5">
        <v>0</v>
      </c>
      <c r="AU92" s="5">
        <v>-140</v>
      </c>
      <c r="AV92" s="22">
        <v>0</v>
      </c>
      <c r="AW92" s="21">
        <v>140</v>
      </c>
      <c r="AX92" s="5"/>
      <c r="AY92" s="5">
        <f t="shared" si="84"/>
        <v>-140</v>
      </c>
      <c r="AZ92" s="22">
        <f t="shared" si="109"/>
        <v>0</v>
      </c>
      <c r="BA92" s="21"/>
      <c r="BB92" s="5"/>
      <c r="BC92" s="5">
        <f t="shared" si="86"/>
        <v>0</v>
      </c>
      <c r="BD92" s="22">
        <f t="shared" si="110"/>
        <v>0</v>
      </c>
    </row>
    <row r="93" spans="1:56" x14ac:dyDescent="0.4">
      <c r="A93" s="20">
        <v>5152</v>
      </c>
      <c r="B93" s="2" t="s">
        <v>60</v>
      </c>
      <c r="C93" s="2">
        <v>350</v>
      </c>
      <c r="D93" s="2" t="s">
        <v>4</v>
      </c>
      <c r="E93" s="5">
        <v>20</v>
      </c>
      <c r="F93" s="5">
        <v>0</v>
      </c>
      <c r="G93" s="5">
        <v>-20</v>
      </c>
      <c r="H93" s="6">
        <v>0</v>
      </c>
      <c r="I93" s="5">
        <v>20</v>
      </c>
      <c r="J93" s="5">
        <v>12</v>
      </c>
      <c r="K93" s="5">
        <v>-7</v>
      </c>
      <c r="L93" s="6">
        <v>60.5</v>
      </c>
      <c r="M93" s="5">
        <v>20</v>
      </c>
      <c r="N93" s="5">
        <v>15</v>
      </c>
      <c r="O93" s="5">
        <v>-20</v>
      </c>
      <c r="P93" s="6">
        <v>0</v>
      </c>
      <c r="Q93" s="5">
        <v>20</v>
      </c>
      <c r="R93" s="5">
        <v>0</v>
      </c>
      <c r="S93" s="5">
        <v>-20</v>
      </c>
      <c r="T93" s="6">
        <v>0</v>
      </c>
      <c r="U93" s="5">
        <v>20</v>
      </c>
      <c r="V93" s="5">
        <v>3</v>
      </c>
      <c r="W93" s="5">
        <v>-20</v>
      </c>
      <c r="X93" s="6">
        <v>0</v>
      </c>
      <c r="Y93" s="21">
        <v>20</v>
      </c>
      <c r="Z93" s="5">
        <v>0</v>
      </c>
      <c r="AA93" s="5">
        <v>-20</v>
      </c>
      <c r="AB93" s="22">
        <v>0</v>
      </c>
      <c r="AC93" s="21">
        <v>25</v>
      </c>
      <c r="AD93" s="85">
        <v>0</v>
      </c>
      <c r="AE93" s="85">
        <v>-25</v>
      </c>
      <c r="AF93" s="22">
        <v>0</v>
      </c>
      <c r="AG93" s="21">
        <v>28</v>
      </c>
      <c r="AH93" s="5">
        <v>3</v>
      </c>
      <c r="AI93" s="5">
        <v>-28</v>
      </c>
      <c r="AJ93" s="22">
        <v>0</v>
      </c>
      <c r="AK93" s="21">
        <v>22</v>
      </c>
      <c r="AL93" s="5">
        <v>0</v>
      </c>
      <c r="AM93" s="5">
        <v>-22</v>
      </c>
      <c r="AN93" s="22">
        <v>0</v>
      </c>
      <c r="AO93" s="21">
        <v>22</v>
      </c>
      <c r="AP93" s="5">
        <v>0</v>
      </c>
      <c r="AQ93" s="5">
        <v>-22</v>
      </c>
      <c r="AR93" s="22">
        <v>0</v>
      </c>
      <c r="AS93" s="21">
        <v>25</v>
      </c>
      <c r="AT93" s="5">
        <v>0</v>
      </c>
      <c r="AU93" s="5">
        <v>-25</v>
      </c>
      <c r="AV93" s="22">
        <v>0</v>
      </c>
      <c r="AW93" s="21">
        <v>28</v>
      </c>
      <c r="AX93" s="5"/>
      <c r="AY93" s="5">
        <f t="shared" si="84"/>
        <v>-28</v>
      </c>
      <c r="AZ93" s="22">
        <f t="shared" si="109"/>
        <v>0</v>
      </c>
      <c r="BA93" s="21"/>
      <c r="BB93" s="5"/>
      <c r="BC93" s="5">
        <f t="shared" si="86"/>
        <v>0</v>
      </c>
      <c r="BD93" s="22">
        <f t="shared" si="110"/>
        <v>0</v>
      </c>
    </row>
    <row r="94" spans="1:56" x14ac:dyDescent="0.4">
      <c r="A94" s="20">
        <v>5152</v>
      </c>
      <c r="B94" s="2" t="s">
        <v>60</v>
      </c>
      <c r="C94" s="2">
        <v>390</v>
      </c>
      <c r="D94" s="2" t="s">
        <v>117</v>
      </c>
      <c r="E94" s="5">
        <v>0</v>
      </c>
      <c r="F94" s="5">
        <v>2</v>
      </c>
      <c r="G94" s="5">
        <v>2</v>
      </c>
      <c r="H94" s="6">
        <v>0</v>
      </c>
      <c r="I94" s="5">
        <v>0</v>
      </c>
      <c r="J94" s="5">
        <v>21</v>
      </c>
      <c r="K94" s="5">
        <v>21</v>
      </c>
      <c r="L94" s="6">
        <v>0</v>
      </c>
      <c r="M94" s="5">
        <v>0</v>
      </c>
      <c r="N94" s="5">
        <v>3</v>
      </c>
      <c r="O94" s="5">
        <v>0</v>
      </c>
      <c r="P94" s="6">
        <v>0</v>
      </c>
      <c r="Q94" s="5">
        <v>0</v>
      </c>
      <c r="R94" s="5">
        <v>0</v>
      </c>
      <c r="S94" s="5">
        <v>0</v>
      </c>
      <c r="T94" s="6">
        <v>0</v>
      </c>
      <c r="U94" s="5">
        <v>0</v>
      </c>
      <c r="V94" s="5">
        <v>12</v>
      </c>
      <c r="W94" s="5">
        <v>0</v>
      </c>
      <c r="X94" s="6">
        <v>0</v>
      </c>
      <c r="Y94" s="21">
        <v>0</v>
      </c>
      <c r="Z94" s="5">
        <v>0</v>
      </c>
      <c r="AA94" s="5">
        <v>0</v>
      </c>
      <c r="AB94" s="22">
        <v>0</v>
      </c>
      <c r="AC94" s="21">
        <v>0</v>
      </c>
      <c r="AD94" s="85">
        <v>0</v>
      </c>
      <c r="AE94" s="85">
        <v>0</v>
      </c>
      <c r="AF94" s="22">
        <v>0</v>
      </c>
      <c r="AG94" s="21">
        <v>0</v>
      </c>
      <c r="AH94" s="5">
        <v>19</v>
      </c>
      <c r="AI94" s="5">
        <v>0</v>
      </c>
      <c r="AJ94" s="22">
        <v>0</v>
      </c>
      <c r="AK94" s="21">
        <v>0</v>
      </c>
      <c r="AL94" s="5">
        <v>0</v>
      </c>
      <c r="AM94" s="5">
        <v>0</v>
      </c>
      <c r="AN94" s="22">
        <v>0</v>
      </c>
      <c r="AO94" s="21">
        <v>0</v>
      </c>
      <c r="AP94" s="5">
        <v>11</v>
      </c>
      <c r="AQ94" s="5">
        <v>0</v>
      </c>
      <c r="AR94" s="22">
        <v>0</v>
      </c>
      <c r="AS94" s="21">
        <v>0</v>
      </c>
      <c r="AT94" s="5">
        <v>0</v>
      </c>
      <c r="AU94" s="5">
        <v>0</v>
      </c>
      <c r="AV94" s="22">
        <v>0</v>
      </c>
      <c r="AW94" s="21">
        <v>0</v>
      </c>
      <c r="AX94" s="5"/>
      <c r="AY94" s="5">
        <v>0</v>
      </c>
      <c r="AZ94" s="22">
        <f t="shared" si="109"/>
        <v>0</v>
      </c>
      <c r="BA94" s="21"/>
      <c r="BB94" s="5"/>
      <c r="BC94" s="5">
        <f t="shared" si="86"/>
        <v>0</v>
      </c>
      <c r="BD94" s="22">
        <f t="shared" si="110"/>
        <v>0</v>
      </c>
    </row>
    <row r="95" spans="1:56" x14ac:dyDescent="0.4">
      <c r="A95" s="23">
        <v>5152</v>
      </c>
      <c r="B95" s="24" t="s">
        <v>12</v>
      </c>
      <c r="C95" s="24">
        <v>910</v>
      </c>
      <c r="D95" s="24" t="s">
        <v>47</v>
      </c>
      <c r="E95" s="25">
        <v>0</v>
      </c>
      <c r="F95" s="25">
        <v>23</v>
      </c>
      <c r="G95" s="25">
        <v>23</v>
      </c>
      <c r="H95" s="26">
        <v>0</v>
      </c>
      <c r="I95" s="25">
        <v>0</v>
      </c>
      <c r="J95" s="25">
        <v>20</v>
      </c>
      <c r="K95" s="25">
        <v>20</v>
      </c>
      <c r="L95" s="26">
        <v>0</v>
      </c>
      <c r="M95" s="25">
        <v>0</v>
      </c>
      <c r="N95" s="25">
        <v>0</v>
      </c>
      <c r="O95" s="25">
        <v>0</v>
      </c>
      <c r="P95" s="26">
        <v>0</v>
      </c>
      <c r="Q95" s="25">
        <v>0</v>
      </c>
      <c r="R95" s="25">
        <v>0</v>
      </c>
      <c r="S95" s="25">
        <v>0</v>
      </c>
      <c r="T95" s="26">
        <v>0</v>
      </c>
      <c r="U95" s="25">
        <v>0</v>
      </c>
      <c r="V95" s="25">
        <v>0</v>
      </c>
      <c r="W95" s="25">
        <v>0</v>
      </c>
      <c r="X95" s="26">
        <v>0</v>
      </c>
      <c r="Y95" s="27">
        <v>0</v>
      </c>
      <c r="Z95" s="25">
        <v>0</v>
      </c>
      <c r="AA95" s="25">
        <v>0</v>
      </c>
      <c r="AB95" s="28">
        <v>0</v>
      </c>
      <c r="AC95" s="27">
        <v>0</v>
      </c>
      <c r="AD95" s="86">
        <v>0</v>
      </c>
      <c r="AE95" s="86">
        <v>0</v>
      </c>
      <c r="AF95" s="28">
        <v>0</v>
      </c>
      <c r="AG95" s="27">
        <v>0</v>
      </c>
      <c r="AH95" s="25">
        <v>0</v>
      </c>
      <c r="AI95" s="25">
        <v>0</v>
      </c>
      <c r="AJ95" s="28">
        <v>0</v>
      </c>
      <c r="AK95" s="27">
        <v>0</v>
      </c>
      <c r="AL95" s="25">
        <v>0</v>
      </c>
      <c r="AM95" s="25">
        <v>0</v>
      </c>
      <c r="AN95" s="28">
        <v>0</v>
      </c>
      <c r="AO95" s="27">
        <v>0</v>
      </c>
      <c r="AP95" s="25">
        <v>0</v>
      </c>
      <c r="AQ95" s="25">
        <v>0</v>
      </c>
      <c r="AR95" s="28">
        <v>0</v>
      </c>
      <c r="AS95" s="27">
        <v>0</v>
      </c>
      <c r="AT95" s="25">
        <v>0</v>
      </c>
      <c r="AU95" s="25">
        <v>0</v>
      </c>
      <c r="AV95" s="28">
        <v>0</v>
      </c>
      <c r="AW95" s="27">
        <v>0</v>
      </c>
      <c r="AX95" s="25"/>
      <c r="AY95" s="25">
        <f t="shared" si="84"/>
        <v>0</v>
      </c>
      <c r="AZ95" s="28">
        <f t="shared" si="109"/>
        <v>0</v>
      </c>
      <c r="BA95" s="27"/>
      <c r="BB95" s="25"/>
      <c r="BC95" s="25">
        <f t="shared" si="86"/>
        <v>0</v>
      </c>
      <c r="BD95" s="28">
        <f t="shared" si="110"/>
        <v>0</v>
      </c>
    </row>
    <row r="96" spans="1:56" x14ac:dyDescent="0.4">
      <c r="A96" s="14"/>
      <c r="B96" s="15" t="s">
        <v>13</v>
      </c>
      <c r="C96" s="15">
        <v>310</v>
      </c>
      <c r="D96" s="15" t="s">
        <v>1</v>
      </c>
      <c r="E96" s="16">
        <f>E6+E13+E20+E28+E35+E42+E63+E70+E79+E88</f>
        <v>20651</v>
      </c>
      <c r="F96" s="16">
        <f>F6+F13+F20+F28+F35+F42+F63+F70+F79+F88</f>
        <v>22176</v>
      </c>
      <c r="G96" s="16">
        <f t="shared" si="39"/>
        <v>1525</v>
      </c>
      <c r="H96" s="17">
        <f t="shared" si="64"/>
        <v>1.0738463028424774</v>
      </c>
      <c r="I96" s="16">
        <f>I6+I13+I20+I28+I35+I42+I63+I70+I79+I88</f>
        <v>20601</v>
      </c>
      <c r="J96" s="16">
        <f>J6+J13+J20+J28+J35+J42+J63+J70+J79+J88</f>
        <v>20440</v>
      </c>
      <c r="K96" s="16">
        <f t="shared" si="40"/>
        <v>-161</v>
      </c>
      <c r="L96" s="17">
        <f t="shared" si="66"/>
        <v>0.99218484539585461</v>
      </c>
      <c r="M96" s="16">
        <f>M6+M13+M20+M28+M35+M42+M63+M70+M79+M88</f>
        <v>27129</v>
      </c>
      <c r="N96" s="16">
        <f>N6+N13+N20+N28+N35+N42+N63+N70+N79+N88</f>
        <v>32284</v>
      </c>
      <c r="O96" s="16">
        <f t="shared" si="41"/>
        <v>5155</v>
      </c>
      <c r="P96" s="17">
        <f t="shared" si="67"/>
        <v>1.1900180618526299</v>
      </c>
      <c r="Q96" s="16">
        <f>Q6+Q13+Q20+Q28+Q35+Q42+Q63+Q70+Q79+Q88</f>
        <v>24875</v>
      </c>
      <c r="R96" s="16">
        <f>R6+R13+R20+R28+R35+R42+R63+R70+R79+R88</f>
        <v>26134</v>
      </c>
      <c r="S96" s="16">
        <f t="shared" si="95"/>
        <v>1259</v>
      </c>
      <c r="T96" s="17">
        <f t="shared" si="69"/>
        <v>1.0506130653266332</v>
      </c>
      <c r="U96" s="16">
        <f>U6+U13+U20+U28+U35+U42+U63+U70+U79+U88</f>
        <v>20243</v>
      </c>
      <c r="V96" s="16">
        <f>V6+V13+V20+V28+V35+V42+V63+V70+V79+V88</f>
        <v>21090</v>
      </c>
      <c r="W96" s="16">
        <f t="shared" si="96"/>
        <v>847</v>
      </c>
      <c r="X96" s="17">
        <f t="shared" si="97"/>
        <v>1.041841624265178</v>
      </c>
      <c r="Y96" s="18">
        <f>Y6+Y13+Y20+Y28+Y35+Y42+Y63+Y70+Y79+Y88</f>
        <v>23441</v>
      </c>
      <c r="Z96" s="16">
        <f>Z6+Z13+Z20+Z28+Z35+Z42+Z63+Z70+Z79+Z88</f>
        <v>26761</v>
      </c>
      <c r="AA96" s="16">
        <f t="shared" si="98"/>
        <v>3320</v>
      </c>
      <c r="AB96" s="19">
        <f t="shared" si="99"/>
        <v>1.1416321829273495</v>
      </c>
      <c r="AC96" s="18">
        <f>AC6+AC13+AC20+AC28+AC35+AC42+AC63+AC70+AC79+AC88</f>
        <v>19971</v>
      </c>
      <c r="AD96" s="16">
        <f>AD6+AD13+AD20+AD28+AD35+AD42+AD63+AD70+AD79+AD88</f>
        <v>6598</v>
      </c>
      <c r="AE96" s="16">
        <f t="shared" si="100"/>
        <v>-13373</v>
      </c>
      <c r="AF96" s="19">
        <f t="shared" si="101"/>
        <v>0.3303790496219518</v>
      </c>
      <c r="AG96" s="18">
        <f>AG6+AG13+AG20+AG28+AG35+AG42+AG63+AG70+AG79+AG88</f>
        <v>20939</v>
      </c>
      <c r="AH96" s="16">
        <f>AH6+AH13+AH20+AH28+AH35+AH42+AH63+AH70+AH79+AH88</f>
        <v>22006</v>
      </c>
      <c r="AI96" s="16">
        <f t="shared" si="102"/>
        <v>1067</v>
      </c>
      <c r="AJ96" s="19">
        <f t="shared" si="103"/>
        <v>1.0509575433401785</v>
      </c>
      <c r="AK96" s="18">
        <f>AK6+AK13+AK20+AK28+AK35+AK42+AK63+AK70+AK79+AK88</f>
        <v>20152</v>
      </c>
      <c r="AL96" s="16">
        <f>AL6+AL13+AL20+AL28+AL35+AL42+AL63+AL70+AL79+AL88</f>
        <v>8555</v>
      </c>
      <c r="AM96" s="16">
        <f t="shared" si="104"/>
        <v>-11597</v>
      </c>
      <c r="AN96" s="19">
        <f t="shared" si="105"/>
        <v>0.42452362048431919</v>
      </c>
      <c r="AO96" s="18">
        <f>AO6+AO13+AO20+AO28+AO35+AO42+AO63+AO70+AO79+AO88</f>
        <v>20113</v>
      </c>
      <c r="AP96" s="16">
        <f>AP6+AP13+AP20+AP28+AP35+AP42+AP63+AP70+AP79+AP88</f>
        <v>20862</v>
      </c>
      <c r="AQ96" s="16">
        <f t="shared" si="106"/>
        <v>749</v>
      </c>
      <c r="AR96" s="19">
        <f t="shared" si="107"/>
        <v>1.0372395962810124</v>
      </c>
      <c r="AS96" s="18">
        <f>AS6+AS13+AS20+AS28+AS35+AS42+AS63+AS70+AS79+AS88</f>
        <v>18662</v>
      </c>
      <c r="AT96" s="16">
        <f>AT6+AT13+AT20+AT28+AT35+AT42+AT63+AT70+AT79+AT88</f>
        <v>1193</v>
      </c>
      <c r="AU96" s="16">
        <f t="shared" si="82"/>
        <v>-17469</v>
      </c>
      <c r="AV96" s="19">
        <f t="shared" si="108"/>
        <v>6.3926695959704211E-2</v>
      </c>
      <c r="AW96" s="18">
        <f>AW6+AW13+AW20+AW28+AW35+AW42+AW63+AW70+AW79+AW88</f>
        <v>20145</v>
      </c>
      <c r="AX96" s="16">
        <f>AX6+AX13+AX20+AX28+AX35+AX42+AX63+AX70+AX79+AX88</f>
        <v>0</v>
      </c>
      <c r="AY96" s="16">
        <f t="shared" si="84"/>
        <v>-20145</v>
      </c>
      <c r="AZ96" s="19">
        <f t="shared" si="109"/>
        <v>0</v>
      </c>
      <c r="BA96" s="18">
        <f>BA6+BA13+BA20+BA28+BA35+BA42+BA63+BA70+BA79+BA88</f>
        <v>0</v>
      </c>
      <c r="BB96" s="16">
        <f>BB6+BB13+BB20+BB28+BB35+BB42+BB63+BB70+BB79+BB88</f>
        <v>0</v>
      </c>
      <c r="BC96" s="16">
        <f t="shared" si="86"/>
        <v>0</v>
      </c>
      <c r="BD96" s="19">
        <f t="shared" si="110"/>
        <v>0</v>
      </c>
    </row>
    <row r="97" spans="1:56" x14ac:dyDescent="0.4">
      <c r="A97" s="56"/>
      <c r="B97" s="57" t="s">
        <v>13</v>
      </c>
      <c r="C97" s="57">
        <v>320</v>
      </c>
      <c r="D97" s="57" t="s">
        <v>2</v>
      </c>
      <c r="E97" s="58">
        <f>E7+E14+E21+E29+E36+E43+E64+E71+E80+E89</f>
        <v>40021</v>
      </c>
      <c r="F97" s="58">
        <f t="shared" ref="F97:F101" si="115">F7+F14+F21+F29+F36+F43+F64+F71+F80+F89</f>
        <v>46159</v>
      </c>
      <c r="G97" s="58">
        <f t="shared" si="39"/>
        <v>6138</v>
      </c>
      <c r="H97" s="59">
        <f t="shared" si="64"/>
        <v>1.1533694810224633</v>
      </c>
      <c r="I97" s="58">
        <f>I7+I14+I21+I29+I36+I43+I64+I71+I80+I89</f>
        <v>39168</v>
      </c>
      <c r="J97" s="58">
        <f t="shared" ref="J97:J101" si="116">J7+J14+J21+J29+J36+J43+J64+J71+J80+J89</f>
        <v>42581</v>
      </c>
      <c r="K97" s="58">
        <f t="shared" si="40"/>
        <v>3413</v>
      </c>
      <c r="L97" s="59">
        <f t="shared" si="66"/>
        <v>1.0871374591503269</v>
      </c>
      <c r="M97" s="58">
        <f>M7+M14+M21+M29+M36+M43+M64+M71+M80+M89</f>
        <v>35472</v>
      </c>
      <c r="N97" s="58">
        <f t="shared" ref="N97:N101" si="117">N7+N14+N21+N29+N36+N43+N64+N71+N80+N89</f>
        <v>42053</v>
      </c>
      <c r="O97" s="58">
        <f t="shared" si="41"/>
        <v>6581</v>
      </c>
      <c r="P97" s="59">
        <f t="shared" si="67"/>
        <v>1.1855266125394677</v>
      </c>
      <c r="Q97" s="58">
        <f>Q7+Q14+Q21+Q29+Q36+Q43+Q64+Q71+Q80+Q89</f>
        <v>35050</v>
      </c>
      <c r="R97" s="58">
        <f t="shared" ref="R97:R101" si="118">R7+R14+R21+R29+R36+R43+R64+R71+R80+R89</f>
        <v>38994</v>
      </c>
      <c r="S97" s="58">
        <f t="shared" si="95"/>
        <v>3944</v>
      </c>
      <c r="T97" s="59">
        <f t="shared" si="69"/>
        <v>1.1125249643366619</v>
      </c>
      <c r="U97" s="58">
        <f>U7+U14+U21+U29+U36+U43+U64+U71+U80+U89</f>
        <v>35253</v>
      </c>
      <c r="V97" s="58">
        <f t="shared" ref="V97:V101" si="119">V7+V14+V21+V29+V36+V43+V64+V71+V80+V89</f>
        <v>41773</v>
      </c>
      <c r="W97" s="58">
        <f t="shared" si="96"/>
        <v>6520</v>
      </c>
      <c r="X97" s="59">
        <f t="shared" si="97"/>
        <v>1.1849487986837999</v>
      </c>
      <c r="Y97" s="61">
        <f>Y7+Y14+Y21+Y29+Y36+Y43+Y64+Y71+Y80+Y89</f>
        <v>35528</v>
      </c>
      <c r="Z97" s="58">
        <f t="shared" ref="Z97:Z101" si="120">Z7+Z14+Z21+Z29+Z36+Z43+Z64+Z71+Z80+Z89</f>
        <v>41457</v>
      </c>
      <c r="AA97" s="58">
        <f t="shared" si="98"/>
        <v>5929</v>
      </c>
      <c r="AB97" s="62">
        <f t="shared" si="99"/>
        <v>1.1668824589056519</v>
      </c>
      <c r="AC97" s="61">
        <f>AC7+AC14+AC21+AC29+AC36+AC43+AC64+AC71+AC80+AC89</f>
        <v>35572</v>
      </c>
      <c r="AD97" s="58">
        <f t="shared" ref="AD97:AD101" si="121">AD7+AD14+AD21+AD29+AD36+AD43+AD64+AD71+AD80+AD89</f>
        <v>23043</v>
      </c>
      <c r="AE97" s="58">
        <f t="shared" si="100"/>
        <v>-12529</v>
      </c>
      <c r="AF97" s="62">
        <f t="shared" si="101"/>
        <v>0.64778477454177441</v>
      </c>
      <c r="AG97" s="61">
        <f>AG7+AG14+AG21+AG29+AG36+AG43+AG64+AG71+AG80+AG89</f>
        <v>35693</v>
      </c>
      <c r="AH97" s="58">
        <f t="shared" ref="AH97:AH101" si="122">AH7+AH14+AH21+AH29+AH36+AH43+AH64+AH71+AH80+AH89</f>
        <v>47370</v>
      </c>
      <c r="AI97" s="58">
        <f t="shared" si="102"/>
        <v>11677</v>
      </c>
      <c r="AJ97" s="62">
        <f t="shared" si="103"/>
        <v>1.3271509819852632</v>
      </c>
      <c r="AK97" s="61">
        <f>AK7+AK14+AK21+AK29+AK36+AK43+AK64+AK71+AK80+AK89</f>
        <v>34947</v>
      </c>
      <c r="AL97" s="58">
        <f t="shared" ref="AL97:AL101" si="123">AL7+AL14+AL21+AL29+AL36+AL43+AL64+AL71+AL80+AL89</f>
        <v>22539</v>
      </c>
      <c r="AM97" s="58">
        <f t="shared" si="104"/>
        <v>-12408</v>
      </c>
      <c r="AN97" s="62">
        <f t="shared" si="105"/>
        <v>0.64494806421152029</v>
      </c>
      <c r="AO97" s="61">
        <f>AO7+AO14+AO21+AO29+AO36+AO43+AO64+AO71+AO80+AO89</f>
        <v>37160</v>
      </c>
      <c r="AP97" s="58">
        <f t="shared" ref="AP97:AP101" si="124">AP7+AP14+AP21+AP29+AP36+AP43+AP64+AP71+AP80+AP89</f>
        <v>39550</v>
      </c>
      <c r="AQ97" s="58">
        <f t="shared" si="106"/>
        <v>2390</v>
      </c>
      <c r="AR97" s="62">
        <f t="shared" si="107"/>
        <v>1.0643164693218514</v>
      </c>
      <c r="AS97" s="61">
        <f>AS7+AS14+AS21+AS29+AS36+AS43+AS64+AS71+AS80+AS89</f>
        <v>37236</v>
      </c>
      <c r="AT97" s="58">
        <f t="shared" ref="AT97:AT101" si="125">AT7+AT14+AT21+AT29+AT36+AT43+AT64+AT71+AT80+AT89</f>
        <v>6775</v>
      </c>
      <c r="AU97" s="58">
        <f t="shared" si="82"/>
        <v>-30461</v>
      </c>
      <c r="AV97" s="62">
        <f t="shared" si="108"/>
        <v>0.18194757761306263</v>
      </c>
      <c r="AW97" s="61">
        <f>AW7+AW14+AW21+AW29+AW36+AW43+AW64+AW71+AW80+AW89</f>
        <v>36252</v>
      </c>
      <c r="AX97" s="58">
        <f t="shared" ref="AX97:AX101" si="126">AX7+AX14+AX21+AX29+AX36+AX43+AX64+AX71+AX80+AX89</f>
        <v>0</v>
      </c>
      <c r="AY97" s="58">
        <f t="shared" si="84"/>
        <v>-36252</v>
      </c>
      <c r="AZ97" s="62">
        <f t="shared" si="109"/>
        <v>0</v>
      </c>
      <c r="BA97" s="61">
        <f>BA7+BA14+BA21+BA29+BA36+BA43+BA64+BA71+BA80+BA89</f>
        <v>0</v>
      </c>
      <c r="BB97" s="58">
        <f t="shared" ref="BB97:BB101" si="127">BB7+BB14+BB21+BB29+BB36+BB43+BB64+BB71+BB80+BB89</f>
        <v>0</v>
      </c>
      <c r="BC97" s="58">
        <f t="shared" si="86"/>
        <v>0</v>
      </c>
      <c r="BD97" s="62">
        <f t="shared" si="110"/>
        <v>0</v>
      </c>
    </row>
    <row r="98" spans="1:56" x14ac:dyDescent="0.4">
      <c r="A98" s="56"/>
      <c r="B98" s="57" t="s">
        <v>13</v>
      </c>
      <c r="C98" s="57">
        <v>330</v>
      </c>
      <c r="D98" s="57" t="s">
        <v>3</v>
      </c>
      <c r="E98" s="58">
        <f>E8+E15+E22+E30+E37+E44+E65+E72+E81+E90</f>
        <v>43235</v>
      </c>
      <c r="F98" s="58">
        <f t="shared" si="115"/>
        <v>44586</v>
      </c>
      <c r="G98" s="58">
        <f t="shared" si="39"/>
        <v>1351</v>
      </c>
      <c r="H98" s="59">
        <f t="shared" si="64"/>
        <v>1.0312478316179021</v>
      </c>
      <c r="I98" s="58">
        <f>I8+I15+I22+I30+I37+I44+I65+I72+I81+I90</f>
        <v>47849</v>
      </c>
      <c r="J98" s="58">
        <f t="shared" si="116"/>
        <v>52820</v>
      </c>
      <c r="K98" s="58">
        <f t="shared" si="40"/>
        <v>4971</v>
      </c>
      <c r="L98" s="59">
        <f t="shared" si="66"/>
        <v>1.103889318481055</v>
      </c>
      <c r="M98" s="58">
        <f>M8+M15+M22+M30+M37+M44+M65+M72+M81+M90</f>
        <v>46524</v>
      </c>
      <c r="N98" s="58">
        <f t="shared" si="117"/>
        <v>50200</v>
      </c>
      <c r="O98" s="58">
        <f t="shared" si="41"/>
        <v>3676</v>
      </c>
      <c r="P98" s="59">
        <f t="shared" si="67"/>
        <v>1.0790129825466426</v>
      </c>
      <c r="Q98" s="58">
        <f>Q8+Q15+Q22+Q30+Q37+Q44+Q65+Q72+Q81+Q90</f>
        <v>46121</v>
      </c>
      <c r="R98" s="58">
        <f t="shared" si="118"/>
        <v>52300</v>
      </c>
      <c r="S98" s="58">
        <f t="shared" si="95"/>
        <v>6179</v>
      </c>
      <c r="T98" s="59">
        <f t="shared" si="69"/>
        <v>1.1339736779341298</v>
      </c>
      <c r="U98" s="58">
        <f>U8+U15+U22+U30+U37+U44+U65+U72+U81+U90</f>
        <v>44667</v>
      </c>
      <c r="V98" s="58">
        <f t="shared" si="119"/>
        <v>49703</v>
      </c>
      <c r="W98" s="58">
        <f t="shared" si="96"/>
        <v>5036</v>
      </c>
      <c r="X98" s="59">
        <f t="shared" si="97"/>
        <v>1.1127454272729309</v>
      </c>
      <c r="Y98" s="61">
        <f>Y8+Y15+Y22+Y30+Y37+Y44+Y65+Y72+Y81+Y90</f>
        <v>46802</v>
      </c>
      <c r="Z98" s="58">
        <f t="shared" si="120"/>
        <v>47945</v>
      </c>
      <c r="AA98" s="58">
        <f t="shared" si="98"/>
        <v>1143</v>
      </c>
      <c r="AB98" s="62">
        <f t="shared" si="99"/>
        <v>1.0244220332464424</v>
      </c>
      <c r="AC98" s="61">
        <f>AC8+AC15+AC22+AC30+AC37+AC44+AC65+AC72+AC81+AC90</f>
        <v>46437</v>
      </c>
      <c r="AD98" s="58">
        <f t="shared" si="121"/>
        <v>14582</v>
      </c>
      <c r="AE98" s="58">
        <f t="shared" si="100"/>
        <v>-31855</v>
      </c>
      <c r="AF98" s="62">
        <f t="shared" si="101"/>
        <v>0.31401684001981178</v>
      </c>
      <c r="AG98" s="61">
        <f>AG8+AG15+AG22+AG30+AG37+AG44+AG65+AG72+AG81+AG90</f>
        <v>46474</v>
      </c>
      <c r="AH98" s="58">
        <f t="shared" si="122"/>
        <v>45958</v>
      </c>
      <c r="AI98" s="58">
        <f t="shared" si="102"/>
        <v>-516</v>
      </c>
      <c r="AJ98" s="62">
        <f t="shared" si="103"/>
        <v>0.98889701768730909</v>
      </c>
      <c r="AK98" s="61">
        <f>AK8+AK15+AK22+AK30+AK37+AK44+AK65+AK72+AK81+AK90</f>
        <v>46654</v>
      </c>
      <c r="AL98" s="58">
        <f t="shared" si="123"/>
        <v>22895</v>
      </c>
      <c r="AM98" s="58">
        <f t="shared" si="104"/>
        <v>-23759</v>
      </c>
      <c r="AN98" s="62">
        <f t="shared" si="105"/>
        <v>0.4907403438076049</v>
      </c>
      <c r="AO98" s="61">
        <f>AO8+AO15+AO22+AO30+AO37+AO44+AO65+AO72+AO81+AO90</f>
        <v>46606</v>
      </c>
      <c r="AP98" s="58">
        <f t="shared" si="124"/>
        <v>55988</v>
      </c>
      <c r="AQ98" s="58">
        <f t="shared" si="106"/>
        <v>9382</v>
      </c>
      <c r="AR98" s="62">
        <f t="shared" si="107"/>
        <v>1.2013045530618376</v>
      </c>
      <c r="AS98" s="61">
        <f>AS8+AS15+AS22+AS30+AS37+AS44+AS65+AS72+AS81+AS90</f>
        <v>46757</v>
      </c>
      <c r="AT98" s="58">
        <f t="shared" si="125"/>
        <v>11932</v>
      </c>
      <c r="AU98" s="58">
        <f t="shared" si="82"/>
        <v>-34825</v>
      </c>
      <c r="AV98" s="62">
        <f t="shared" si="108"/>
        <v>0.25519173599674916</v>
      </c>
      <c r="AW98" s="61">
        <f>AW8+AW15+AW22+AW30+AW37+AW44+AW65+AW72+AW81+AW90</f>
        <v>48244</v>
      </c>
      <c r="AX98" s="58">
        <f t="shared" si="126"/>
        <v>0</v>
      </c>
      <c r="AY98" s="58">
        <f t="shared" si="84"/>
        <v>-48244</v>
      </c>
      <c r="AZ98" s="62">
        <f t="shared" si="109"/>
        <v>0</v>
      </c>
      <c r="BA98" s="61">
        <f>BA8+BA15+BA22+BA30+BA37+BA44+BA65+BA72+BA81+BA90</f>
        <v>0</v>
      </c>
      <c r="BB98" s="58">
        <f t="shared" si="127"/>
        <v>0</v>
      </c>
      <c r="BC98" s="58">
        <f t="shared" si="86"/>
        <v>0</v>
      </c>
      <c r="BD98" s="62">
        <f t="shared" si="110"/>
        <v>0</v>
      </c>
    </row>
    <row r="99" spans="1:56" x14ac:dyDescent="0.4">
      <c r="A99" s="56"/>
      <c r="B99" s="57" t="s">
        <v>13</v>
      </c>
      <c r="C99" s="57">
        <v>341</v>
      </c>
      <c r="D99" s="57" t="s">
        <v>5</v>
      </c>
      <c r="E99" s="58">
        <f>E9+E16+E23+E31+E38+E45+E66+E73+E82+E91</f>
        <v>23750</v>
      </c>
      <c r="F99" s="58">
        <f t="shared" si="115"/>
        <v>25583</v>
      </c>
      <c r="G99" s="58">
        <f t="shared" si="39"/>
        <v>1833</v>
      </c>
      <c r="H99" s="59">
        <f t="shared" si="64"/>
        <v>1.077178947368421</v>
      </c>
      <c r="I99" s="58">
        <f>I9+I16+I23+I31+I38+I45+I66+I73+I82+I91</f>
        <v>24099</v>
      </c>
      <c r="J99" s="58">
        <f t="shared" si="116"/>
        <v>23263</v>
      </c>
      <c r="K99" s="58">
        <f t="shared" si="40"/>
        <v>-836</v>
      </c>
      <c r="L99" s="59">
        <f t="shared" si="66"/>
        <v>0.96530976389061784</v>
      </c>
      <c r="M99" s="58">
        <f>M9+M16+M23+M31+M38+M45+M66+M73+M82+M91</f>
        <v>24582</v>
      </c>
      <c r="N99" s="58">
        <f t="shared" si="117"/>
        <v>23323</v>
      </c>
      <c r="O99" s="58">
        <f t="shared" si="41"/>
        <v>-1259</v>
      </c>
      <c r="P99" s="59">
        <f t="shared" si="67"/>
        <v>0.94878366284273041</v>
      </c>
      <c r="Q99" s="58">
        <f>Q9+Q16+Q23+Q31+Q38+Q45+Q66+Q73+Q82+Q91</f>
        <v>23732</v>
      </c>
      <c r="R99" s="58">
        <f t="shared" si="118"/>
        <v>24513</v>
      </c>
      <c r="S99" s="58">
        <f t="shared" si="95"/>
        <v>781</v>
      </c>
      <c r="T99" s="59">
        <f t="shared" si="69"/>
        <v>1.0329091521995617</v>
      </c>
      <c r="U99" s="58">
        <f>U9+U16+U23+U31+U38+U45+U66+U73+U82+U91</f>
        <v>24972</v>
      </c>
      <c r="V99" s="58">
        <f t="shared" si="119"/>
        <v>27303</v>
      </c>
      <c r="W99" s="58">
        <f t="shared" ref="W99:W101" si="128">V99-U99</f>
        <v>2331</v>
      </c>
      <c r="X99" s="59">
        <f t="shared" si="97"/>
        <v>1.0933445458913984</v>
      </c>
      <c r="Y99" s="61">
        <f>Y9+Y16+Y23+Y31+Y38+Y45+Y66+Y73+Y82+Y91</f>
        <v>24185</v>
      </c>
      <c r="Z99" s="58">
        <f t="shared" si="120"/>
        <v>25327</v>
      </c>
      <c r="AA99" s="58">
        <f t="shared" ref="AA99:AA101" si="129">Z99-Y99</f>
        <v>1142</v>
      </c>
      <c r="AB99" s="62">
        <f t="shared" ref="AB99:AB102" si="130">IF(Y99=0,0,Z99/Y99)</f>
        <v>1.0472193508372958</v>
      </c>
      <c r="AC99" s="61">
        <f>AC9+AC16+AC23+AC31+AC38+AC45+AC66+AC73+AC82+AC91</f>
        <v>25474</v>
      </c>
      <c r="AD99" s="58">
        <f t="shared" si="121"/>
        <v>10034</v>
      </c>
      <c r="AE99" s="58">
        <f t="shared" ref="AE99:AE101" si="131">AD99-AC99</f>
        <v>-15440</v>
      </c>
      <c r="AF99" s="62">
        <f t="shared" ref="AF99:AF101" si="132">IF(AC99=0,0,AD99/AC99)</f>
        <v>0.39389181125853812</v>
      </c>
      <c r="AG99" s="61">
        <f>AG9+AG16+AG23+AG31+AG38+AG45+AG66+AG73+AG82+AG91</f>
        <v>25018</v>
      </c>
      <c r="AH99" s="58">
        <f t="shared" si="122"/>
        <v>26157</v>
      </c>
      <c r="AI99" s="58">
        <f t="shared" ref="AI99:AI101" si="133">AH99-AG99</f>
        <v>1139</v>
      </c>
      <c r="AJ99" s="62">
        <f t="shared" ref="AJ99:AJ102" si="134">IF(AG99=0,0,AH99/AG99)</f>
        <v>1.0455272204013111</v>
      </c>
      <c r="AK99" s="61">
        <f>AK9+AK16+AK23+AK31+AK38+AK45+AK66+AK73+AK82+AK91</f>
        <v>26083</v>
      </c>
      <c r="AL99" s="58">
        <f t="shared" si="123"/>
        <v>16726</v>
      </c>
      <c r="AM99" s="58">
        <f t="shared" ref="AM99:AM101" si="135">AL99-AK99</f>
        <v>-9357</v>
      </c>
      <c r="AN99" s="62">
        <f t="shared" ref="AN99:AN102" si="136">IF(AK99=0,0,AL99/AK99)</f>
        <v>0.64126059118966372</v>
      </c>
      <c r="AO99" s="61">
        <f>AO9+AO16+AO23+AO31+AO38+AO45+AO66+AO73+AO82+AO91</f>
        <v>24436</v>
      </c>
      <c r="AP99" s="58">
        <f t="shared" si="124"/>
        <v>25043</v>
      </c>
      <c r="AQ99" s="58">
        <f t="shared" ref="AQ99:AQ101" si="137">AP99-AO99</f>
        <v>607</v>
      </c>
      <c r="AR99" s="62">
        <f t="shared" ref="AR99:AR101" si="138">IF(AO99=0,0,AP99/AO99)</f>
        <v>1.0248403994107056</v>
      </c>
      <c r="AS99" s="61">
        <f>AS9+AS16+AS23+AS31+AS38+AS45+AS66+AS73+AS82+AS91</f>
        <v>24552</v>
      </c>
      <c r="AT99" s="58">
        <f t="shared" si="125"/>
        <v>6343</v>
      </c>
      <c r="AU99" s="58">
        <f t="shared" ref="AU99:AU101" si="139">AT99-AS99</f>
        <v>-18209</v>
      </c>
      <c r="AV99" s="62">
        <f t="shared" ref="AV99:AV102" si="140">IF(AS99=0,0,AT99/AS99)</f>
        <v>0.25834962528510913</v>
      </c>
      <c r="AW99" s="61">
        <f>AW9+AW16+AW23+AW31+AW38+AW45+AW66+AW73+AW82+AW91</f>
        <v>25437</v>
      </c>
      <c r="AX99" s="58">
        <f t="shared" si="126"/>
        <v>0</v>
      </c>
      <c r="AY99" s="58">
        <f t="shared" ref="AY99:AY101" si="141">AX99-AW99</f>
        <v>-25437</v>
      </c>
      <c r="AZ99" s="62">
        <f t="shared" ref="AZ99:AZ102" si="142">IF(AW99=0,0,AX99/AW99)</f>
        <v>0</v>
      </c>
      <c r="BA99" s="61">
        <f>BA9+BA16+BA23+BA31+BA38+BA45+BA66+BA73+BA82+BA91</f>
        <v>0</v>
      </c>
      <c r="BB99" s="58">
        <f t="shared" si="127"/>
        <v>0</v>
      </c>
      <c r="BC99" s="58">
        <f t="shared" ref="BC99:BC101" si="143">BB99-BA99</f>
        <v>0</v>
      </c>
      <c r="BD99" s="62">
        <f t="shared" ref="BD99:BD102" si="144">IF(BA99=0,0,BB99/BA99)</f>
        <v>0</v>
      </c>
    </row>
    <row r="100" spans="1:56" x14ac:dyDescent="0.4">
      <c r="A100" s="56"/>
      <c r="B100" s="57" t="s">
        <v>13</v>
      </c>
      <c r="C100" s="57">
        <v>342</v>
      </c>
      <c r="D100" s="57" t="s">
        <v>6</v>
      </c>
      <c r="E100" s="58">
        <f>E10+E17+E24+E32+E39+E46+E67+E74+E83+E92</f>
        <v>30803</v>
      </c>
      <c r="F100" s="58">
        <f t="shared" si="115"/>
        <v>30113</v>
      </c>
      <c r="G100" s="58">
        <f t="shared" si="39"/>
        <v>-690</v>
      </c>
      <c r="H100" s="59">
        <f t="shared" si="64"/>
        <v>0.97759958445605943</v>
      </c>
      <c r="I100" s="58">
        <f>I10+I17+I24+I32+I39+I46+I67+I74+I83+I92</f>
        <v>33036</v>
      </c>
      <c r="J100" s="58">
        <f t="shared" si="116"/>
        <v>33716</v>
      </c>
      <c r="K100" s="58">
        <f t="shared" si="40"/>
        <v>680</v>
      </c>
      <c r="L100" s="59">
        <f t="shared" si="66"/>
        <v>1.0205836057634097</v>
      </c>
      <c r="M100" s="58">
        <f>M10+M17+M24+M32+M39+M46+M67+M74+M83+M92</f>
        <v>37133</v>
      </c>
      <c r="N100" s="58">
        <f t="shared" si="117"/>
        <v>35749</v>
      </c>
      <c r="O100" s="58">
        <f t="shared" si="41"/>
        <v>-1384</v>
      </c>
      <c r="P100" s="59">
        <f t="shared" si="67"/>
        <v>0.96272857027441894</v>
      </c>
      <c r="Q100" s="58">
        <f>Q10+Q17+Q24+Q32+Q39+Q46+Q67+Q74+Q83+Q92</f>
        <v>36441</v>
      </c>
      <c r="R100" s="58">
        <f t="shared" si="118"/>
        <v>45934</v>
      </c>
      <c r="S100" s="58">
        <f t="shared" si="95"/>
        <v>9493</v>
      </c>
      <c r="T100" s="59">
        <f t="shared" si="69"/>
        <v>1.2605032792733459</v>
      </c>
      <c r="U100" s="58">
        <f>U10+U17+U24+U32+U39+U46+U67+U74+U83+U92</f>
        <v>39112</v>
      </c>
      <c r="V100" s="58">
        <f t="shared" si="119"/>
        <v>40382</v>
      </c>
      <c r="W100" s="58">
        <f t="shared" si="128"/>
        <v>1270</v>
      </c>
      <c r="X100" s="59">
        <f t="shared" si="97"/>
        <v>1.0324708529351605</v>
      </c>
      <c r="Y100" s="61">
        <f>Y10+Y17+Y24+Y32+Y39+Y46+Y67+Y74+Y83+Y92</f>
        <v>38448</v>
      </c>
      <c r="Z100" s="58">
        <f t="shared" si="120"/>
        <v>40718</v>
      </c>
      <c r="AA100" s="58">
        <f t="shared" si="129"/>
        <v>2270</v>
      </c>
      <c r="AB100" s="62">
        <f t="shared" si="130"/>
        <v>1.0590407823553891</v>
      </c>
      <c r="AC100" s="61">
        <f>AC10+AC17+AC24+AC32+AC39+AC46+AC67+AC74+AC83+AC92</f>
        <v>38094</v>
      </c>
      <c r="AD100" s="58">
        <f t="shared" si="121"/>
        <v>24006</v>
      </c>
      <c r="AE100" s="58">
        <f t="shared" si="131"/>
        <v>-14088</v>
      </c>
      <c r="AF100" s="62">
        <f t="shared" si="132"/>
        <v>0.63017798078437548</v>
      </c>
      <c r="AG100" s="61">
        <f>AG10+AG17+AG24+AG32+AG39+AG46+AG67+AG74+AG83+AG92</f>
        <v>36965</v>
      </c>
      <c r="AH100" s="58">
        <f t="shared" si="122"/>
        <v>39231</v>
      </c>
      <c r="AI100" s="58">
        <f t="shared" si="133"/>
        <v>2266</v>
      </c>
      <c r="AJ100" s="62">
        <f t="shared" si="134"/>
        <v>1.061301230894089</v>
      </c>
      <c r="AK100" s="61">
        <f>AK10+AK17+AK24+AK32+AK39+AK46+AK67+AK74+AK83+AK92</f>
        <v>38324</v>
      </c>
      <c r="AL100" s="58">
        <f t="shared" si="123"/>
        <v>17483</v>
      </c>
      <c r="AM100" s="58">
        <f t="shared" si="135"/>
        <v>-20841</v>
      </c>
      <c r="AN100" s="62">
        <f t="shared" si="136"/>
        <v>0.4561893330550047</v>
      </c>
      <c r="AO100" s="61">
        <f>AO10+AO17+AO24+AO32+AO39+AO46+AO67+AO74+AO83+AO92</f>
        <v>40342</v>
      </c>
      <c r="AP100" s="58">
        <f t="shared" si="124"/>
        <v>35582</v>
      </c>
      <c r="AQ100" s="58">
        <f t="shared" si="137"/>
        <v>-4760</v>
      </c>
      <c r="AR100" s="62">
        <f t="shared" si="138"/>
        <v>0.88200882455009666</v>
      </c>
      <c r="AS100" s="61">
        <f>AS10+AS17+AS24+AS32+AS39+AS46+AS67+AS74+AS83+AS92</f>
        <v>41796</v>
      </c>
      <c r="AT100" s="58">
        <f t="shared" si="125"/>
        <v>2108</v>
      </c>
      <c r="AU100" s="58">
        <f t="shared" si="139"/>
        <v>-39688</v>
      </c>
      <c r="AV100" s="62">
        <f t="shared" si="140"/>
        <v>5.0435448368264905E-2</v>
      </c>
      <c r="AW100" s="61">
        <f>AW10+AW17+AW24+AW32+AW39+AW46+AW67+AW74+AW83+AW92</f>
        <v>40356</v>
      </c>
      <c r="AX100" s="58">
        <f t="shared" si="126"/>
        <v>0</v>
      </c>
      <c r="AY100" s="58">
        <f t="shared" si="141"/>
        <v>-40356</v>
      </c>
      <c r="AZ100" s="62">
        <f t="shared" si="142"/>
        <v>0</v>
      </c>
      <c r="BA100" s="61">
        <f>BA10+BA17+BA24+BA32+BA39+BA46+BA67+BA74+BA83+BA92</f>
        <v>0</v>
      </c>
      <c r="BB100" s="58">
        <f t="shared" si="127"/>
        <v>0</v>
      </c>
      <c r="BC100" s="58">
        <f t="shared" si="143"/>
        <v>0</v>
      </c>
      <c r="BD100" s="62">
        <f t="shared" si="144"/>
        <v>0</v>
      </c>
    </row>
    <row r="101" spans="1:56" x14ac:dyDescent="0.4">
      <c r="A101" s="56"/>
      <c r="B101" s="57" t="s">
        <v>13</v>
      </c>
      <c r="C101" s="57">
        <v>350</v>
      </c>
      <c r="D101" s="57" t="s">
        <v>4</v>
      </c>
      <c r="E101" s="58">
        <f>E11+E18+E25+E33+E40+E47+E68+E75+E84+E93</f>
        <v>30940</v>
      </c>
      <c r="F101" s="58">
        <f t="shared" si="115"/>
        <v>28351</v>
      </c>
      <c r="G101" s="58">
        <f t="shared" si="39"/>
        <v>-2589</v>
      </c>
      <c r="H101" s="59">
        <f t="shared" si="64"/>
        <v>0.91632191338073687</v>
      </c>
      <c r="I101" s="58">
        <f>I11+I18+I25+I33+I40+I47+I68+I75+I84+I93</f>
        <v>31119</v>
      </c>
      <c r="J101" s="58">
        <f t="shared" si="116"/>
        <v>32502</v>
      </c>
      <c r="K101" s="58">
        <f t="shared" si="40"/>
        <v>1383</v>
      </c>
      <c r="L101" s="59">
        <f t="shared" si="66"/>
        <v>1.0444423021305311</v>
      </c>
      <c r="M101" s="58">
        <f>M11+M18+M25+M33+M40+M47+M68+M75+M84+M93</f>
        <v>31309</v>
      </c>
      <c r="N101" s="58">
        <f t="shared" si="117"/>
        <v>32607</v>
      </c>
      <c r="O101" s="58">
        <f t="shared" si="41"/>
        <v>1298</v>
      </c>
      <c r="P101" s="59">
        <f t="shared" si="67"/>
        <v>1.0414577278098949</v>
      </c>
      <c r="Q101" s="58">
        <f>Q11+Q18+Q25+Q33+Q40+Q47+Q68+Q75+Q84+Q93</f>
        <v>31695</v>
      </c>
      <c r="R101" s="58">
        <f t="shared" si="118"/>
        <v>31971</v>
      </c>
      <c r="S101" s="58">
        <f t="shared" si="95"/>
        <v>276</v>
      </c>
      <c r="T101" s="59">
        <f t="shared" si="69"/>
        <v>1.0087079981069569</v>
      </c>
      <c r="U101" s="58">
        <f>U11+U18+U25+U33+U40+U47+U68+U75+U84+U93</f>
        <v>33139</v>
      </c>
      <c r="V101" s="58">
        <f t="shared" si="119"/>
        <v>35372</v>
      </c>
      <c r="W101" s="58">
        <f t="shared" si="128"/>
        <v>2233</v>
      </c>
      <c r="X101" s="59">
        <f t="shared" si="97"/>
        <v>1.0673828419686775</v>
      </c>
      <c r="Y101" s="61">
        <f>Y11+Y18+Y25+Y33+Y40+Y47+Y68+Y75+Y84+Y93</f>
        <v>32421</v>
      </c>
      <c r="Z101" s="58">
        <f t="shared" si="120"/>
        <v>32580</v>
      </c>
      <c r="AA101" s="58">
        <f t="shared" si="129"/>
        <v>159</v>
      </c>
      <c r="AB101" s="62">
        <f t="shared" si="130"/>
        <v>1.0049042287406311</v>
      </c>
      <c r="AC101" s="61">
        <f>AC11+AC18+AC25+AC33+AC40+AC47+AC68+AC75+AC84+AC93</f>
        <v>37534</v>
      </c>
      <c r="AD101" s="58">
        <f t="shared" si="121"/>
        <v>10892</v>
      </c>
      <c r="AE101" s="58">
        <f t="shared" si="131"/>
        <v>-26642</v>
      </c>
      <c r="AF101" s="62">
        <f t="shared" si="132"/>
        <v>0.29019022752704215</v>
      </c>
      <c r="AG101" s="61">
        <f>AG11+AG18+AG25+AG33+AG40+AG47+AG68+AG75+AG84+AG93</f>
        <v>38334</v>
      </c>
      <c r="AH101" s="58">
        <f t="shared" si="122"/>
        <v>38950</v>
      </c>
      <c r="AI101" s="58">
        <f t="shared" si="133"/>
        <v>616</v>
      </c>
      <c r="AJ101" s="62">
        <f t="shared" si="134"/>
        <v>1.0160692857515521</v>
      </c>
      <c r="AK101" s="61">
        <f>AK11+AK18+AK25+AK33+AK40+AK47+AK68+AK75+AK84+AK93</f>
        <v>34473</v>
      </c>
      <c r="AL101" s="58">
        <f t="shared" si="123"/>
        <v>10295</v>
      </c>
      <c r="AM101" s="58">
        <f t="shared" si="135"/>
        <v>-24178</v>
      </c>
      <c r="AN101" s="62">
        <f t="shared" si="136"/>
        <v>0.29863951498274011</v>
      </c>
      <c r="AO101" s="61">
        <f>AO11+AO18+AO25+AO33+AO40+AO47+AO68+AO75+AO84+AO93</f>
        <v>33257</v>
      </c>
      <c r="AP101" s="58">
        <f t="shared" si="124"/>
        <v>34721</v>
      </c>
      <c r="AQ101" s="58">
        <f t="shared" si="137"/>
        <v>1464</v>
      </c>
      <c r="AR101" s="62">
        <f t="shared" si="138"/>
        <v>1.0440208076495174</v>
      </c>
      <c r="AS101" s="61">
        <f>AS11+AS18+AS25+AS33+AS40+AS47+AS68+AS75+AS84+AS93</f>
        <v>36561</v>
      </c>
      <c r="AT101" s="58">
        <f t="shared" si="125"/>
        <v>14957</v>
      </c>
      <c r="AU101" s="58">
        <f t="shared" si="139"/>
        <v>-21604</v>
      </c>
      <c r="AV101" s="62">
        <f t="shared" si="140"/>
        <v>0.4090971253521512</v>
      </c>
      <c r="AW101" s="61">
        <f>AW11+AW18+AW25+AW33+AW40+AW47+AW68+AW75+AW84+AW93</f>
        <v>37074</v>
      </c>
      <c r="AX101" s="58">
        <f t="shared" si="126"/>
        <v>0</v>
      </c>
      <c r="AY101" s="58">
        <f t="shared" si="141"/>
        <v>-37074</v>
      </c>
      <c r="AZ101" s="62">
        <f t="shared" si="142"/>
        <v>0</v>
      </c>
      <c r="BA101" s="61">
        <f>BA11+BA18+BA25+BA33+BA40+BA47+BA68+BA75+BA84+BA93</f>
        <v>0</v>
      </c>
      <c r="BB101" s="58">
        <f t="shared" si="127"/>
        <v>0</v>
      </c>
      <c r="BC101" s="58">
        <f t="shared" si="143"/>
        <v>0</v>
      </c>
      <c r="BD101" s="62">
        <f t="shared" si="144"/>
        <v>0</v>
      </c>
    </row>
    <row r="102" spans="1:56" s="7" customFormat="1" x14ac:dyDescent="0.4">
      <c r="A102" s="63"/>
      <c r="B102" s="64"/>
      <c r="C102" s="64"/>
      <c r="D102" s="64" t="s">
        <v>61</v>
      </c>
      <c r="E102" s="65">
        <f>SUM(E96:E101)</f>
        <v>189400</v>
      </c>
      <c r="F102" s="65">
        <f>SUM(F96:F101)</f>
        <v>196968</v>
      </c>
      <c r="G102" s="65">
        <f>SUM(G96:G101)</f>
        <v>7568</v>
      </c>
      <c r="H102" s="66">
        <f t="shared" si="64"/>
        <v>1.0399577613516366</v>
      </c>
      <c r="I102" s="65">
        <f>SUM(I96:I101)</f>
        <v>195872</v>
      </c>
      <c r="J102" s="65">
        <f>SUM(J96:J101)</f>
        <v>205322</v>
      </c>
      <c r="K102" s="65">
        <f>SUM(K96:K101)</f>
        <v>9450</v>
      </c>
      <c r="L102" s="66">
        <f t="shared" si="66"/>
        <v>1.0482457931710505</v>
      </c>
      <c r="M102" s="65">
        <f>SUM(M96:M101)</f>
        <v>202149</v>
      </c>
      <c r="N102" s="65">
        <f>SUM(N96:N101)</f>
        <v>216216</v>
      </c>
      <c r="O102" s="65">
        <f>SUM(O96:O101)</f>
        <v>14067</v>
      </c>
      <c r="P102" s="66">
        <f t="shared" si="67"/>
        <v>1.0695872846266863</v>
      </c>
      <c r="Q102" s="65">
        <f>SUM(Q96:Q101)</f>
        <v>197914</v>
      </c>
      <c r="R102" s="65">
        <f>SUM(R96:R101)</f>
        <v>219846</v>
      </c>
      <c r="S102" s="65">
        <f>SUM(S96:S101)</f>
        <v>21932</v>
      </c>
      <c r="T102" s="66">
        <f t="shared" si="69"/>
        <v>1.1108158088866882</v>
      </c>
      <c r="U102" s="65">
        <f>SUM(U96:U101)</f>
        <v>197386</v>
      </c>
      <c r="V102" s="65">
        <f>SUM(V96:V101)</f>
        <v>215623</v>
      </c>
      <c r="W102" s="65">
        <f>SUM(W96:W101)</f>
        <v>18237</v>
      </c>
      <c r="X102" s="66">
        <f>IF(U102=0,0,V102/U102)</f>
        <v>1.0923925709016851</v>
      </c>
      <c r="Y102" s="67">
        <f>SUM(Y96:Y101)</f>
        <v>200825</v>
      </c>
      <c r="Z102" s="65">
        <f>SUM(Z96:Z101)</f>
        <v>214788</v>
      </c>
      <c r="AA102" s="65">
        <f>SUM(AA96:AA101)</f>
        <v>13963</v>
      </c>
      <c r="AB102" s="68">
        <f t="shared" si="130"/>
        <v>1.0695281961907133</v>
      </c>
      <c r="AC102" s="67">
        <f>SUM(AC96:AC101)</f>
        <v>203082</v>
      </c>
      <c r="AD102" s="65">
        <f>SUM(AD96:AD101)</f>
        <v>89155</v>
      </c>
      <c r="AE102" s="65">
        <f>SUM(AE96:AE101)</f>
        <v>-113927</v>
      </c>
      <c r="AF102" s="68">
        <f>IF(AC102=0,0,AD102/AC102)</f>
        <v>0.43900985808688114</v>
      </c>
      <c r="AG102" s="67">
        <f>SUM(AG96:AG101)</f>
        <v>203423</v>
      </c>
      <c r="AH102" s="65">
        <f>SUM(AH96:AH101)</f>
        <v>219672</v>
      </c>
      <c r="AI102" s="65">
        <f>SUM(AI96:AI101)</f>
        <v>16249</v>
      </c>
      <c r="AJ102" s="68">
        <f t="shared" si="134"/>
        <v>1.0798778899141199</v>
      </c>
      <c r="AK102" s="67">
        <f>SUM(AK96:AK101)</f>
        <v>200633</v>
      </c>
      <c r="AL102" s="65">
        <f>SUM(AL96:AL101)</f>
        <v>98493</v>
      </c>
      <c r="AM102" s="65">
        <f>SUM(AM96:AM101)</f>
        <v>-102140</v>
      </c>
      <c r="AN102" s="68">
        <f t="shared" si="136"/>
        <v>0.490911265843605</v>
      </c>
      <c r="AO102" s="67">
        <f>SUM(AO96:AO101)</f>
        <v>201914</v>
      </c>
      <c r="AP102" s="65">
        <f>SUM(AP96:AP101)</f>
        <v>211746</v>
      </c>
      <c r="AQ102" s="65">
        <f>SUM(AQ96:AQ101)</f>
        <v>9832</v>
      </c>
      <c r="AR102" s="68">
        <f>IF(AO102=0,0,AP102/AO102)</f>
        <v>1.0486939984349772</v>
      </c>
      <c r="AS102" s="67">
        <f>SUM(AS96:AS101)</f>
        <v>205564</v>
      </c>
      <c r="AT102" s="65">
        <f>SUM(AT96:AT101)</f>
        <v>43308</v>
      </c>
      <c r="AU102" s="65">
        <f>SUM(AU96:AU101)</f>
        <v>-162256</v>
      </c>
      <c r="AV102" s="68">
        <f t="shared" si="140"/>
        <v>0.21067891265007491</v>
      </c>
      <c r="AW102" s="67">
        <f>SUM(AW96:AW101)</f>
        <v>207508</v>
      </c>
      <c r="AX102" s="65">
        <f>SUM(AX96:AX101)</f>
        <v>0</v>
      </c>
      <c r="AY102" s="65">
        <f>SUM(AY96:AY101)</f>
        <v>-207508</v>
      </c>
      <c r="AZ102" s="68">
        <f t="shared" si="142"/>
        <v>0</v>
      </c>
      <c r="BA102" s="67">
        <f>SUM(BA96:BA101)</f>
        <v>0</v>
      </c>
      <c r="BB102" s="65">
        <f>SUM(BB96:BB101)</f>
        <v>0</v>
      </c>
      <c r="BC102" s="65">
        <f>SUM(BC96:BC101)</f>
        <v>0</v>
      </c>
      <c r="BD102" s="68">
        <f t="shared" si="144"/>
        <v>0</v>
      </c>
    </row>
    <row r="103" spans="1:56" x14ac:dyDescent="0.4">
      <c r="A103" s="69"/>
      <c r="B103" s="60" t="s">
        <v>62</v>
      </c>
      <c r="C103" s="60"/>
      <c r="D103" s="60" t="s">
        <v>63</v>
      </c>
      <c r="E103" s="70"/>
      <c r="F103" s="70"/>
      <c r="G103" s="70"/>
      <c r="H103" s="71"/>
      <c r="I103" s="70"/>
      <c r="J103" s="70"/>
      <c r="K103" s="70"/>
      <c r="L103" s="71"/>
      <c r="M103" s="70"/>
      <c r="N103" s="70"/>
      <c r="O103" s="70"/>
      <c r="P103" s="71"/>
      <c r="Q103" s="70"/>
      <c r="R103" s="70"/>
      <c r="S103" s="70"/>
      <c r="T103" s="71"/>
      <c r="U103" s="70"/>
      <c r="V103" s="70"/>
      <c r="W103" s="70"/>
      <c r="X103" s="71"/>
      <c r="Y103" s="72"/>
      <c r="Z103" s="70"/>
      <c r="AA103" s="70"/>
      <c r="AB103" s="73"/>
      <c r="AC103" s="72"/>
      <c r="AD103" s="70"/>
      <c r="AE103" s="70"/>
      <c r="AF103" s="73"/>
      <c r="AG103" s="72"/>
      <c r="AH103" s="70"/>
      <c r="AI103" s="70"/>
      <c r="AJ103" s="73"/>
      <c r="AK103" s="72"/>
      <c r="AL103" s="70"/>
      <c r="AM103" s="70"/>
      <c r="AN103" s="73"/>
      <c r="AO103" s="72"/>
      <c r="AP103" s="70"/>
      <c r="AQ103" s="70"/>
      <c r="AR103" s="73"/>
      <c r="AS103" s="72"/>
      <c r="AT103" s="70"/>
      <c r="AU103" s="70"/>
      <c r="AV103" s="73"/>
      <c r="AW103" s="72"/>
      <c r="AX103" s="70"/>
      <c r="AY103" s="70"/>
      <c r="AZ103" s="73"/>
      <c r="BA103" s="72"/>
      <c r="BB103" s="70"/>
      <c r="BC103" s="70"/>
      <c r="BD103" s="73"/>
    </row>
    <row r="104" spans="1:56" s="7" customFormat="1" x14ac:dyDescent="0.4">
      <c r="A104" s="56"/>
      <c r="B104" s="57" t="s">
        <v>13</v>
      </c>
      <c r="C104" s="57">
        <v>390</v>
      </c>
      <c r="D104" s="57" t="s">
        <v>11</v>
      </c>
      <c r="E104" s="74">
        <f>E76</f>
        <v>10000</v>
      </c>
      <c r="F104" s="74">
        <f>F76</f>
        <v>8966</v>
      </c>
      <c r="G104" s="74">
        <f>F104-E104</f>
        <v>-1034</v>
      </c>
      <c r="H104" s="75">
        <f t="shared" ref="H104:H106" si="145">IF(E104=0,0,F104/E104)</f>
        <v>0.89659999999999995</v>
      </c>
      <c r="I104" s="74">
        <f>I76</f>
        <v>10000</v>
      </c>
      <c r="J104" s="74">
        <f>J76</f>
        <v>10145</v>
      </c>
      <c r="K104" s="74">
        <f>J104-I104</f>
        <v>145</v>
      </c>
      <c r="L104" s="75">
        <f t="shared" ref="L104:L106" si="146">IF(I104=0,0,J104/I104)</f>
        <v>1.0145</v>
      </c>
      <c r="M104" s="74">
        <f>M76</f>
        <v>10000</v>
      </c>
      <c r="N104" s="74">
        <f>N76</f>
        <v>10229</v>
      </c>
      <c r="O104" s="74">
        <f>N104-M104</f>
        <v>229</v>
      </c>
      <c r="P104" s="75">
        <f t="shared" si="67"/>
        <v>1.0228999999999999</v>
      </c>
      <c r="Q104" s="74">
        <f>Q76</f>
        <v>10000</v>
      </c>
      <c r="R104" s="74">
        <f>R76</f>
        <v>9491</v>
      </c>
      <c r="S104" s="74">
        <f>R104-Q104</f>
        <v>-509</v>
      </c>
      <c r="T104" s="75">
        <f t="shared" si="69"/>
        <v>0.94910000000000005</v>
      </c>
      <c r="U104" s="76">
        <f>U76</f>
        <v>10000</v>
      </c>
      <c r="V104" s="76">
        <f>V76</f>
        <v>9212</v>
      </c>
      <c r="W104" s="76">
        <f>V104-U104</f>
        <v>-788</v>
      </c>
      <c r="X104" s="59">
        <f t="shared" si="97"/>
        <v>0.92120000000000002</v>
      </c>
      <c r="Y104" s="77">
        <f>Y76</f>
        <v>10000</v>
      </c>
      <c r="Z104" s="76">
        <f>Z76</f>
        <v>9177</v>
      </c>
      <c r="AA104" s="76">
        <f>Z104-Y104</f>
        <v>-823</v>
      </c>
      <c r="AB104" s="62">
        <f t="shared" ref="AB104:AB106" si="147">IF(Y104=0,0,Z104/Y104)</f>
        <v>0.91769999999999996</v>
      </c>
      <c r="AC104" s="77">
        <f>AC76</f>
        <v>10000</v>
      </c>
      <c r="AD104" s="76">
        <f>AD76</f>
        <v>0</v>
      </c>
      <c r="AE104" s="76">
        <f>AD104-AC104</f>
        <v>-10000</v>
      </c>
      <c r="AF104" s="62">
        <f t="shared" ref="AF104:AF105" si="148">IF(AC104=0,0,AD104/AC104)</f>
        <v>0</v>
      </c>
      <c r="AG104" s="77">
        <f>AG76</f>
        <v>10000</v>
      </c>
      <c r="AH104" s="76">
        <f>AH76</f>
        <v>9904</v>
      </c>
      <c r="AI104" s="76">
        <f>AH104-AG104</f>
        <v>-96</v>
      </c>
      <c r="AJ104" s="62">
        <f t="shared" ref="AJ104:AJ106" si="149">IF(AG104=0,0,AH104/AG104)</f>
        <v>0.99039999999999995</v>
      </c>
      <c r="AK104" s="77">
        <f>AK76</f>
        <v>10000</v>
      </c>
      <c r="AL104" s="76">
        <f>AL76</f>
        <v>0</v>
      </c>
      <c r="AM104" s="76">
        <f>AL104-AK104</f>
        <v>-10000</v>
      </c>
      <c r="AN104" s="62">
        <f t="shared" ref="AN104:AN106" si="150">IF(AK104=0,0,AL104/AK104)</f>
        <v>0</v>
      </c>
      <c r="AO104" s="77">
        <f>AO76</f>
        <v>10000</v>
      </c>
      <c r="AP104" s="76">
        <f>AP76</f>
        <v>6111</v>
      </c>
      <c r="AQ104" s="76">
        <f>AP104-AO104</f>
        <v>-3889</v>
      </c>
      <c r="AR104" s="62">
        <f t="shared" ref="AR104:AR106" si="151">IF(AO104=0,0,AP104/AO104)</f>
        <v>0.61109999999999998</v>
      </c>
      <c r="AS104" s="77">
        <f>AS76</f>
        <v>10000</v>
      </c>
      <c r="AT104" s="76">
        <f>AT76</f>
        <v>0</v>
      </c>
      <c r="AU104" s="76">
        <f>AT104-AS104</f>
        <v>-10000</v>
      </c>
      <c r="AV104" s="62">
        <f t="shared" ref="AV104:AV106" si="152">IF(AS104=0,0,AT104/AS104)</f>
        <v>0</v>
      </c>
      <c r="AW104" s="77">
        <f>AW76</f>
        <v>10000</v>
      </c>
      <c r="AX104" s="76">
        <f>AX76</f>
        <v>0</v>
      </c>
      <c r="AY104" s="76">
        <f>AX104-AW104</f>
        <v>-10000</v>
      </c>
      <c r="AZ104" s="62">
        <f t="shared" ref="AZ104:AZ106" si="153">IF(AW104=0,0,AX104/AW104)</f>
        <v>0</v>
      </c>
      <c r="BA104" s="77">
        <f>BA76</f>
        <v>0</v>
      </c>
      <c r="BB104" s="76">
        <f>BB76</f>
        <v>0</v>
      </c>
      <c r="BC104" s="76">
        <f>BB104-BA104</f>
        <v>0</v>
      </c>
      <c r="BD104" s="62">
        <f t="shared" ref="BD104:BD106" si="154">IF(BA104=0,0,BB104/BA104)</f>
        <v>0</v>
      </c>
    </row>
    <row r="105" spans="1:56" x14ac:dyDescent="0.4">
      <c r="A105" s="56"/>
      <c r="B105" s="57" t="s">
        <v>13</v>
      </c>
      <c r="C105" s="57">
        <v>910</v>
      </c>
      <c r="D105" s="57" t="s">
        <v>47</v>
      </c>
      <c r="E105" s="74">
        <f>E26+E86+E95+E77</f>
        <v>0</v>
      </c>
      <c r="F105" s="74">
        <f>F26+F86+F95+F77</f>
        <v>92</v>
      </c>
      <c r="G105" s="74">
        <f>F105-E105</f>
        <v>92</v>
      </c>
      <c r="H105" s="75">
        <f t="shared" si="145"/>
        <v>0</v>
      </c>
      <c r="I105" s="74">
        <f>I26+I86+I95+I77</f>
        <v>0</v>
      </c>
      <c r="J105" s="74">
        <f>J26+J86+J95+J77</f>
        <v>80</v>
      </c>
      <c r="K105" s="74">
        <f>J105-I105</f>
        <v>80</v>
      </c>
      <c r="L105" s="75">
        <f t="shared" si="146"/>
        <v>0</v>
      </c>
      <c r="M105" s="74">
        <f>M26+M86+M95+M77</f>
        <v>0</v>
      </c>
      <c r="N105" s="74">
        <f>N26+N86+N95+N77</f>
        <v>20</v>
      </c>
      <c r="O105" s="74">
        <f>N105-M105</f>
        <v>20</v>
      </c>
      <c r="P105" s="75">
        <f t="shared" si="67"/>
        <v>0</v>
      </c>
      <c r="Q105" s="74">
        <f>Q26+Q86+Q95+Q77</f>
        <v>0</v>
      </c>
      <c r="R105" s="74">
        <f>R26+R86+R95+R77</f>
        <v>20</v>
      </c>
      <c r="S105" s="74">
        <f>R105-Q105</f>
        <v>20</v>
      </c>
      <c r="T105" s="75">
        <f t="shared" si="69"/>
        <v>0</v>
      </c>
      <c r="U105" s="76">
        <f>U26+U86+U95+U77</f>
        <v>0</v>
      </c>
      <c r="V105" s="76">
        <f>V26+V86+V95+V77</f>
        <v>21</v>
      </c>
      <c r="W105" s="76">
        <f>V105-U105</f>
        <v>21</v>
      </c>
      <c r="X105" s="59">
        <f t="shared" si="97"/>
        <v>0</v>
      </c>
      <c r="Y105" s="77">
        <f>Y26+Y86+Y95+Y77</f>
        <v>0</v>
      </c>
      <c r="Z105" s="76">
        <f>Z26+Z86+Z95+Z77</f>
        <v>22</v>
      </c>
      <c r="AA105" s="76">
        <f>Z105-Y105</f>
        <v>22</v>
      </c>
      <c r="AB105" s="62">
        <f t="shared" si="147"/>
        <v>0</v>
      </c>
      <c r="AC105" s="77">
        <f>AC26+AC86+AC95+AC77</f>
        <v>0</v>
      </c>
      <c r="AD105" s="76">
        <f>AD26+AD86+AD95+AD77</f>
        <v>0</v>
      </c>
      <c r="AE105" s="76">
        <f>AD105-AC105</f>
        <v>0</v>
      </c>
      <c r="AF105" s="62">
        <f t="shared" si="148"/>
        <v>0</v>
      </c>
      <c r="AG105" s="77">
        <f>AG26+AG86+AG95+AG77</f>
        <v>0</v>
      </c>
      <c r="AH105" s="76">
        <f>AH26+AH86+AH95+AH77</f>
        <v>23</v>
      </c>
      <c r="AI105" s="76">
        <f>AH105-AG105</f>
        <v>23</v>
      </c>
      <c r="AJ105" s="62">
        <f t="shared" si="149"/>
        <v>0</v>
      </c>
      <c r="AK105" s="77">
        <f>AK26+AK86+AK95+AK77</f>
        <v>0</v>
      </c>
      <c r="AL105" s="76">
        <f>AL26+AL86+AL95+AL77</f>
        <v>0</v>
      </c>
      <c r="AM105" s="76">
        <f>AL105-AK105</f>
        <v>0</v>
      </c>
      <c r="AN105" s="62">
        <f t="shared" si="150"/>
        <v>0</v>
      </c>
      <c r="AO105" s="77">
        <f>AO26+AO86+AO95+AO77</f>
        <v>0</v>
      </c>
      <c r="AP105" s="76">
        <f>AP26+AP86+AP95+AP77</f>
        <v>23</v>
      </c>
      <c r="AQ105" s="76">
        <f>AP105-AO105</f>
        <v>23</v>
      </c>
      <c r="AR105" s="62">
        <f t="shared" si="151"/>
        <v>0</v>
      </c>
      <c r="AS105" s="77">
        <f>AS26+AS86+AS95+AS77</f>
        <v>0</v>
      </c>
      <c r="AT105" s="76">
        <f>AT26+AT86+AT95+AT77</f>
        <v>0</v>
      </c>
      <c r="AU105" s="76">
        <f>AT105-AS105</f>
        <v>0</v>
      </c>
      <c r="AV105" s="62">
        <f t="shared" si="152"/>
        <v>0</v>
      </c>
      <c r="AW105" s="77">
        <f>AW26+AW86+AW95+AW77</f>
        <v>0</v>
      </c>
      <c r="AX105" s="76">
        <f>AX26+AX86+AX95+AX77</f>
        <v>0</v>
      </c>
      <c r="AY105" s="76">
        <f>AX105-AW105</f>
        <v>0</v>
      </c>
      <c r="AZ105" s="62">
        <f t="shared" si="153"/>
        <v>0</v>
      </c>
      <c r="BA105" s="77">
        <f>BA26+BA86+BA95+BA77</f>
        <v>0</v>
      </c>
      <c r="BB105" s="76">
        <f>BB26+BB86+BB95+BB77</f>
        <v>0</v>
      </c>
      <c r="BC105" s="76">
        <f>BB105-BA105</f>
        <v>0</v>
      </c>
      <c r="BD105" s="62">
        <f t="shared" si="154"/>
        <v>0</v>
      </c>
    </row>
    <row r="106" spans="1:56" s="7" customFormat="1" x14ac:dyDescent="0.4">
      <c r="A106" s="78"/>
      <c r="B106" s="79"/>
      <c r="C106" s="79"/>
      <c r="D106" s="79" t="s">
        <v>61</v>
      </c>
      <c r="E106" s="80">
        <f>SUM(E102:E105)</f>
        <v>199400</v>
      </c>
      <c r="F106" s="80">
        <f>SUM(F102:F105)</f>
        <v>206026</v>
      </c>
      <c r="G106" s="80">
        <f>SUM(G102:G105)</f>
        <v>6626</v>
      </c>
      <c r="H106" s="81">
        <f t="shared" si="145"/>
        <v>1.0332296890672017</v>
      </c>
      <c r="I106" s="80">
        <f>SUM(I102:I105)</f>
        <v>205872</v>
      </c>
      <c r="J106" s="80">
        <f>SUM(J102:J105)</f>
        <v>215547</v>
      </c>
      <c r="K106" s="80">
        <f>SUM(K102:K105)</f>
        <v>9675</v>
      </c>
      <c r="L106" s="81">
        <f t="shared" si="146"/>
        <v>1.0469952203310795</v>
      </c>
      <c r="M106" s="80">
        <f>SUM(M102:M105)</f>
        <v>212149</v>
      </c>
      <c r="N106" s="80">
        <f>SUM(N102:N105)</f>
        <v>226465</v>
      </c>
      <c r="O106" s="80">
        <f>SUM(O102:O105)</f>
        <v>14316</v>
      </c>
      <c r="P106" s="81">
        <f t="shared" si="67"/>
        <v>1.0674808742911821</v>
      </c>
      <c r="Q106" s="80">
        <f>SUM(Q102:Q105)</f>
        <v>207914</v>
      </c>
      <c r="R106" s="80">
        <f>SUM(R102:R105)</f>
        <v>229357</v>
      </c>
      <c r="S106" s="80">
        <f>SUM(S102:S105)</f>
        <v>21443</v>
      </c>
      <c r="T106" s="81">
        <f t="shared" si="69"/>
        <v>1.1031339880912301</v>
      </c>
      <c r="U106" s="80">
        <f>SUM(U102:U105)</f>
        <v>207386</v>
      </c>
      <c r="V106" s="80">
        <f>SUM(V102:V105)</f>
        <v>224856</v>
      </c>
      <c r="W106" s="80">
        <f>SUM(W102:W105)</f>
        <v>17470</v>
      </c>
      <c r="X106" s="81">
        <f t="shared" si="97"/>
        <v>1.0842390518164196</v>
      </c>
      <c r="Y106" s="82">
        <f>SUM(Y102:Y105)</f>
        <v>210825</v>
      </c>
      <c r="Z106" s="80">
        <f>SUM(Z102:Z105)</f>
        <v>223987</v>
      </c>
      <c r="AA106" s="80">
        <f>SUM(AA102:AA105)</f>
        <v>13162</v>
      </c>
      <c r="AB106" s="83">
        <f t="shared" si="147"/>
        <v>1.0624309261235623</v>
      </c>
      <c r="AC106" s="82">
        <f>SUM(AC102:AC105)</f>
        <v>213082</v>
      </c>
      <c r="AD106" s="80">
        <f>SUM(AD102:AD105)</f>
        <v>89155</v>
      </c>
      <c r="AE106" s="80">
        <f>SUM(AE102:AE105)</f>
        <v>-123927</v>
      </c>
      <c r="AF106" s="83">
        <f>IF(AC106=0,0,AD106/AC106)</f>
        <v>0.41840699824480715</v>
      </c>
      <c r="AG106" s="82">
        <f>SUM(AG102:AG105)</f>
        <v>213423</v>
      </c>
      <c r="AH106" s="80">
        <f>SUM(AH102:AH105)</f>
        <v>229599</v>
      </c>
      <c r="AI106" s="80">
        <f>SUM(AI102:AI105)</f>
        <v>16176</v>
      </c>
      <c r="AJ106" s="83">
        <f t="shared" si="149"/>
        <v>1.0757931431945011</v>
      </c>
      <c r="AK106" s="82">
        <f>SUM(AK102:AK105)</f>
        <v>210633</v>
      </c>
      <c r="AL106" s="80">
        <f>SUM(AL102:AL105)</f>
        <v>98493</v>
      </c>
      <c r="AM106" s="80">
        <f>SUM(AM102:AM105)</f>
        <v>-112140</v>
      </c>
      <c r="AN106" s="83">
        <f t="shared" si="150"/>
        <v>0.46760479127202292</v>
      </c>
      <c r="AO106" s="82">
        <f>SUM(AO102:AO105)</f>
        <v>211914</v>
      </c>
      <c r="AP106" s="80">
        <f>SUM(AP102:AP105)</f>
        <v>217880</v>
      </c>
      <c r="AQ106" s="80">
        <f>SUM(AQ102:AQ105)</f>
        <v>5966</v>
      </c>
      <c r="AR106" s="83">
        <f t="shared" si="151"/>
        <v>1.0281529299621543</v>
      </c>
      <c r="AS106" s="82">
        <f>SUM(AS102:AS105)</f>
        <v>215564</v>
      </c>
      <c r="AT106" s="80">
        <f>SUM(AT102:AT105)</f>
        <v>43308</v>
      </c>
      <c r="AU106" s="80">
        <f>SUM(AU102:AU105)</f>
        <v>-172256</v>
      </c>
      <c r="AV106" s="83">
        <f t="shared" si="152"/>
        <v>0.20090553153587798</v>
      </c>
      <c r="AW106" s="82">
        <f>SUM(AW102:AW105)</f>
        <v>217508</v>
      </c>
      <c r="AX106" s="80">
        <f>SUM(AX102:AX105)</f>
        <v>0</v>
      </c>
      <c r="AY106" s="80">
        <f>SUM(AY102:AY105)</f>
        <v>-217508</v>
      </c>
      <c r="AZ106" s="83">
        <f t="shared" si="153"/>
        <v>0</v>
      </c>
      <c r="BA106" s="82">
        <f>SUM(BA102:BA105)</f>
        <v>0</v>
      </c>
      <c r="BB106" s="80">
        <f>SUM(BB102:BB105)</f>
        <v>0</v>
      </c>
      <c r="BC106" s="80">
        <f>SUM(BC102:BC105)</f>
        <v>0</v>
      </c>
      <c r="BD106" s="83">
        <f t="shared" si="154"/>
        <v>0</v>
      </c>
    </row>
    <row r="107" spans="1:56" ht="18" customHeight="1" x14ac:dyDescent="0.4"/>
  </sheetData>
  <dataConsolidate/>
  <mergeCells count="1">
    <mergeCell ref="A2:B2"/>
  </mergeCells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4EDD10-CF1A-44C9-8C3A-D987975C3E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6</vt:i4>
      </vt:variant>
    </vt:vector>
  </HeadingPairs>
  <TitlesOfParts>
    <vt:vector size="15" baseType="lpstr">
      <vt:lpstr>予測連絡用-まとめ</vt:lpstr>
      <vt:lpstr>予測連絡用-ES</vt:lpstr>
      <vt:lpstr>予算予測実績値</vt:lpstr>
      <vt:lpstr>vMicES売上予想</vt:lpstr>
      <vt:lpstr>vMic翌月売上予想</vt:lpstr>
      <vt:lpstr>vMic当月売上予想</vt:lpstr>
      <vt:lpstr>予測連絡用</vt:lpstr>
      <vt:lpstr>売上実績</vt:lpstr>
      <vt:lpstr>見込進捗_詳細</vt:lpstr>
      <vt:lpstr>vMicES売上予想!ES売上予想</vt:lpstr>
      <vt:lpstr>売上実績!Print_Area</vt:lpstr>
      <vt:lpstr>予測連絡用!Print_Area</vt:lpstr>
      <vt:lpstr>vMic当月売上予想!当月売上予想</vt:lpstr>
      <vt:lpstr>予算予測実績値!予算予測実績値集計</vt:lpstr>
      <vt:lpstr>vMic翌月売上予想!翌月売上予想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勝呂 幹雄</dc:creator>
  <cp:lastModifiedBy>勝呂 幹雄</cp:lastModifiedBy>
  <cp:lastPrinted>2020-07-09T00:18:56Z</cp:lastPrinted>
  <dcterms:created xsi:type="dcterms:W3CDTF">2020-01-22T03:22:08Z</dcterms:created>
  <dcterms:modified xsi:type="dcterms:W3CDTF">2021-05-20T04:07:52Z</dcterms:modified>
</cp:coreProperties>
</file>